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shchien\Desktop\QuantLib_Project\"/>
    </mc:Choice>
  </mc:AlternateContent>
  <bookViews>
    <workbookView xWindow="-105" yWindow="-105" windowWidth="19425" windowHeight="10305" activeTab="1"/>
  </bookViews>
  <sheets>
    <sheet name="ql-US-ZC" sheetId="18" r:id="rId1"/>
    <sheet name="工作表1" sheetId="20" r:id="rId2"/>
  </sheets>
  <externalReferences>
    <externalReference r:id="rId3"/>
  </externalReferences>
  <definedNames>
    <definedName name="IborIndex6M">[1]Indexes!$B$1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2" i="18" l="1"/>
  <c r="B10" i="20"/>
  <c r="B24" i="18"/>
  <c r="C24" i="18"/>
  <c r="P6" i="20" l="1"/>
  <c r="O2" i="20" l="1"/>
  <c r="B3" i="18"/>
  <c r="B2" i="18"/>
  <c r="B2" i="20"/>
  <c r="H6" i="20" l="1"/>
  <c r="Q50" i="18"/>
  <c r="Q51" i="18"/>
  <c r="Q52" i="18"/>
  <c r="Q53" i="18"/>
  <c r="Q54" i="18" s="1"/>
  <c r="Q49" i="18"/>
  <c r="B6" i="20"/>
  <c r="B11" i="20"/>
  <c r="D10" i="20" l="1"/>
  <c r="V4" i="18"/>
  <c r="V5" i="18"/>
  <c r="V6" i="18"/>
  <c r="V7" i="18"/>
  <c r="V8" i="18"/>
  <c r="V9" i="18"/>
  <c r="V10" i="18"/>
  <c r="V11" i="18"/>
  <c r="V12" i="18"/>
  <c r="V13" i="18"/>
  <c r="V14" i="18"/>
  <c r="V3" i="18"/>
  <c r="R4" i="18" l="1"/>
  <c r="R5" i="18"/>
  <c r="R6" i="18"/>
  <c r="R7" i="18"/>
  <c r="R8" i="18"/>
  <c r="R9" i="18"/>
  <c r="R10" i="18"/>
  <c r="R11" i="18"/>
  <c r="R12" i="18"/>
  <c r="R13" i="18"/>
  <c r="R14" i="18"/>
  <c r="R3" i="18"/>
  <c r="AH4" i="18"/>
  <c r="AH5" i="18"/>
  <c r="AH6" i="18"/>
  <c r="AH7" i="18"/>
  <c r="AH8" i="18"/>
  <c r="AH9" i="18"/>
  <c r="AH10" i="18"/>
  <c r="AH11" i="18"/>
  <c r="AH12" i="18"/>
  <c r="AH13" i="18"/>
  <c r="AH14" i="18"/>
  <c r="AH3" i="18"/>
  <c r="R49" i="18" l="1"/>
  <c r="R50" i="18"/>
  <c r="R51" i="18"/>
  <c r="R52" i="18"/>
  <c r="R53" i="18"/>
  <c r="R54" i="18"/>
  <c r="R48" i="18"/>
  <c r="B58" i="18" l="1"/>
  <c r="Z54" i="18" l="1"/>
  <c r="Z53" i="18"/>
  <c r="Z52" i="18"/>
  <c r="Z51" i="18"/>
  <c r="Z50" i="18"/>
  <c r="Z49" i="18"/>
  <c r="Z48" i="18"/>
  <c r="A48" i="18"/>
  <c r="C36" i="18"/>
  <c r="B36" i="18"/>
  <c r="T35" i="18"/>
  <c r="R35" i="18"/>
  <c r="Q35" i="18"/>
  <c r="O35" i="18"/>
  <c r="N35" i="18"/>
  <c r="T34" i="18"/>
  <c r="R34" i="18"/>
  <c r="Q34" i="18"/>
  <c r="O34" i="18"/>
  <c r="T33" i="18"/>
  <c r="R33" i="18"/>
  <c r="Q33" i="18"/>
  <c r="O33" i="18"/>
  <c r="T32" i="18"/>
  <c r="R32" i="18"/>
  <c r="Q32" i="18"/>
  <c r="O32" i="18"/>
  <c r="T31" i="18"/>
  <c r="R31" i="18"/>
  <c r="Q31" i="18"/>
  <c r="O31" i="18"/>
  <c r="B29" i="18"/>
  <c r="B27" i="18"/>
  <c r="B18" i="18"/>
  <c r="Y14" i="18"/>
  <c r="T14" i="18"/>
  <c r="P14" i="18"/>
  <c r="N14" i="18"/>
  <c r="L14" i="18"/>
  <c r="Y13" i="18"/>
  <c r="P13" i="18"/>
  <c r="N13" i="18"/>
  <c r="L13" i="18"/>
  <c r="Y12" i="18"/>
  <c r="T12" i="18"/>
  <c r="P12" i="18"/>
  <c r="N12" i="18"/>
  <c r="L12" i="18"/>
  <c r="Y11" i="18"/>
  <c r="P11" i="18"/>
  <c r="N11" i="18"/>
  <c r="L11" i="18"/>
  <c r="Y10" i="18"/>
  <c r="T10" i="18"/>
  <c r="P10" i="18"/>
  <c r="N10" i="18"/>
  <c r="L10" i="18"/>
  <c r="Y9" i="18"/>
  <c r="T9" i="18"/>
  <c r="P9" i="18"/>
  <c r="N9" i="18"/>
  <c r="L9" i="18"/>
  <c r="Y8" i="18"/>
  <c r="T8" i="18"/>
  <c r="P8" i="18"/>
  <c r="N8" i="18"/>
  <c r="L8" i="18"/>
  <c r="Y7" i="18"/>
  <c r="T7" i="18"/>
  <c r="P7" i="18"/>
  <c r="N7" i="18"/>
  <c r="L7" i="18"/>
  <c r="Y6" i="18"/>
  <c r="T6" i="18"/>
  <c r="P6" i="18"/>
  <c r="N6" i="18"/>
  <c r="L6" i="18"/>
  <c r="Y5" i="18"/>
  <c r="T5" i="18"/>
  <c r="P5" i="18"/>
  <c r="N5" i="18"/>
  <c r="L5" i="18"/>
  <c r="Y4" i="18"/>
  <c r="T4" i="18"/>
  <c r="P4" i="18"/>
  <c r="N4" i="18"/>
  <c r="L4" i="18"/>
  <c r="Y3" i="18"/>
  <c r="U3" i="18"/>
  <c r="T3" i="18"/>
  <c r="P3" i="18"/>
  <c r="L3" i="18"/>
  <c r="E38" i="18"/>
  <c r="J14" i="18"/>
  <c r="J6" i="18"/>
  <c r="J11" i="18"/>
  <c r="J7" i="18"/>
  <c r="J12" i="18"/>
  <c r="B6" i="18"/>
  <c r="J10" i="18"/>
  <c r="J4" i="18"/>
  <c r="S3" i="18"/>
  <c r="J8" i="18"/>
  <c r="J3" i="18"/>
  <c r="J13" i="18"/>
  <c r="J5" i="18"/>
  <c r="J9" i="18"/>
  <c r="L49" i="18" l="1"/>
  <c r="L53" i="18"/>
  <c r="L48" i="18"/>
  <c r="L50" i="18"/>
  <c r="L52" i="18"/>
  <c r="L51" i="18"/>
  <c r="L54" i="18"/>
  <c r="L35" i="18"/>
  <c r="L34" i="18"/>
  <c r="L33" i="18"/>
  <c r="L31" i="18"/>
  <c r="L32" i="18"/>
  <c r="U4" i="18"/>
  <c r="S51" i="18"/>
  <c r="S50" i="18"/>
  <c r="S49" i="18"/>
  <c r="S54" i="18"/>
  <c r="S48" i="18"/>
  <c r="S53" i="18"/>
  <c r="S52" i="18"/>
  <c r="O49" i="18"/>
  <c r="T13" i="18"/>
  <c r="C27" i="18"/>
  <c r="C29" i="18"/>
  <c r="O50" i="18"/>
  <c r="O51" i="18"/>
  <c r="T11" i="18"/>
  <c r="O52" i="18"/>
  <c r="O53" i="18"/>
  <c r="O48" i="18"/>
  <c r="O54" i="18"/>
  <c r="J32" i="18"/>
  <c r="J51" i="18"/>
  <c r="J54" i="18"/>
  <c r="S4" i="18"/>
  <c r="J53" i="18"/>
  <c r="J34" i="18"/>
  <c r="J52" i="18"/>
  <c r="J33" i="18"/>
  <c r="J50" i="18"/>
  <c r="J35" i="18"/>
  <c r="J31" i="18"/>
  <c r="J48" i="18"/>
  <c r="J49" i="18"/>
  <c r="I8" i="18" l="1"/>
  <c r="I3" i="18"/>
  <c r="I7" i="18"/>
  <c r="I5" i="18"/>
  <c r="I6" i="18"/>
  <c r="I4" i="18"/>
  <c r="I10" i="18"/>
  <c r="I11" i="18"/>
  <c r="I13" i="18"/>
  <c r="I14" i="18"/>
  <c r="I12" i="18"/>
  <c r="I9" i="18"/>
  <c r="U6" i="18"/>
  <c r="U5" i="18"/>
  <c r="S5" i="18"/>
  <c r="S6" i="18"/>
  <c r="U10" i="18" l="1"/>
  <c r="U11" i="18"/>
  <c r="U9" i="18"/>
  <c r="U12" i="18"/>
  <c r="U13" i="18"/>
  <c r="U7" i="18"/>
  <c r="U14" i="18"/>
  <c r="U8" i="18"/>
  <c r="S11" i="18"/>
  <c r="S9" i="18"/>
  <c r="S12" i="18"/>
  <c r="S10" i="18"/>
  <c r="S7" i="18"/>
  <c r="S13" i="18"/>
  <c r="S8" i="18"/>
  <c r="S14" i="18"/>
  <c r="E2" i="18" l="1" a="1"/>
  <c r="E7" i="18" l="1"/>
  <c r="E9" i="18"/>
  <c r="E2" i="18"/>
  <c r="E8" i="18"/>
  <c r="E6" i="18"/>
  <c r="E14" i="18"/>
  <c r="E12" i="18"/>
  <c r="E3" i="18"/>
  <c r="E13" i="18"/>
  <c r="E4" i="18"/>
  <c r="E5" i="18"/>
  <c r="E10" i="18"/>
  <c r="E11" i="18"/>
  <c r="C10" i="20"/>
  <c r="B56" i="18"/>
  <c r="B8" i="20"/>
  <c r="F2" i="18" a="1"/>
  <c r="G2" i="18" a="1"/>
  <c r="B52" i="18"/>
  <c r="C54" i="18"/>
  <c r="H5" i="18"/>
  <c r="G5" i="18" l="1"/>
  <c r="G2" i="18"/>
  <c r="G10" i="18"/>
  <c r="G14" i="18"/>
  <c r="G3" i="18"/>
  <c r="G7" i="18"/>
  <c r="G9" i="18"/>
  <c r="G13" i="18"/>
  <c r="G4" i="18"/>
  <c r="G11" i="18"/>
  <c r="G8" i="18"/>
  <c r="G6" i="18"/>
  <c r="G12" i="18"/>
  <c r="F13" i="18"/>
  <c r="F4" i="18"/>
  <c r="F8" i="18"/>
  <c r="F14" i="18"/>
  <c r="F12" i="18"/>
  <c r="F3" i="18"/>
  <c r="F7" i="18"/>
  <c r="F9" i="18"/>
  <c r="F5" i="18"/>
  <c r="F2" i="18"/>
  <c r="F10" i="18"/>
  <c r="F11" i="18"/>
  <c r="F6" i="18"/>
  <c r="D5" i="18"/>
  <c r="D2" i="18"/>
  <c r="H2" i="18"/>
  <c r="D8" i="18" l="1"/>
  <c r="H8" i="18"/>
  <c r="D11" i="18"/>
  <c r="H11" i="18"/>
  <c r="D9" i="18"/>
  <c r="H9" i="18"/>
  <c r="D13" i="18"/>
  <c r="H13" i="18"/>
  <c r="D7" i="18"/>
  <c r="H7" i="18"/>
  <c r="D14" i="18"/>
  <c r="H14" i="18"/>
  <c r="D10" i="18"/>
  <c r="H10" i="18"/>
  <c r="D12" i="18"/>
  <c r="H12" i="18"/>
  <c r="D3" i="18"/>
  <c r="H3" i="18"/>
  <c r="D6" i="18"/>
  <c r="H6" i="18"/>
  <c r="D4" i="18"/>
  <c r="H4" i="18"/>
</calcChain>
</file>

<file path=xl/sharedStrings.xml><?xml version="1.0" encoding="utf-8"?>
<sst xmlns="http://schemas.openxmlformats.org/spreadsheetml/2006/main" count="260" uniqueCount="140">
  <si>
    <t>1M</t>
  </si>
  <si>
    <t>3M</t>
  </si>
  <si>
    <t>1Y</t>
  </si>
  <si>
    <t>2Y</t>
  </si>
  <si>
    <t>3Y</t>
  </si>
  <si>
    <t>5Y</t>
  </si>
  <si>
    <t>7Y</t>
  </si>
  <si>
    <t>Evaluation Date</t>
    <phoneticPr fontId="3" type="noConversion"/>
  </si>
  <si>
    <t>SetEvaluationDate</t>
    <phoneticPr fontId="3" type="noConversion"/>
  </si>
  <si>
    <t>ObjectId</t>
    <phoneticPr fontId="3" type="noConversion"/>
  </si>
  <si>
    <t>Currency</t>
    <phoneticPr fontId="3" type="noConversion"/>
  </si>
  <si>
    <t>Tenor</t>
    <phoneticPr fontId="3" type="noConversion"/>
  </si>
  <si>
    <t>Permanent</t>
    <phoneticPr fontId="3" type="noConversion"/>
  </si>
  <si>
    <t>Trigger</t>
    <phoneticPr fontId="3" type="noConversion"/>
  </si>
  <si>
    <t>Overwrite</t>
    <phoneticPr fontId="3" type="noConversion"/>
  </si>
  <si>
    <t>Calendar</t>
    <phoneticPr fontId="3" type="noConversion"/>
  </si>
  <si>
    <t>DayCounter</t>
    <phoneticPr fontId="3" type="noConversion"/>
  </si>
  <si>
    <t>ObjectID</t>
    <phoneticPr fontId="3" type="noConversion"/>
  </si>
  <si>
    <t>Quote</t>
    <phoneticPr fontId="3" type="noConversion"/>
  </si>
  <si>
    <t>QutoeObj</t>
    <phoneticPr fontId="3" type="noConversion"/>
  </si>
  <si>
    <t>TickValue</t>
    <phoneticPr fontId="3" type="noConversion"/>
  </si>
  <si>
    <t>Rate</t>
    <phoneticPr fontId="3" type="noConversion"/>
  </si>
  <si>
    <t>FixingDays</t>
    <phoneticPr fontId="3" type="noConversion"/>
  </si>
  <si>
    <t>Convention</t>
    <phoneticPr fontId="3" type="noConversion"/>
  </si>
  <si>
    <t>EndOfMonth</t>
    <phoneticPr fontId="3" type="noConversion"/>
  </si>
  <si>
    <t>FamilyName</t>
    <phoneticPr fontId="3" type="noConversion"/>
  </si>
  <si>
    <t>BDayConvention</t>
    <phoneticPr fontId="3" type="noConversion"/>
  </si>
  <si>
    <t>EndofMonth</t>
    <phoneticPr fontId="3" type="noConversion"/>
  </si>
  <si>
    <t>FwdCurve</t>
    <phoneticPr fontId="3" type="noConversion"/>
  </si>
  <si>
    <t>3M</t>
    <phoneticPr fontId="3" type="noConversion"/>
  </si>
  <si>
    <t>MF</t>
    <phoneticPr fontId="3" type="noConversion"/>
  </si>
  <si>
    <t>ObjectId</t>
  </si>
  <si>
    <t>Ndays</t>
  </si>
  <si>
    <t>Calendar</t>
  </si>
  <si>
    <t>RateHelpers</t>
  </si>
  <si>
    <t>DayCounter</t>
  </si>
  <si>
    <t>Jumps</t>
  </si>
  <si>
    <t>JumpDates</t>
  </si>
  <si>
    <t>Accuracy</t>
  </si>
  <si>
    <t>TraitsID</t>
  </si>
  <si>
    <t>InterpolatiorID</t>
  </si>
  <si>
    <t>Permanent</t>
  </si>
  <si>
    <t>Trigger</t>
  </si>
  <si>
    <t>Overwrite</t>
  </si>
  <si>
    <t>qlPiecewiseYieldCurve</t>
    <phoneticPr fontId="3" type="noConversion"/>
  </si>
  <si>
    <t>YieldTSZeroRate</t>
    <phoneticPr fontId="3" type="noConversion"/>
  </si>
  <si>
    <t>Date</t>
    <phoneticPr fontId="3" type="noConversion"/>
  </si>
  <si>
    <t>Linear</t>
    <phoneticPr fontId="3" type="noConversion"/>
  </si>
  <si>
    <t>SettlDays</t>
    <phoneticPr fontId="3" type="noConversion"/>
  </si>
  <si>
    <t>FixedLegFrequency</t>
    <phoneticPr fontId="3" type="noConversion"/>
  </si>
  <si>
    <t>FixedLegConvention</t>
    <phoneticPr fontId="3" type="noConversion"/>
  </si>
  <si>
    <t>FixedLegDayCounter</t>
    <phoneticPr fontId="3" type="noConversion"/>
  </si>
  <si>
    <t>IborIndex</t>
    <phoneticPr fontId="3" type="noConversion"/>
  </si>
  <si>
    <t>Spread</t>
    <phoneticPr fontId="3" type="noConversion"/>
  </si>
  <si>
    <t>ForwardStart</t>
    <phoneticPr fontId="3" type="noConversion"/>
  </si>
  <si>
    <t>DiscountingCurve</t>
    <phoneticPr fontId="3" type="noConversion"/>
  </si>
  <si>
    <t>PillarDate</t>
    <phoneticPr fontId="3" type="noConversion"/>
  </si>
  <si>
    <t>CustomPillarDate</t>
    <phoneticPr fontId="3" type="noConversion"/>
  </si>
  <si>
    <t>0D</t>
  </si>
  <si>
    <t>Helper Obj</t>
    <phoneticPr fontId="3" type="noConversion"/>
  </si>
  <si>
    <t>zero rate</t>
    <phoneticPr fontId="3" type="noConversion"/>
  </si>
  <si>
    <t>Days</t>
    <phoneticPr fontId="3" type="noConversion"/>
  </si>
  <si>
    <t>DF</t>
    <phoneticPr fontId="2" type="noConversion"/>
  </si>
  <si>
    <t>SettingsEvaluationDate</t>
    <phoneticPr fontId="3" type="noConversion"/>
  </si>
  <si>
    <t>ZeroYield</t>
  </si>
  <si>
    <t>Annual</t>
    <phoneticPr fontId="2" type="noConversion"/>
  </si>
  <si>
    <t>4Y</t>
  </si>
  <si>
    <t>6Y</t>
  </si>
  <si>
    <t>YieldCurve</t>
  </si>
  <si>
    <t>USD</t>
    <phoneticPr fontId="3" type="noConversion"/>
  </si>
  <si>
    <t>A/360</t>
    <phoneticPr fontId="3" type="noConversion"/>
  </si>
  <si>
    <t>USD</t>
  </si>
  <si>
    <t>qlCalendarAdvance</t>
    <phoneticPr fontId="3" type="noConversion"/>
  </si>
  <si>
    <t>calendar</t>
    <phoneticPr fontId="3" type="noConversion"/>
  </si>
  <si>
    <t>StartDate</t>
    <phoneticPr fontId="3" type="noConversion"/>
  </si>
  <si>
    <t>Period</t>
    <phoneticPr fontId="3" type="noConversion"/>
  </si>
  <si>
    <t>BusinessDayConvention</t>
    <phoneticPr fontId="3" type="noConversion"/>
  </si>
  <si>
    <t>F</t>
    <phoneticPr fontId="3" type="noConversion"/>
  </si>
  <si>
    <t>2M</t>
  </si>
  <si>
    <t>UnitedStates::Settlement</t>
    <phoneticPr fontId="2" type="noConversion"/>
  </si>
  <si>
    <t>4M</t>
  </si>
  <si>
    <t>5M</t>
  </si>
  <si>
    <t>USDZC</t>
    <phoneticPr fontId="2" type="noConversion"/>
  </si>
  <si>
    <t>USDDF</t>
    <phoneticPr fontId="2" type="noConversion"/>
  </si>
  <si>
    <t>qlDepositRateHelper2</t>
    <phoneticPr fontId="3" type="noConversion"/>
  </si>
  <si>
    <t>F</t>
    <phoneticPr fontId="2" type="noConversion"/>
  </si>
  <si>
    <t>Discount</t>
    <phoneticPr fontId="2" type="noConversion"/>
  </si>
  <si>
    <t>qlYieldTSZeroRate</t>
  </si>
  <si>
    <t>Continuous</t>
  </si>
  <si>
    <t>US LIBOR</t>
    <phoneticPr fontId="2" type="noConversion"/>
  </si>
  <si>
    <t>US</t>
    <phoneticPr fontId="2" type="noConversion"/>
  </si>
  <si>
    <t>USIndex</t>
    <phoneticPr fontId="3" type="noConversion"/>
  </si>
  <si>
    <t>Currency</t>
  </si>
  <si>
    <t>Tenor</t>
  </si>
  <si>
    <t>Floating Index Obj</t>
    <phoneticPr fontId="3" type="noConversion"/>
  </si>
  <si>
    <t>USLIBOR3M</t>
    <phoneticPr fontId="2" type="noConversion"/>
  </si>
  <si>
    <t>UnitedStates::Settlement</t>
  </si>
  <si>
    <t>USD1MD=</t>
  </si>
  <si>
    <t>PRIMACT_1</t>
  </si>
  <si>
    <t>SEC_ACT_1</t>
  </si>
  <si>
    <t>USD2MD=</t>
  </si>
  <si>
    <t>USD3MD=</t>
  </si>
  <si>
    <t>USD4MD=</t>
  </si>
  <si>
    <t>USD5MD=</t>
  </si>
  <si>
    <t>USDAM3L1Y=</t>
  </si>
  <si>
    <t>USDAM3L2Y=</t>
  </si>
  <si>
    <t>USDAM3L3Y=</t>
  </si>
  <si>
    <t>USDAM3L4Y=</t>
  </si>
  <si>
    <t>USDAM3L5Y=</t>
  </si>
  <si>
    <t>USDAM3L6Y=</t>
  </si>
  <si>
    <t>USDAM3L7Y=</t>
  </si>
  <si>
    <t>F</t>
    <phoneticPr fontId="2" type="noConversion"/>
  </si>
  <si>
    <t>Forward</t>
    <phoneticPr fontId="2" type="noConversion"/>
  </si>
  <si>
    <t>Schedule Obj</t>
    <phoneticPr fontId="2" type="noConversion"/>
  </si>
  <si>
    <t>EffectiveDate</t>
    <phoneticPr fontId="3" type="noConversion"/>
  </si>
  <si>
    <t>TerminationDate</t>
    <phoneticPr fontId="3" type="noConversion"/>
  </si>
  <si>
    <t>TermDateConv</t>
    <phoneticPr fontId="3" type="noConversion"/>
  </si>
  <si>
    <t>GenRule</t>
    <phoneticPr fontId="3" type="noConversion"/>
  </si>
  <si>
    <t>FirstDate</t>
    <phoneticPr fontId="3" type="noConversion"/>
  </si>
  <si>
    <t>NextToLastDate</t>
    <phoneticPr fontId="3" type="noConversion"/>
  </si>
  <si>
    <t>US023135BY17Sch</t>
  </si>
  <si>
    <t>6M</t>
  </si>
  <si>
    <t>MF</t>
  </si>
  <si>
    <t>F</t>
  </si>
  <si>
    <t>Backward</t>
  </si>
  <si>
    <t>Description</t>
    <phoneticPr fontId="3" type="noConversion"/>
  </si>
  <si>
    <t>SettlementDays</t>
    <phoneticPr fontId="3" type="noConversion"/>
  </si>
  <si>
    <t>FaceAmount</t>
    <phoneticPr fontId="3" type="noConversion"/>
  </si>
  <si>
    <t>ScheduleID</t>
    <phoneticPr fontId="3" type="noConversion"/>
  </si>
  <si>
    <t>Coupons</t>
    <phoneticPr fontId="3" type="noConversion"/>
  </si>
  <si>
    <t>PaymentBDC</t>
    <phoneticPr fontId="3" type="noConversion"/>
  </si>
  <si>
    <t>Redemption</t>
    <phoneticPr fontId="3" type="noConversion"/>
  </si>
  <si>
    <t>IssueDate</t>
    <phoneticPr fontId="3" type="noConversion"/>
  </si>
  <si>
    <t>PaymentCalendar</t>
    <phoneticPr fontId="3" type="noConversion"/>
  </si>
  <si>
    <t>US023135BY17</t>
  </si>
  <si>
    <t>30/360</t>
  </si>
  <si>
    <t>Following</t>
  </si>
  <si>
    <t>Bond Obj</t>
    <phoneticPr fontId="2" type="noConversion"/>
  </si>
  <si>
    <t>YieldCurve</t>
    <phoneticPr fontId="3" type="noConversion"/>
  </si>
  <si>
    <t>BondObj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</si>
</sst>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_-;\-* #,##0.00_-;_-* &quot;-&quot;??_-;_-@_-"/>
    <numFmt numFmtId="176" formatCode="0.00000%"/>
    <numFmt numFmtId="177" formatCode="0_ "/>
    <numFmt numFmtId="178" formatCode="0.00000000_ "/>
    <numFmt numFmtId="179" formatCode="0_);[Red]\(0\)"/>
    <numFmt numFmtId="180" formatCode="0.000%"/>
    <numFmt numFmtId="182" formatCode="_-* #,##0_-;\-* #,##0_-;_-* &quot;-&quot;??_-;_-@_-"/>
  </numFmts>
  <fonts count="1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1"/>
      <color indexed="12"/>
      <name val="Calibri"/>
      <family val="2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2"/>
      <color theme="1"/>
      <name val="Calibri"/>
      <family val="2"/>
    </font>
    <font>
      <b/>
      <sz val="12"/>
      <color rgb="FFFF0000"/>
      <name val="Calibri"/>
      <family val="2"/>
    </font>
    <font>
      <sz val="11"/>
      <color theme="0"/>
      <name val="Calibri"/>
      <family val="2"/>
    </font>
    <font>
      <sz val="11"/>
      <color rgb="FF0000FF"/>
      <name val="Calibri"/>
      <family val="2"/>
    </font>
    <font>
      <b/>
      <sz val="12"/>
      <color theme="1"/>
      <name val="Calibri"/>
      <family val="2"/>
    </font>
    <font>
      <sz val="12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4" fillId="0" borderId="0" xfId="0" applyFont="1" applyBorder="1">
      <alignment vertical="center"/>
    </xf>
    <xf numFmtId="14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4" fillId="0" borderId="0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2" borderId="0" xfId="0" applyFont="1" applyFill="1">
      <alignment vertical="center"/>
    </xf>
    <xf numFmtId="0" fontId="4" fillId="0" borderId="0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4" fontId="5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7" fillId="3" borderId="0" xfId="0" applyFont="1" applyFill="1">
      <alignment vertical="center"/>
    </xf>
    <xf numFmtId="0" fontId="5" fillId="3" borderId="0" xfId="0" applyFont="1" applyFill="1">
      <alignment vertical="center"/>
    </xf>
    <xf numFmtId="14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14" fontId="5" fillId="0" borderId="0" xfId="0" applyNumberFormat="1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176" fontId="5" fillId="0" borderId="0" xfId="1" applyNumberFormat="1" applyFont="1">
      <alignment vertical="center"/>
    </xf>
    <xf numFmtId="177" fontId="5" fillId="0" borderId="0" xfId="1" applyNumberFormat="1" applyFont="1">
      <alignment vertical="center"/>
    </xf>
    <xf numFmtId="0" fontId="8" fillId="5" borderId="0" xfId="0" applyFont="1" applyFill="1" applyBorder="1" applyAlignment="1">
      <alignment horizontal="center" vertical="center"/>
    </xf>
    <xf numFmtId="14" fontId="7" fillId="0" borderId="0" xfId="0" applyNumberFormat="1" applyFont="1">
      <alignment vertical="center"/>
    </xf>
    <xf numFmtId="0" fontId="10" fillId="0" borderId="0" xfId="0" applyFont="1">
      <alignment vertical="center"/>
    </xf>
    <xf numFmtId="179" fontId="5" fillId="2" borderId="0" xfId="0" applyNumberFormat="1" applyFont="1" applyFill="1" applyAlignment="1">
      <alignment horizontal="left" vertical="center"/>
    </xf>
    <xf numFmtId="0" fontId="9" fillId="0" borderId="0" xfId="0" applyFont="1" applyBorder="1" applyAlignment="1">
      <alignment horizontal="center" vertical="center"/>
    </xf>
    <xf numFmtId="14" fontId="9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1" fillId="0" borderId="0" xfId="0" applyFont="1">
      <alignment vertical="center"/>
    </xf>
    <xf numFmtId="176" fontId="5" fillId="6" borderId="0" xfId="1" applyNumberFormat="1" applyFont="1" applyFill="1">
      <alignment vertical="center"/>
    </xf>
    <xf numFmtId="178" fontId="5" fillId="6" borderId="0" xfId="1" applyNumberFormat="1" applyFont="1" applyFill="1">
      <alignment vertical="center"/>
    </xf>
    <xf numFmtId="0" fontId="6" fillId="0" borderId="0" xfId="0" applyFont="1">
      <alignment vertical="center"/>
    </xf>
    <xf numFmtId="180" fontId="9" fillId="0" borderId="0" xfId="0" applyNumberFormat="1" applyFont="1">
      <alignment vertical="center"/>
    </xf>
    <xf numFmtId="0" fontId="12" fillId="7" borderId="0" xfId="0" applyFont="1" applyFill="1">
      <alignment vertical="center"/>
    </xf>
    <xf numFmtId="0" fontId="13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176" fontId="7" fillId="0" borderId="0" xfId="1" applyNumberFormat="1" applyFont="1">
      <alignment vertical="center"/>
    </xf>
    <xf numFmtId="10" fontId="5" fillId="0" borderId="0" xfId="0" applyNumberFormat="1" applyFont="1">
      <alignment vertical="center"/>
    </xf>
    <xf numFmtId="0" fontId="14" fillId="0" borderId="0" xfId="0" applyFont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0" fontId="15" fillId="0" borderId="0" xfId="0" applyFont="1">
      <alignment vertical="center"/>
    </xf>
    <xf numFmtId="14" fontId="10" fillId="0" borderId="0" xfId="0" applyNumberFormat="1" applyFont="1">
      <alignment vertical="center"/>
    </xf>
    <xf numFmtId="182" fontId="4" fillId="0" borderId="0" xfId="2" applyNumberFormat="1" applyFont="1" applyBorder="1" applyAlignment="1">
      <alignment horizontal="center" vertical="center"/>
    </xf>
  </cellXfs>
  <cellStyles count="3">
    <cellStyle name="一般" xfId="0" builtinId="0"/>
    <cellStyle name="千分位" xfId="2" builtinId="3"/>
    <cellStyle name="百分比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chien/Desktop/YieldCurve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es"/>
      <sheetName val="RateHelpers"/>
      <sheetName val="Bootstrapping"/>
    </sheetNames>
    <sheetDataSet>
      <sheetData sheetId="0">
        <row r="1">
          <cell r="B1" t="str">
            <v>obj_00015#0000</v>
          </cell>
        </row>
      </sheetData>
      <sheetData sheetId="1">
        <row r="12">
          <cell r="A12" t="e">
            <v>#NUM!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137"/>
  <sheetViews>
    <sheetView topLeftCell="A13" workbookViewId="0">
      <selection activeCell="B41" sqref="B41"/>
    </sheetView>
  </sheetViews>
  <sheetFormatPr defaultColWidth="9" defaultRowHeight="15" x14ac:dyDescent="0.25"/>
  <cols>
    <col min="1" max="1" width="20.375" style="3" customWidth="1"/>
    <col min="2" max="3" width="14" style="3" customWidth="1"/>
    <col min="4" max="8" width="10.5" style="3" customWidth="1"/>
    <col min="9" max="9" width="16.375" style="3" customWidth="1"/>
    <col min="10" max="10" width="14" style="3" customWidth="1"/>
    <col min="11" max="11" width="5.5" style="3" customWidth="1"/>
    <col min="12" max="12" width="9" style="3" customWidth="1"/>
    <col min="13" max="13" width="6.125" style="3" customWidth="1"/>
    <col min="14" max="14" width="8" style="3" customWidth="1"/>
    <col min="15" max="15" width="12.25" style="3" customWidth="1"/>
    <col min="16" max="16" width="10.25" style="3" customWidth="1"/>
    <col min="17" max="17" width="10.375" style="3" customWidth="1"/>
    <col min="18" max="18" width="10.625" style="3" customWidth="1"/>
    <col min="19" max="19" width="12.25" style="3" customWidth="1"/>
    <col min="20" max="20" width="9" style="3"/>
    <col min="21" max="21" width="10" style="3" bestFit="1" customWidth="1"/>
    <col min="22" max="24" width="9" style="3"/>
    <col min="25" max="25" width="9.375" style="3" customWidth="1"/>
    <col min="26" max="16384" width="9" style="3"/>
  </cols>
  <sheetData>
    <row r="1" spans="1:34" x14ac:dyDescent="0.25">
      <c r="A1" s="1" t="s">
        <v>7</v>
      </c>
      <c r="B1" s="15">
        <v>44642</v>
      </c>
      <c r="C1" s="15"/>
      <c r="D1" s="22" t="s">
        <v>61</v>
      </c>
      <c r="E1" s="22" t="s">
        <v>46</v>
      </c>
      <c r="F1" s="22" t="s">
        <v>60</v>
      </c>
      <c r="G1" s="22" t="s">
        <v>62</v>
      </c>
      <c r="H1" s="22" t="s">
        <v>112</v>
      </c>
    </row>
    <row r="2" spans="1:34" x14ac:dyDescent="0.25">
      <c r="A2" s="4" t="s">
        <v>8</v>
      </c>
      <c r="B2" s="3" t="b">
        <f>_xll.qlSettingsSetEvaluationDate(B1,B1)</f>
        <v>1</v>
      </c>
      <c r="D2" s="21">
        <f>E2-$B$1</f>
        <v>0</v>
      </c>
      <c r="E2" s="2">
        <f t="array" ref="E2:E14">_xll.qlPiecewiseYieldCurveDates(B24)</f>
        <v>44642</v>
      </c>
      <c r="F2" s="30">
        <f t="array" ref="F2:F14">_xll.qlYieldTSZeroRate(A42,E2:E14,A44,A45,A46,A47,A48)</f>
        <v>6.9478541075878118E-3</v>
      </c>
      <c r="G2" s="31">
        <f t="array" ref="G2:G14">_xll.qlYieldTSDiscount(A42,E2:E14,TRUE,B4)</f>
        <v>1</v>
      </c>
      <c r="H2" s="30">
        <f>_xll.qlYieldTSForwardRate($A$42,E2,E2,$A$44,$A$45,$A$46,$A$47,$A$48)</f>
        <v>6.9478541075878118E-3</v>
      </c>
      <c r="I2" s="28" t="s">
        <v>59</v>
      </c>
      <c r="J2" s="28" t="s">
        <v>19</v>
      </c>
      <c r="K2" s="28" t="s">
        <v>17</v>
      </c>
      <c r="L2" s="28" t="s">
        <v>18</v>
      </c>
      <c r="M2" s="28" t="s">
        <v>11</v>
      </c>
      <c r="N2" s="28" t="s">
        <v>20</v>
      </c>
      <c r="O2" s="28" t="s">
        <v>12</v>
      </c>
      <c r="P2" s="28" t="s">
        <v>13</v>
      </c>
      <c r="Q2" s="28" t="s">
        <v>14</v>
      </c>
      <c r="R2" s="28" t="s">
        <v>18</v>
      </c>
      <c r="S2" s="7" t="s">
        <v>72</v>
      </c>
      <c r="T2" s="28" t="s">
        <v>73</v>
      </c>
      <c r="U2" s="28" t="s">
        <v>74</v>
      </c>
      <c r="V2" s="28" t="s">
        <v>75</v>
      </c>
      <c r="W2" s="28" t="s">
        <v>76</v>
      </c>
      <c r="X2" s="28" t="s">
        <v>24</v>
      </c>
      <c r="Y2" s="28" t="s">
        <v>13</v>
      </c>
    </row>
    <row r="3" spans="1:34" x14ac:dyDescent="0.25">
      <c r="A3" s="1" t="s">
        <v>63</v>
      </c>
      <c r="B3" s="15">
        <f>_xll.qlSettingsEvaluationDate(B1)</f>
        <v>44642</v>
      </c>
      <c r="C3" s="15"/>
      <c r="D3" s="21">
        <f t="shared" ref="D3:D14" si="0">E3-$B$1</f>
        <v>34</v>
      </c>
      <c r="E3" s="2">
        <v>44676</v>
      </c>
      <c r="F3" s="30">
        <v>6.9478541059650716E-3</v>
      </c>
      <c r="G3" s="31">
        <v>0.99934402902197694</v>
      </c>
      <c r="H3" s="30">
        <f>_xll.qlYieldTSForwardRate($A$42,E3,E3,$A$44,$A$45,$A$46,$A$47,$A$48)</f>
        <v>7.5422887958212555E-3</v>
      </c>
      <c r="I3" s="32" t="str">
        <f>J31</f>
        <v>obj_000b4#0002</v>
      </c>
      <c r="J3" s="16" t="str">
        <f>_xll.qlSimpleQuote(,L3,N3,O3,P3,Q3)</f>
        <v>obj_000a7#0002</v>
      </c>
      <c r="L3" s="33">
        <f>R3/100</f>
        <v>6.9499999999999996E-3</v>
      </c>
      <c r="M3" s="5" t="s">
        <v>0</v>
      </c>
      <c r="N3" s="3">
        <v>0.01</v>
      </c>
      <c r="O3" s="10" t="b">
        <v>0</v>
      </c>
      <c r="P3" s="25">
        <f>$B$4</f>
        <v>1</v>
      </c>
      <c r="Q3" s="6" t="b">
        <v>1</v>
      </c>
      <c r="R3" s="34">
        <f>AH3</f>
        <v>0.69499999999999995</v>
      </c>
      <c r="S3" s="23">
        <f>_xll.qlCalendarAdvance(T3,U3,V3,W3,X3,Y3)</f>
        <v>44673</v>
      </c>
      <c r="T3" s="2" t="str">
        <f>$O$31</f>
        <v>UnitedStates::Settlement</v>
      </c>
      <c r="U3" s="2">
        <f>B1</f>
        <v>44642</v>
      </c>
      <c r="V3" s="5" t="str">
        <f>M3</f>
        <v>1M</v>
      </c>
      <c r="W3" s="3" t="s">
        <v>77</v>
      </c>
      <c r="X3" s="3" t="b">
        <v>0</v>
      </c>
      <c r="Y3" s="25">
        <f>$B$4</f>
        <v>1</v>
      </c>
      <c r="AB3" s="3" t="s">
        <v>0</v>
      </c>
      <c r="AC3" s="3" t="s">
        <v>97</v>
      </c>
      <c r="AD3" s="3" t="s">
        <v>98</v>
      </c>
      <c r="AE3" s="3" t="s">
        <v>99</v>
      </c>
      <c r="AF3" s="3">
        <v>0.56999999999999995</v>
      </c>
      <c r="AG3" s="3">
        <v>0.82</v>
      </c>
      <c r="AH3" s="3">
        <f>(AF3+AG3)/2</f>
        <v>0.69499999999999995</v>
      </c>
    </row>
    <row r="4" spans="1:34" x14ac:dyDescent="0.25">
      <c r="A4" s="7" t="s">
        <v>13</v>
      </c>
      <c r="B4" s="3">
        <v>1</v>
      </c>
      <c r="D4" s="21">
        <f t="shared" si="0"/>
        <v>63</v>
      </c>
      <c r="E4" s="2">
        <v>44705</v>
      </c>
      <c r="F4" s="30">
        <v>7.9613531945635103E-3</v>
      </c>
      <c r="G4" s="31">
        <v>0.99860773329477404</v>
      </c>
      <c r="H4" s="30">
        <f>_xll.qlYieldTSForwardRate($A$42,E4,E4,$A$44,$A$45,$A$46,$A$47,$A$48)</f>
        <v>1.1799455363630544E-2</v>
      </c>
      <c r="I4" s="32" t="str">
        <f t="shared" ref="I4:I6" si="1">J32</f>
        <v>obj_000ab#0002</v>
      </c>
      <c r="J4" s="16" t="str">
        <f>_xll.qlSimpleQuote(,L4,N4,O4,P4,Q4)</f>
        <v>obj_000a5#0002</v>
      </c>
      <c r="L4" s="33">
        <f t="shared" ref="L4:L14" si="2">R4/100</f>
        <v>8.0000000000000002E-3</v>
      </c>
      <c r="M4" s="5" t="s">
        <v>78</v>
      </c>
      <c r="N4" s="3">
        <f>$N$3</f>
        <v>0.01</v>
      </c>
      <c r="O4" s="10" t="b">
        <v>0</v>
      </c>
      <c r="P4" s="25">
        <f t="shared" ref="P4:P14" si="3">$B$4</f>
        <v>1</v>
      </c>
      <c r="Q4" s="6" t="b">
        <v>1</v>
      </c>
      <c r="R4" s="34">
        <f t="shared" ref="R4:R14" si="4">AH4</f>
        <v>0.8</v>
      </c>
      <c r="S4" s="23">
        <f>_xll.qlCalendarAdvance(T4,U4,V4,W4,X4,Y4)</f>
        <v>44734</v>
      </c>
      <c r="T4" s="2" t="str">
        <f t="shared" ref="T4:T14" si="5">$O$31</f>
        <v>UnitedStates::Settlement</v>
      </c>
      <c r="U4" s="2">
        <f>S3</f>
        <v>44673</v>
      </c>
      <c r="V4" s="5" t="str">
        <f t="shared" ref="V4:V14" si="6">M4</f>
        <v>2M</v>
      </c>
      <c r="W4" s="3" t="s">
        <v>77</v>
      </c>
      <c r="X4" s="3" t="b">
        <v>0</v>
      </c>
      <c r="Y4" s="25">
        <f t="shared" ref="Y4:Y14" si="7">$B$4</f>
        <v>1</v>
      </c>
      <c r="AB4" s="3" t="s">
        <v>78</v>
      </c>
      <c r="AC4" s="3" t="s">
        <v>100</v>
      </c>
      <c r="AD4" s="3" t="s">
        <v>98</v>
      </c>
      <c r="AE4" s="3" t="s">
        <v>99</v>
      </c>
      <c r="AF4" s="3">
        <v>0.7</v>
      </c>
      <c r="AG4" s="3">
        <v>0.9</v>
      </c>
      <c r="AH4" s="3">
        <f t="shared" ref="AH4:AH14" si="8">(AF4+AG4)/2</f>
        <v>0.8</v>
      </c>
    </row>
    <row r="5" spans="1:34" x14ac:dyDescent="0.25">
      <c r="D5" s="21">
        <f t="shared" si="0"/>
        <v>94</v>
      </c>
      <c r="E5" s="2">
        <v>44736</v>
      </c>
      <c r="F5" s="30">
        <v>1.0654677550654461E-2</v>
      </c>
      <c r="G5" s="31">
        <v>0.9972218116341014</v>
      </c>
      <c r="H5" s="30">
        <f>_xll.qlYieldTSForwardRate($A$42,E5,E5,$A$44,$A$45,$A$46,$A$47,$A$48)</f>
        <v>1.6989710234606027E-2</v>
      </c>
      <c r="I5" s="32" t="str">
        <f t="shared" si="1"/>
        <v>obj_000b1#0002</v>
      </c>
      <c r="J5" s="16" t="str">
        <f>_xll.qlSimpleQuote(,L5,N5,O5,P5,Q5)</f>
        <v>obj_000a9#0002</v>
      </c>
      <c r="L5" s="33">
        <f t="shared" si="2"/>
        <v>1.0749999999999999E-2</v>
      </c>
      <c r="M5" s="5" t="s">
        <v>1</v>
      </c>
      <c r="N5" s="3">
        <f t="shared" ref="N5:N14" si="9">$N$3</f>
        <v>0.01</v>
      </c>
      <c r="O5" s="10" t="b">
        <v>0</v>
      </c>
      <c r="P5" s="25">
        <f t="shared" si="3"/>
        <v>1</v>
      </c>
      <c r="Q5" s="6" t="b">
        <v>1</v>
      </c>
      <c r="R5" s="34">
        <f t="shared" si="4"/>
        <v>1.075</v>
      </c>
      <c r="S5" s="23">
        <f>_xll.qlCalendarAdvance(T5,U5,V5,W5,X5,Y5)</f>
        <v>44826</v>
      </c>
      <c r="T5" s="2" t="str">
        <f t="shared" si="5"/>
        <v>UnitedStates::Settlement</v>
      </c>
      <c r="U5" s="2">
        <f>S4</f>
        <v>44734</v>
      </c>
      <c r="V5" s="5" t="str">
        <f t="shared" si="6"/>
        <v>3M</v>
      </c>
      <c r="W5" s="3" t="s">
        <v>77</v>
      </c>
      <c r="X5" s="3" t="b">
        <v>0</v>
      </c>
      <c r="Y5" s="25">
        <f t="shared" si="7"/>
        <v>1</v>
      </c>
      <c r="AB5" s="3" t="s">
        <v>1</v>
      </c>
      <c r="AC5" s="3" t="s">
        <v>101</v>
      </c>
      <c r="AD5" s="3" t="s">
        <v>98</v>
      </c>
      <c r="AE5" s="3" t="s">
        <v>99</v>
      </c>
      <c r="AF5" s="3">
        <v>0.95</v>
      </c>
      <c r="AG5" s="3">
        <v>1.2</v>
      </c>
      <c r="AH5" s="3">
        <f t="shared" si="8"/>
        <v>1.075</v>
      </c>
    </row>
    <row r="6" spans="1:34" x14ac:dyDescent="0.25">
      <c r="A6" s="3" t="s">
        <v>89</v>
      </c>
      <c r="B6" s="17" t="str">
        <f>_xll.qlIborIndex(B7,B8,B9,B10,B11,B12,B13,B14,B15,B16,B17,B18,B19)</f>
        <v>US#0002</v>
      </c>
      <c r="C6" s="17"/>
      <c r="D6" s="21">
        <f t="shared" si="0"/>
        <v>125</v>
      </c>
      <c r="E6" s="2">
        <v>44767</v>
      </c>
      <c r="F6" s="30">
        <v>1.2140010325405813E-2</v>
      </c>
      <c r="G6" s="31">
        <v>0.99579359046536786</v>
      </c>
      <c r="H6" s="30">
        <f>_xll.qlYieldTSForwardRate($A$42,E6,E6,$A$44,$A$45,$A$46,$A$47,$A$48)</f>
        <v>1.6178408564195036E-2</v>
      </c>
      <c r="I6" s="32" t="str">
        <f t="shared" si="1"/>
        <v>obj_000af#0002</v>
      </c>
      <c r="J6" s="16" t="str">
        <f>_xll.qlSimpleQuote(,L6,N6,O6,P6,Q6)</f>
        <v>obj_0009f#0002</v>
      </c>
      <c r="L6" s="33">
        <f t="shared" si="2"/>
        <v>1.225E-2</v>
      </c>
      <c r="M6" s="5" t="s">
        <v>80</v>
      </c>
      <c r="N6" s="3">
        <f t="shared" si="9"/>
        <v>0.01</v>
      </c>
      <c r="O6" s="10" t="b">
        <v>0</v>
      </c>
      <c r="P6" s="25">
        <f t="shared" si="3"/>
        <v>1</v>
      </c>
      <c r="Q6" s="6" t="b">
        <v>1</v>
      </c>
      <c r="R6" s="34">
        <f t="shared" si="4"/>
        <v>1.2250000000000001</v>
      </c>
      <c r="S6" s="23">
        <f>_xll.qlCalendarAdvance(T6,U6,V6,W6,X6,Y6)</f>
        <v>44858</v>
      </c>
      <c r="T6" s="2" t="str">
        <f t="shared" si="5"/>
        <v>UnitedStates::Settlement</v>
      </c>
      <c r="U6" s="2">
        <f>S4</f>
        <v>44734</v>
      </c>
      <c r="V6" s="5" t="str">
        <f t="shared" si="6"/>
        <v>4M</v>
      </c>
      <c r="W6" s="3" t="s">
        <v>77</v>
      </c>
      <c r="X6" s="3" t="b">
        <v>0</v>
      </c>
      <c r="Y6" s="25">
        <f t="shared" si="7"/>
        <v>1</v>
      </c>
      <c r="AB6" s="3" t="s">
        <v>80</v>
      </c>
      <c r="AC6" s="3" t="s">
        <v>102</v>
      </c>
      <c r="AD6" s="3" t="s">
        <v>98</v>
      </c>
      <c r="AE6" s="3" t="s">
        <v>99</v>
      </c>
      <c r="AF6" s="3">
        <v>1.1000000000000001</v>
      </c>
      <c r="AG6" s="3">
        <v>1.35</v>
      </c>
      <c r="AH6" s="3">
        <f t="shared" si="8"/>
        <v>1.2250000000000001</v>
      </c>
    </row>
    <row r="7" spans="1:34" x14ac:dyDescent="0.25">
      <c r="A7" s="7" t="s">
        <v>9</v>
      </c>
      <c r="B7" s="8" t="s">
        <v>90</v>
      </c>
      <c r="C7" s="8"/>
      <c r="D7" s="21">
        <f t="shared" si="0"/>
        <v>155</v>
      </c>
      <c r="E7" s="2">
        <v>44797</v>
      </c>
      <c r="F7" s="30">
        <v>1.264115748944496E-2</v>
      </c>
      <c r="G7" s="31">
        <v>0.99457206418267141</v>
      </c>
      <c r="H7" s="30">
        <f>_xll.qlYieldTSForwardRate($A$42,E7,E7,$A$44,$A$45,$A$46,$A$47,$A$48)</f>
        <v>1.6609296065140573E-2</v>
      </c>
      <c r="I7" s="32" t="str">
        <f>J35</f>
        <v>obj_000b3#0002</v>
      </c>
      <c r="J7" s="16" t="str">
        <f>_xll.qlSimpleQuote(,L7,N7,O7,P7,Q7)</f>
        <v>obj_000a1#0002</v>
      </c>
      <c r="L7" s="33">
        <f t="shared" si="2"/>
        <v>1.2749999999999999E-2</v>
      </c>
      <c r="M7" s="5" t="s">
        <v>81</v>
      </c>
      <c r="N7" s="3">
        <f t="shared" si="9"/>
        <v>0.01</v>
      </c>
      <c r="O7" s="10" t="b">
        <v>0</v>
      </c>
      <c r="P7" s="25">
        <f t="shared" si="3"/>
        <v>1</v>
      </c>
      <c r="Q7" s="6" t="b">
        <v>1</v>
      </c>
      <c r="R7" s="34">
        <f t="shared" si="4"/>
        <v>1.2749999999999999</v>
      </c>
      <c r="S7" s="23">
        <f>_xll.qlCalendarAdvance(T7,U7,V7,W7,X7,Y7)</f>
        <v>44887</v>
      </c>
      <c r="T7" s="2" t="str">
        <f t="shared" si="5"/>
        <v>UnitedStates::Settlement</v>
      </c>
      <c r="U7" s="2">
        <f>$U$6</f>
        <v>44734</v>
      </c>
      <c r="V7" s="5" t="str">
        <f t="shared" si="6"/>
        <v>5M</v>
      </c>
      <c r="W7" s="3" t="s">
        <v>77</v>
      </c>
      <c r="X7" s="3" t="b">
        <v>0</v>
      </c>
      <c r="Y7" s="25">
        <f t="shared" si="7"/>
        <v>1</v>
      </c>
      <c r="AB7" s="3" t="s">
        <v>81</v>
      </c>
      <c r="AC7" s="3" t="s">
        <v>103</v>
      </c>
      <c r="AD7" s="3" t="s">
        <v>98</v>
      </c>
      <c r="AE7" s="3" t="s">
        <v>99</v>
      </c>
      <c r="AF7" s="3">
        <v>1.1499999999999999</v>
      </c>
      <c r="AG7" s="3">
        <v>1.4</v>
      </c>
      <c r="AH7" s="3">
        <f t="shared" si="8"/>
        <v>1.2749999999999999</v>
      </c>
    </row>
    <row r="8" spans="1:34" x14ac:dyDescent="0.25">
      <c r="A8" s="7" t="s">
        <v>25</v>
      </c>
      <c r="B8" s="8" t="s">
        <v>91</v>
      </c>
      <c r="C8" s="8"/>
      <c r="D8" s="21">
        <f t="shared" si="0"/>
        <v>367</v>
      </c>
      <c r="E8" s="2">
        <v>45009</v>
      </c>
      <c r="F8" s="30">
        <v>1.9954058625175335E-2</v>
      </c>
      <c r="G8" s="31">
        <v>0.97986344955996696</v>
      </c>
      <c r="H8" s="30">
        <f>_xll.qlYieldTSForwardRate($A$42,E8,E8,$A$44,$A$45,$A$46,$A$47,$A$48)</f>
        <v>2.9277728798864013E-2</v>
      </c>
      <c r="I8" s="32" t="str">
        <f>J48</f>
        <v>obj_000b5#0002</v>
      </c>
      <c r="J8" s="16" t="str">
        <f>_xll.qlSimpleQuote(,L8,N8,O8,P8,Q8)</f>
        <v>obj_000a6#0002</v>
      </c>
      <c r="L8" s="33">
        <f t="shared" si="2"/>
        <v>2.0230000000000001E-2</v>
      </c>
      <c r="M8" s="5" t="s">
        <v>2</v>
      </c>
      <c r="N8" s="3">
        <f t="shared" si="9"/>
        <v>0.01</v>
      </c>
      <c r="O8" s="10" t="b">
        <v>0</v>
      </c>
      <c r="P8" s="25">
        <f t="shared" si="3"/>
        <v>1</v>
      </c>
      <c r="Q8" s="6" t="b">
        <v>1</v>
      </c>
      <c r="R8" s="34">
        <f t="shared" si="4"/>
        <v>2.0230000000000001</v>
      </c>
      <c r="S8" s="23">
        <f>_xll.qlCalendarAdvance(T8,U8,V8,W8,X8,Y8)</f>
        <v>45099</v>
      </c>
      <c r="T8" s="2" t="str">
        <f t="shared" si="5"/>
        <v>UnitedStates::Settlement</v>
      </c>
      <c r="U8" s="2">
        <f t="shared" ref="U8:U14" si="10">$U$6</f>
        <v>44734</v>
      </c>
      <c r="V8" s="5" t="str">
        <f t="shared" si="6"/>
        <v>1Y</v>
      </c>
      <c r="W8" s="3" t="s">
        <v>77</v>
      </c>
      <c r="X8" s="3" t="b">
        <v>0</v>
      </c>
      <c r="Y8" s="25">
        <f t="shared" si="7"/>
        <v>1</v>
      </c>
      <c r="AB8" s="3" t="s">
        <v>2</v>
      </c>
      <c r="AC8" s="3" t="s">
        <v>104</v>
      </c>
      <c r="AD8" s="3" t="s">
        <v>98</v>
      </c>
      <c r="AE8" s="3" t="s">
        <v>99</v>
      </c>
      <c r="AF8" s="3">
        <v>2.0030000000000001</v>
      </c>
      <c r="AG8" s="3">
        <v>2.0430000000000001</v>
      </c>
      <c r="AH8" s="3">
        <f t="shared" si="8"/>
        <v>2.0230000000000001</v>
      </c>
    </row>
    <row r="9" spans="1:34" x14ac:dyDescent="0.25">
      <c r="A9" s="7" t="s">
        <v>11</v>
      </c>
      <c r="B9" s="8" t="s">
        <v>29</v>
      </c>
      <c r="C9" s="8"/>
      <c r="D9" s="21">
        <f t="shared" si="0"/>
        <v>734</v>
      </c>
      <c r="E9" s="2">
        <v>45376</v>
      </c>
      <c r="F9" s="30">
        <v>2.5942128466480776E-2</v>
      </c>
      <c r="G9" s="31">
        <v>0.94848138314102204</v>
      </c>
      <c r="H9" s="30">
        <f>_xll.qlYieldTSForwardRate($A$42,E9,E9,$A$44,$A$45,$A$46,$A$47,$A$48)</f>
        <v>3.3022117222873147E-2</v>
      </c>
      <c r="I9" s="32" t="str">
        <f t="shared" ref="I9:I14" si="11">J49</f>
        <v>obj_000b6#0002</v>
      </c>
      <c r="J9" s="16" t="str">
        <f>_xll.qlSimpleQuote(,L9,N9,O9,P9,Q9)</f>
        <v>obj_000aa#0002</v>
      </c>
      <c r="L9" s="33">
        <f t="shared" si="2"/>
        <v>2.6260000000000002E-2</v>
      </c>
      <c r="M9" s="5" t="s">
        <v>3</v>
      </c>
      <c r="N9" s="3">
        <f t="shared" si="9"/>
        <v>0.01</v>
      </c>
      <c r="O9" s="10" t="b">
        <v>0</v>
      </c>
      <c r="P9" s="25">
        <f t="shared" si="3"/>
        <v>1</v>
      </c>
      <c r="Q9" s="6" t="b">
        <v>1</v>
      </c>
      <c r="R9" s="34">
        <f t="shared" si="4"/>
        <v>2.6260000000000003</v>
      </c>
      <c r="S9" s="23">
        <f>_xll.qlCalendarAdvance(T9,U9,V9,W9,X9,Y9)</f>
        <v>45467</v>
      </c>
      <c r="T9" s="2" t="str">
        <f t="shared" si="5"/>
        <v>UnitedStates::Settlement</v>
      </c>
      <c r="U9" s="2">
        <f t="shared" si="10"/>
        <v>44734</v>
      </c>
      <c r="V9" s="5" t="str">
        <f t="shared" si="6"/>
        <v>2Y</v>
      </c>
      <c r="W9" s="3" t="s">
        <v>77</v>
      </c>
      <c r="X9" s="3" t="b">
        <v>0</v>
      </c>
      <c r="Y9" s="25">
        <f t="shared" si="7"/>
        <v>1</v>
      </c>
      <c r="AB9" s="3" t="s">
        <v>3</v>
      </c>
      <c r="AC9" s="3" t="s">
        <v>105</v>
      </c>
      <c r="AD9" s="3" t="s">
        <v>98</v>
      </c>
      <c r="AE9" s="3" t="s">
        <v>99</v>
      </c>
      <c r="AF9" s="3">
        <v>2.6160000000000001</v>
      </c>
      <c r="AG9" s="3">
        <v>2.6360000000000001</v>
      </c>
      <c r="AH9" s="3">
        <f t="shared" si="8"/>
        <v>2.6260000000000003</v>
      </c>
    </row>
    <row r="10" spans="1:34" x14ac:dyDescent="0.25">
      <c r="A10" s="7" t="s">
        <v>22</v>
      </c>
      <c r="B10" s="8">
        <v>2</v>
      </c>
      <c r="C10" s="8"/>
      <c r="D10" s="21">
        <f t="shared" si="0"/>
        <v>1098</v>
      </c>
      <c r="E10" s="2">
        <v>45740</v>
      </c>
      <c r="F10" s="30">
        <v>2.7025240698889466E-2</v>
      </c>
      <c r="G10" s="31">
        <v>0.92087867415818914</v>
      </c>
      <c r="H10" s="30">
        <f>_xll.qlYieldTSForwardRate($A$42,E10,E10,$A$44,$A$45,$A$46,$A$47,$A$48)</f>
        <v>2.8457702176940054E-2</v>
      </c>
      <c r="I10" s="32" t="str">
        <f t="shared" si="11"/>
        <v>obj_000b2#0002</v>
      </c>
      <c r="J10" s="16" t="str">
        <f>_xll.qlSimpleQuote(,L10,N10,O10,P10,Q10)</f>
        <v>obj_000a4#0002</v>
      </c>
      <c r="L10" s="33">
        <f t="shared" si="2"/>
        <v>2.7350000000000003E-2</v>
      </c>
      <c r="M10" s="5" t="s">
        <v>4</v>
      </c>
      <c r="N10" s="3">
        <f t="shared" si="9"/>
        <v>0.01</v>
      </c>
      <c r="O10" s="10" t="b">
        <v>0</v>
      </c>
      <c r="P10" s="25">
        <f t="shared" si="3"/>
        <v>1</v>
      </c>
      <c r="Q10" s="6" t="b">
        <v>1</v>
      </c>
      <c r="R10" s="34">
        <f t="shared" si="4"/>
        <v>2.7350000000000003</v>
      </c>
      <c r="S10" s="23">
        <f>_xll.qlCalendarAdvance(T10,U10,V10,W10,X10,Y10)</f>
        <v>45831</v>
      </c>
      <c r="T10" s="2" t="str">
        <f t="shared" si="5"/>
        <v>UnitedStates::Settlement</v>
      </c>
      <c r="U10" s="2">
        <f t="shared" si="10"/>
        <v>44734</v>
      </c>
      <c r="V10" s="5" t="str">
        <f t="shared" si="6"/>
        <v>3Y</v>
      </c>
      <c r="W10" s="3" t="s">
        <v>77</v>
      </c>
      <c r="X10" s="3" t="b">
        <v>0</v>
      </c>
      <c r="Y10" s="25">
        <f t="shared" si="7"/>
        <v>1</v>
      </c>
      <c r="AB10" s="3" t="s">
        <v>4</v>
      </c>
      <c r="AC10" s="3" t="s">
        <v>106</v>
      </c>
      <c r="AD10" s="3" t="s">
        <v>98</v>
      </c>
      <c r="AE10" s="3" t="s">
        <v>99</v>
      </c>
      <c r="AF10" s="3">
        <v>2.73</v>
      </c>
      <c r="AG10" s="3">
        <v>2.74</v>
      </c>
      <c r="AH10" s="3">
        <f t="shared" si="8"/>
        <v>2.7350000000000003</v>
      </c>
    </row>
    <row r="11" spans="1:34" x14ac:dyDescent="0.25">
      <c r="A11" s="7" t="s">
        <v>10</v>
      </c>
      <c r="B11" s="8" t="s">
        <v>69</v>
      </c>
      <c r="C11" s="8"/>
      <c r="D11" s="21">
        <f t="shared" si="0"/>
        <v>1463</v>
      </c>
      <c r="E11" s="2">
        <v>46105</v>
      </c>
      <c r="F11" s="30">
        <v>2.689153798029853E-2</v>
      </c>
      <c r="G11" s="31">
        <v>0.89647558284046491</v>
      </c>
      <c r="H11" s="30">
        <f>_xll.qlYieldTSForwardRate($A$42,E11,E11,$A$44,$A$45,$A$46,$A$47,$A$48)</f>
        <v>2.6157709364298832E-2</v>
      </c>
      <c r="I11" s="32" t="str">
        <f t="shared" si="11"/>
        <v>obj_000ac#0002</v>
      </c>
      <c r="J11" s="16" t="str">
        <f>_xll.qlSimpleQuote(,L11,N11,O11,P11,Q11)</f>
        <v>obj_000a0#0002</v>
      </c>
      <c r="L11" s="33">
        <f t="shared" si="2"/>
        <v>2.7229999999999997E-2</v>
      </c>
      <c r="M11" s="5" t="s">
        <v>66</v>
      </c>
      <c r="N11" s="3">
        <f t="shared" si="9"/>
        <v>0.01</v>
      </c>
      <c r="O11" s="10" t="b">
        <v>0</v>
      </c>
      <c r="P11" s="25">
        <f t="shared" si="3"/>
        <v>1</v>
      </c>
      <c r="Q11" s="6" t="b">
        <v>1</v>
      </c>
      <c r="R11" s="34">
        <f t="shared" si="4"/>
        <v>2.7229999999999999</v>
      </c>
      <c r="S11" s="23">
        <f>_xll.qlCalendarAdvance(T11,U11,V11,W11,X11,Y11)</f>
        <v>46195</v>
      </c>
      <c r="T11" s="2" t="str">
        <f t="shared" si="5"/>
        <v>UnitedStates::Settlement</v>
      </c>
      <c r="U11" s="2">
        <f t="shared" si="10"/>
        <v>44734</v>
      </c>
      <c r="V11" s="5" t="str">
        <f t="shared" si="6"/>
        <v>4Y</v>
      </c>
      <c r="W11" s="3" t="s">
        <v>77</v>
      </c>
      <c r="X11" s="3" t="b">
        <v>0</v>
      </c>
      <c r="Y11" s="25">
        <f t="shared" si="7"/>
        <v>1</v>
      </c>
      <c r="AB11" s="3" t="s">
        <v>66</v>
      </c>
      <c r="AC11" s="3" t="s">
        <v>107</v>
      </c>
      <c r="AD11" s="3" t="s">
        <v>98</v>
      </c>
      <c r="AE11" s="3" t="s">
        <v>99</v>
      </c>
      <c r="AF11" s="3">
        <v>2.7029999999999998</v>
      </c>
      <c r="AG11" s="3">
        <v>2.7429999999999999</v>
      </c>
      <c r="AH11" s="3">
        <f t="shared" si="8"/>
        <v>2.7229999999999999</v>
      </c>
    </row>
    <row r="12" spans="1:34" x14ac:dyDescent="0.25">
      <c r="A12" s="7" t="s">
        <v>15</v>
      </c>
      <c r="B12" s="9" t="s">
        <v>79</v>
      </c>
      <c r="C12" s="9"/>
      <c r="D12" s="21">
        <f t="shared" si="0"/>
        <v>1828</v>
      </c>
      <c r="E12" s="2">
        <v>46470</v>
      </c>
      <c r="F12" s="30">
        <v>2.6659079993784262E-2</v>
      </c>
      <c r="G12" s="31">
        <v>0.87339367133354806</v>
      </c>
      <c r="H12" s="30">
        <f>_xll.qlYieldTSForwardRate($A$42,E12,E12,$A$44,$A$45,$A$46,$A$47,$A$48)</f>
        <v>2.503858405670039E-2</v>
      </c>
      <c r="I12" s="32" t="str">
        <f t="shared" si="11"/>
        <v>obj_000b0#0002</v>
      </c>
      <c r="J12" s="16" t="str">
        <f>_xll.qlSimpleQuote(,L12,N12,O12,P12,Q12)</f>
        <v>obj_000a2#0002</v>
      </c>
      <c r="L12" s="33">
        <f t="shared" si="2"/>
        <v>2.7009999999999996E-2</v>
      </c>
      <c r="M12" s="5" t="s">
        <v>5</v>
      </c>
      <c r="N12" s="3">
        <f t="shared" si="9"/>
        <v>0.01</v>
      </c>
      <c r="O12" s="10" t="b">
        <v>0</v>
      </c>
      <c r="P12" s="25">
        <f t="shared" si="3"/>
        <v>1</v>
      </c>
      <c r="Q12" s="6" t="b">
        <v>1</v>
      </c>
      <c r="R12" s="34">
        <f t="shared" si="4"/>
        <v>2.7009999999999996</v>
      </c>
      <c r="S12" s="23">
        <f>_xll.qlCalendarAdvance(T12,U12,V12,W12,X12,Y12)</f>
        <v>46560</v>
      </c>
      <c r="T12" s="2" t="str">
        <f t="shared" si="5"/>
        <v>UnitedStates::Settlement</v>
      </c>
      <c r="U12" s="2">
        <f t="shared" si="10"/>
        <v>44734</v>
      </c>
      <c r="V12" s="5" t="str">
        <f t="shared" si="6"/>
        <v>5Y</v>
      </c>
      <c r="W12" s="3" t="s">
        <v>77</v>
      </c>
      <c r="X12" s="3" t="b">
        <v>0</v>
      </c>
      <c r="Y12" s="25">
        <f t="shared" si="7"/>
        <v>1</v>
      </c>
      <c r="AB12" s="3" t="s">
        <v>5</v>
      </c>
      <c r="AC12" s="3" t="s">
        <v>108</v>
      </c>
      <c r="AD12" s="3" t="s">
        <v>98</v>
      </c>
      <c r="AE12" s="3" t="s">
        <v>99</v>
      </c>
      <c r="AF12" s="3">
        <v>2.6909999999999998</v>
      </c>
      <c r="AG12" s="3">
        <v>2.7109999999999999</v>
      </c>
      <c r="AH12" s="3">
        <f t="shared" si="8"/>
        <v>2.7009999999999996</v>
      </c>
    </row>
    <row r="13" spans="1:34" x14ac:dyDescent="0.25">
      <c r="A13" s="7" t="s">
        <v>26</v>
      </c>
      <c r="B13" s="8" t="s">
        <v>30</v>
      </c>
      <c r="C13" s="9"/>
      <c r="D13" s="21">
        <f t="shared" si="0"/>
        <v>2194</v>
      </c>
      <c r="E13" s="2">
        <v>46836</v>
      </c>
      <c r="F13" s="30">
        <v>2.624326908764156E-2</v>
      </c>
      <c r="G13" s="31">
        <v>0.85219649952844012</v>
      </c>
      <c r="H13" s="30">
        <f>_xll.qlYieldTSForwardRate($A$42,E13,E13,$A$44,$A$45,$A$46,$A$47,$A$48)</f>
        <v>2.3985408815516706E-2</v>
      </c>
      <c r="I13" s="32" t="str">
        <f t="shared" si="11"/>
        <v>obj_000ae#0002</v>
      </c>
      <c r="J13" s="16" t="str">
        <f>_xll.qlSimpleQuote(,L13,N13,O13,P13,Q13)</f>
        <v>obj_000a8#0002</v>
      </c>
      <c r="L13" s="33">
        <f t="shared" si="2"/>
        <v>2.6612999999999998E-2</v>
      </c>
      <c r="M13" s="5" t="s">
        <v>67</v>
      </c>
      <c r="N13" s="3">
        <f t="shared" si="9"/>
        <v>0.01</v>
      </c>
      <c r="O13" s="10" t="b">
        <v>0</v>
      </c>
      <c r="P13" s="25">
        <f t="shared" si="3"/>
        <v>1</v>
      </c>
      <c r="Q13" s="6" t="b">
        <v>1</v>
      </c>
      <c r="R13" s="34">
        <f t="shared" si="4"/>
        <v>2.6612999999999998</v>
      </c>
      <c r="S13" s="23">
        <f>_xll.qlCalendarAdvance(T13,U13,V13,W13,X13,Y13)</f>
        <v>46926</v>
      </c>
      <c r="T13" s="2" t="str">
        <f t="shared" si="5"/>
        <v>UnitedStates::Settlement</v>
      </c>
      <c r="U13" s="2">
        <f t="shared" si="10"/>
        <v>44734</v>
      </c>
      <c r="V13" s="5" t="str">
        <f t="shared" si="6"/>
        <v>6Y</v>
      </c>
      <c r="W13" s="3" t="s">
        <v>77</v>
      </c>
      <c r="X13" s="3" t="b">
        <v>0</v>
      </c>
      <c r="Y13" s="25">
        <f t="shared" si="7"/>
        <v>1</v>
      </c>
      <c r="AB13" s="3" t="s">
        <v>67</v>
      </c>
      <c r="AC13" s="3" t="s">
        <v>109</v>
      </c>
      <c r="AD13" s="3" t="s">
        <v>98</v>
      </c>
      <c r="AE13" s="3" t="s">
        <v>99</v>
      </c>
      <c r="AF13" s="3">
        <v>2.6413000000000002</v>
      </c>
      <c r="AG13" s="3">
        <v>2.6812999999999998</v>
      </c>
      <c r="AH13" s="3">
        <f t="shared" si="8"/>
        <v>2.6612999999999998</v>
      </c>
    </row>
    <row r="14" spans="1:34" x14ac:dyDescent="0.25">
      <c r="A14" s="7" t="s">
        <v>27</v>
      </c>
      <c r="B14" s="8" t="b">
        <v>0</v>
      </c>
      <c r="C14" s="9"/>
      <c r="D14" s="21">
        <f t="shared" si="0"/>
        <v>2561</v>
      </c>
      <c r="E14" s="2">
        <v>47203</v>
      </c>
      <c r="F14" s="30">
        <v>2.5904851069794694E-2</v>
      </c>
      <c r="G14" s="31">
        <v>0.83169937449011044</v>
      </c>
      <c r="H14" s="30">
        <f>_xll.qlYieldTSForwardRate($A$42,E14,E14,$A$44,$A$45,$A$46,$A$47,$A$48)</f>
        <v>2.3543310202592413E-2</v>
      </c>
      <c r="I14" s="32" t="str">
        <f t="shared" si="11"/>
        <v>obj_000ad#0002</v>
      </c>
      <c r="J14" s="16" t="str">
        <f>_xll.qlSimpleQuote(,L14,N14,O14,P14,Q14)</f>
        <v>obj_0009e#0002</v>
      </c>
      <c r="L14" s="33">
        <f t="shared" si="2"/>
        <v>2.6290000000000001E-2</v>
      </c>
      <c r="M14" s="5" t="s">
        <v>6</v>
      </c>
      <c r="N14" s="3">
        <f t="shared" si="9"/>
        <v>0.01</v>
      </c>
      <c r="O14" s="10" t="b">
        <v>0</v>
      </c>
      <c r="P14" s="25">
        <f t="shared" si="3"/>
        <v>1</v>
      </c>
      <c r="Q14" s="6" t="b">
        <v>1</v>
      </c>
      <c r="R14" s="34">
        <f t="shared" si="4"/>
        <v>2.629</v>
      </c>
      <c r="S14" s="23">
        <f>_xll.qlCalendarAdvance(T14,U14,V14,W14,X14,Y14)</f>
        <v>47291</v>
      </c>
      <c r="T14" s="2" t="str">
        <f t="shared" si="5"/>
        <v>UnitedStates::Settlement</v>
      </c>
      <c r="U14" s="2">
        <f t="shared" si="10"/>
        <v>44734</v>
      </c>
      <c r="V14" s="5" t="str">
        <f t="shared" si="6"/>
        <v>7Y</v>
      </c>
      <c r="W14" s="3" t="s">
        <v>77</v>
      </c>
      <c r="X14" s="3" t="b">
        <v>0</v>
      </c>
      <c r="Y14" s="25">
        <f t="shared" si="7"/>
        <v>1</v>
      </c>
      <c r="AB14" s="3" t="s">
        <v>6</v>
      </c>
      <c r="AC14" s="3" t="s">
        <v>110</v>
      </c>
      <c r="AD14" s="3" t="s">
        <v>98</v>
      </c>
      <c r="AE14" s="3" t="s">
        <v>99</v>
      </c>
      <c r="AF14" s="3">
        <v>2.609</v>
      </c>
      <c r="AG14" s="3">
        <v>2.649</v>
      </c>
      <c r="AH14" s="3">
        <f t="shared" si="8"/>
        <v>2.629</v>
      </c>
    </row>
    <row r="15" spans="1:34" x14ac:dyDescent="0.25">
      <c r="A15" s="7" t="s">
        <v>16</v>
      </c>
      <c r="B15" s="8" t="s">
        <v>70</v>
      </c>
      <c r="C15" s="9"/>
      <c r="D15" s="21"/>
      <c r="E15" s="2"/>
      <c r="F15" s="30"/>
      <c r="G15" s="31"/>
      <c r="H15" s="30"/>
      <c r="I15" s="32"/>
      <c r="J15" s="16"/>
      <c r="L15" s="33"/>
      <c r="M15" s="5"/>
      <c r="O15" s="10"/>
      <c r="P15" s="25"/>
      <c r="Q15" s="6"/>
      <c r="R15" s="34"/>
      <c r="S15" s="23"/>
      <c r="T15" s="2"/>
      <c r="U15" s="2"/>
      <c r="V15" s="5"/>
      <c r="Y15" s="25"/>
    </row>
    <row r="16" spans="1:34" x14ac:dyDescent="0.25">
      <c r="A16" s="7" t="s">
        <v>28</v>
      </c>
      <c r="B16" s="8"/>
      <c r="C16" s="9"/>
      <c r="D16" s="21"/>
      <c r="E16" s="2"/>
      <c r="F16" s="30"/>
      <c r="G16" s="31"/>
      <c r="H16" s="30"/>
      <c r="I16" s="32"/>
      <c r="J16" s="16"/>
      <c r="L16" s="33"/>
      <c r="M16" s="5"/>
      <c r="O16" s="10"/>
      <c r="P16" s="25"/>
      <c r="Q16" s="6"/>
      <c r="R16" s="34"/>
      <c r="S16" s="23"/>
      <c r="T16" s="2"/>
      <c r="U16" s="2"/>
      <c r="V16" s="5"/>
      <c r="Y16" s="25"/>
    </row>
    <row r="17" spans="1:25" x14ac:dyDescent="0.25">
      <c r="A17" s="7" t="s">
        <v>12</v>
      </c>
      <c r="B17" s="10" t="b">
        <v>0</v>
      </c>
      <c r="C17" s="9"/>
      <c r="D17" s="21"/>
      <c r="E17" s="2"/>
      <c r="F17" s="30"/>
      <c r="G17" s="31"/>
      <c r="H17" s="30"/>
      <c r="I17" s="32"/>
      <c r="J17" s="16"/>
      <c r="L17" s="33"/>
      <c r="M17" s="5"/>
      <c r="O17" s="10"/>
      <c r="P17" s="25"/>
      <c r="Q17" s="6"/>
      <c r="R17" s="34"/>
      <c r="S17" s="23"/>
      <c r="T17" s="2"/>
      <c r="U17" s="2"/>
      <c r="V17" s="5"/>
      <c r="Y17" s="25"/>
    </row>
    <row r="18" spans="1:25" x14ac:dyDescent="0.25">
      <c r="A18" s="7" t="s">
        <v>13</v>
      </c>
      <c r="B18" s="25">
        <f>$B$4</f>
        <v>1</v>
      </c>
      <c r="C18" s="9"/>
      <c r="D18" s="21"/>
      <c r="E18" s="2"/>
      <c r="F18" s="30"/>
      <c r="G18" s="31"/>
      <c r="H18" s="30"/>
      <c r="I18" s="32"/>
      <c r="J18" s="16"/>
      <c r="L18" s="33"/>
      <c r="M18" s="5"/>
      <c r="O18" s="10"/>
      <c r="P18" s="25"/>
      <c r="Q18" s="6"/>
      <c r="R18" s="34"/>
      <c r="S18" s="23"/>
      <c r="T18" s="2"/>
      <c r="U18" s="2"/>
      <c r="V18" s="5"/>
      <c r="Y18" s="25"/>
    </row>
    <row r="19" spans="1:25" x14ac:dyDescent="0.25">
      <c r="A19" s="7" t="s">
        <v>14</v>
      </c>
      <c r="B19" s="10" t="b">
        <v>1</v>
      </c>
      <c r="C19" s="9"/>
      <c r="D19" s="21"/>
      <c r="E19" s="2"/>
      <c r="F19" s="30"/>
      <c r="G19" s="31"/>
      <c r="H19" s="30"/>
      <c r="I19" s="32"/>
      <c r="J19" s="16"/>
      <c r="L19" s="33"/>
      <c r="M19" s="5"/>
      <c r="O19" s="10"/>
      <c r="P19" s="25"/>
      <c r="Q19" s="6"/>
      <c r="R19" s="34"/>
      <c r="S19" s="23"/>
      <c r="T19" s="2"/>
      <c r="U19" s="2"/>
      <c r="V19" s="5"/>
      <c r="Y19" s="25"/>
    </row>
    <row r="20" spans="1:25" x14ac:dyDescent="0.25">
      <c r="D20" s="21"/>
      <c r="E20" s="2"/>
      <c r="F20" s="30"/>
      <c r="G20" s="31"/>
      <c r="H20" s="30"/>
      <c r="I20" s="32"/>
      <c r="J20" s="16"/>
      <c r="L20" s="33"/>
      <c r="M20" s="5"/>
      <c r="O20" s="10"/>
      <c r="P20" s="25"/>
      <c r="Q20" s="6"/>
      <c r="R20" s="34"/>
      <c r="S20" s="23"/>
      <c r="T20" s="2"/>
      <c r="U20" s="2"/>
      <c r="V20" s="5"/>
      <c r="Y20" s="25"/>
    </row>
    <row r="21" spans="1:25" x14ac:dyDescent="0.25">
      <c r="D21" s="21"/>
      <c r="E21" s="2"/>
      <c r="F21" s="30"/>
      <c r="G21" s="31"/>
      <c r="H21" s="30"/>
      <c r="I21" s="32"/>
      <c r="J21" s="16"/>
      <c r="L21" s="33"/>
      <c r="M21" s="5"/>
      <c r="O21" s="10"/>
      <c r="P21" s="25"/>
      <c r="Q21" s="6"/>
      <c r="R21" s="34"/>
      <c r="S21" s="23"/>
      <c r="T21" s="2"/>
      <c r="U21" s="2"/>
      <c r="V21" s="5"/>
      <c r="Y21" s="25"/>
    </row>
    <row r="22" spans="1:25" x14ac:dyDescent="0.25">
      <c r="D22" s="21"/>
      <c r="E22" s="2"/>
      <c r="F22" s="30"/>
      <c r="G22" s="31"/>
      <c r="H22" s="30"/>
      <c r="I22" s="32"/>
      <c r="J22" s="16"/>
      <c r="L22" s="33"/>
      <c r="M22" s="5"/>
      <c r="O22" s="10"/>
      <c r="P22" s="25"/>
      <c r="Q22" s="6"/>
      <c r="R22" s="34"/>
      <c r="S22" s="23"/>
      <c r="T22" s="2"/>
      <c r="U22" s="2"/>
      <c r="V22" s="5"/>
      <c r="Y22" s="25"/>
    </row>
    <row r="23" spans="1:25" x14ac:dyDescent="0.25">
      <c r="D23" s="21"/>
      <c r="E23" s="2"/>
      <c r="F23" s="30"/>
      <c r="G23" s="31"/>
      <c r="H23" s="30"/>
      <c r="I23" s="32"/>
      <c r="J23" s="16"/>
      <c r="L23" s="33"/>
      <c r="M23" s="5"/>
      <c r="O23" s="10"/>
      <c r="P23" s="25"/>
      <c r="Q23" s="6"/>
      <c r="R23" s="34"/>
      <c r="S23" s="23"/>
      <c r="T23" s="2"/>
      <c r="U23" s="2"/>
      <c r="V23" s="5"/>
      <c r="Y23" s="25"/>
    </row>
    <row r="24" spans="1:25" x14ac:dyDescent="0.25">
      <c r="A24" s="7" t="s">
        <v>44</v>
      </c>
      <c r="B24" s="11" t="str">
        <f>_xll.qlPiecewiseYieldCurve(B25,B26,B27,$I$3:$I$14,B29,B30,B31,B32,B33,B34,B35,B36,B37)</f>
        <v>USDZC#0004</v>
      </c>
      <c r="C24" s="11" t="str">
        <f>_xll.qlPiecewiseYieldCurve(C25,C26,C27,$I$3:$I$14,C29,C30,C31,C32,C33,C34,C35,C36,C37)</f>
        <v>USDDF#0003</v>
      </c>
      <c r="D24" s="21"/>
      <c r="E24" s="2"/>
      <c r="F24" s="30"/>
      <c r="G24" s="31"/>
      <c r="H24" s="30"/>
      <c r="I24" s="32"/>
      <c r="J24" s="16"/>
      <c r="L24" s="33"/>
      <c r="M24" s="5"/>
      <c r="O24" s="10"/>
      <c r="P24" s="25"/>
      <c r="Q24" s="6"/>
      <c r="R24" s="34"/>
      <c r="S24" s="23"/>
      <c r="T24" s="2"/>
      <c r="U24" s="2"/>
      <c r="V24" s="5"/>
      <c r="Y24" s="25"/>
    </row>
    <row r="25" spans="1:25" x14ac:dyDescent="0.25">
      <c r="A25" s="3" t="s">
        <v>31</v>
      </c>
      <c r="B25" s="3" t="s">
        <v>82</v>
      </c>
      <c r="C25" s="3" t="s">
        <v>83</v>
      </c>
      <c r="D25" s="21"/>
      <c r="E25" s="2"/>
      <c r="F25" s="30"/>
      <c r="G25" s="31"/>
      <c r="H25" s="30"/>
      <c r="I25" s="32"/>
      <c r="J25" s="16"/>
      <c r="L25" s="33"/>
      <c r="M25" s="5"/>
      <c r="O25" s="10"/>
      <c r="P25" s="25"/>
      <c r="Q25" s="6"/>
      <c r="R25" s="34"/>
      <c r="S25" s="23"/>
      <c r="T25" s="2"/>
      <c r="U25" s="2"/>
      <c r="V25" s="5"/>
      <c r="Y25" s="25"/>
    </row>
    <row r="26" spans="1:25" x14ac:dyDescent="0.25">
      <c r="A26" s="3" t="s">
        <v>32</v>
      </c>
      <c r="B26" s="3">
        <v>0</v>
      </c>
      <c r="C26" s="3">
        <v>0</v>
      </c>
      <c r="D26" s="21"/>
      <c r="E26" s="2"/>
      <c r="F26" s="30"/>
      <c r="G26" s="31"/>
      <c r="H26" s="30"/>
      <c r="I26" s="32"/>
      <c r="J26" s="16"/>
      <c r="L26" s="33"/>
      <c r="M26" s="5"/>
      <c r="O26" s="10"/>
      <c r="P26" s="25"/>
      <c r="Q26" s="6"/>
      <c r="R26" s="34"/>
      <c r="S26" s="23"/>
      <c r="T26" s="2"/>
      <c r="U26" s="2"/>
      <c r="V26" s="5"/>
      <c r="Y26" s="25"/>
    </row>
    <row r="27" spans="1:25" x14ac:dyDescent="0.25">
      <c r="A27" s="3" t="s">
        <v>33</v>
      </c>
      <c r="B27" s="2" t="str">
        <f>B12</f>
        <v>UnitedStates::Settlement</v>
      </c>
      <c r="C27" s="2" t="str">
        <f>B27</f>
        <v>UnitedStates::Settlement</v>
      </c>
      <c r="D27" s="21"/>
      <c r="E27" s="2"/>
      <c r="F27" s="30"/>
      <c r="G27" s="31"/>
      <c r="H27" s="30"/>
      <c r="I27" s="32"/>
      <c r="J27" s="16"/>
      <c r="L27" s="33"/>
      <c r="M27" s="5"/>
      <c r="O27" s="10"/>
      <c r="P27" s="25"/>
      <c r="Q27" s="6"/>
      <c r="R27" s="34"/>
      <c r="S27" s="23"/>
      <c r="T27" s="2"/>
      <c r="U27" s="2"/>
      <c r="V27" s="5"/>
      <c r="Y27" s="25"/>
    </row>
    <row r="28" spans="1:25" x14ac:dyDescent="0.25">
      <c r="A28" s="3" t="s">
        <v>34</v>
      </c>
      <c r="D28" s="21"/>
      <c r="E28" s="2"/>
      <c r="F28" s="30"/>
      <c r="G28" s="31"/>
      <c r="H28" s="30"/>
      <c r="I28" s="32"/>
      <c r="J28" s="16"/>
      <c r="L28" s="33"/>
      <c r="M28" s="5"/>
      <c r="O28" s="10"/>
      <c r="P28" s="25"/>
      <c r="Q28" s="6"/>
      <c r="R28" s="34"/>
      <c r="S28" s="23"/>
      <c r="T28" s="2"/>
      <c r="U28" s="2"/>
      <c r="V28" s="5"/>
      <c r="Y28" s="25"/>
    </row>
    <row r="29" spans="1:25" x14ac:dyDescent="0.25">
      <c r="A29" s="3" t="s">
        <v>35</v>
      </c>
      <c r="B29" s="3" t="str">
        <f>B15</f>
        <v>A/360</v>
      </c>
      <c r="C29" s="3" t="str">
        <f>B29</f>
        <v>A/360</v>
      </c>
      <c r="J29" s="16"/>
      <c r="L29" s="35"/>
      <c r="M29" s="5"/>
    </row>
    <row r="30" spans="1:25" x14ac:dyDescent="0.25">
      <c r="A30" s="3" t="s">
        <v>36</v>
      </c>
      <c r="D30" s="20"/>
      <c r="F30" s="30"/>
      <c r="G30" s="20"/>
      <c r="H30" s="20"/>
      <c r="J30" s="28" t="s">
        <v>84</v>
      </c>
      <c r="K30" s="28" t="s">
        <v>9</v>
      </c>
      <c r="L30" s="28" t="s">
        <v>21</v>
      </c>
      <c r="M30" s="28" t="s">
        <v>11</v>
      </c>
      <c r="N30" s="28" t="s">
        <v>22</v>
      </c>
      <c r="O30" s="28" t="s">
        <v>15</v>
      </c>
      <c r="P30" s="28" t="s">
        <v>23</v>
      </c>
      <c r="Q30" s="28" t="s">
        <v>24</v>
      </c>
      <c r="R30" s="28" t="s">
        <v>16</v>
      </c>
      <c r="S30" s="28" t="s">
        <v>12</v>
      </c>
      <c r="T30" s="28" t="s">
        <v>13</v>
      </c>
      <c r="U30" s="28" t="s">
        <v>14</v>
      </c>
    </row>
    <row r="31" spans="1:25" x14ac:dyDescent="0.25">
      <c r="A31" s="3" t="s">
        <v>37</v>
      </c>
      <c r="D31" s="20"/>
      <c r="F31" s="20"/>
      <c r="G31" s="20"/>
      <c r="H31" s="20"/>
      <c r="J31" s="12" t="str">
        <f>_xll.qlDepositRateHelper2(K31,L31,M31,N31,O31,P31,Q31,R31,S31,T31,U31)</f>
        <v>obj_000b4#0002</v>
      </c>
      <c r="L31" s="11" t="str">
        <f>J3</f>
        <v>obj_000a7#0002</v>
      </c>
      <c r="M31" s="36" t="s">
        <v>0</v>
      </c>
      <c r="N31" s="36">
        <v>2</v>
      </c>
      <c r="O31" s="27" t="str">
        <f>$B$12</f>
        <v>UnitedStates::Settlement</v>
      </c>
      <c r="P31" s="26" t="s">
        <v>85</v>
      </c>
      <c r="Q31" s="26" t="b">
        <f>$B$14</f>
        <v>0</v>
      </c>
      <c r="R31" s="3" t="str">
        <f>$B$15</f>
        <v>A/360</v>
      </c>
      <c r="S31" s="10" t="b">
        <v>0</v>
      </c>
      <c r="T31" s="25">
        <f t="shared" ref="T31:T35" si="12">$B$4</f>
        <v>1</v>
      </c>
      <c r="U31" s="6" t="b">
        <v>1</v>
      </c>
    </row>
    <row r="32" spans="1:25" x14ac:dyDescent="0.25">
      <c r="A32" s="3" t="s">
        <v>38</v>
      </c>
      <c r="D32" s="20"/>
      <c r="F32" s="20"/>
      <c r="G32" s="20"/>
      <c r="H32" s="20"/>
      <c r="J32" s="12" t="str">
        <f>_xll.qlDepositRateHelper2(K32,L32,M32,N32,O32,P32,Q32,R32,S32,T32,U32)</f>
        <v>obj_000ab#0002</v>
      </c>
      <c r="L32" s="11" t="str">
        <f t="shared" ref="L32:L35" si="13">J4</f>
        <v>obj_000a5#0002</v>
      </c>
      <c r="M32" s="36" t="s">
        <v>78</v>
      </c>
      <c r="N32" s="36">
        <v>2</v>
      </c>
      <c r="O32" s="27" t="str">
        <f t="shared" ref="O32:O35" si="14">$B$12</f>
        <v>UnitedStates::Settlement</v>
      </c>
      <c r="P32" s="26" t="s">
        <v>85</v>
      </c>
      <c r="Q32" s="26" t="b">
        <f t="shared" ref="Q32:Q35" si="15">$B$14</f>
        <v>0</v>
      </c>
      <c r="R32" s="3" t="str">
        <f t="shared" ref="R32:R35" si="16">$B$15</f>
        <v>A/360</v>
      </c>
      <c r="S32" s="10" t="b">
        <v>0</v>
      </c>
      <c r="T32" s="25">
        <f t="shared" si="12"/>
        <v>1</v>
      </c>
      <c r="U32" s="6" t="b">
        <v>1</v>
      </c>
    </row>
    <row r="33" spans="1:27" x14ac:dyDescent="0.25">
      <c r="A33" s="3" t="s">
        <v>39</v>
      </c>
      <c r="B33" s="37" t="s">
        <v>64</v>
      </c>
      <c r="C33" s="20" t="s">
        <v>86</v>
      </c>
      <c r="D33" s="20"/>
      <c r="F33" s="20"/>
      <c r="G33" s="20"/>
      <c r="H33" s="20"/>
      <c r="J33" s="12" t="str">
        <f>_xll.qlDepositRateHelper2(K33,L33,M33,N33,O33,P33,Q33,R33,S33,T33,U33)</f>
        <v>obj_000b1#0002</v>
      </c>
      <c r="L33" s="11" t="str">
        <f t="shared" si="13"/>
        <v>obj_000a9#0002</v>
      </c>
      <c r="M33" s="36" t="s">
        <v>1</v>
      </c>
      <c r="N33" s="36">
        <v>2</v>
      </c>
      <c r="O33" s="27" t="str">
        <f t="shared" si="14"/>
        <v>UnitedStates::Settlement</v>
      </c>
      <c r="P33" s="26" t="s">
        <v>85</v>
      </c>
      <c r="Q33" s="26" t="b">
        <f t="shared" si="15"/>
        <v>0</v>
      </c>
      <c r="R33" s="3" t="str">
        <f t="shared" si="16"/>
        <v>A/360</v>
      </c>
      <c r="S33" s="10" t="b">
        <v>0</v>
      </c>
      <c r="T33" s="25">
        <f t="shared" si="12"/>
        <v>1</v>
      </c>
      <c r="U33" s="6" t="b">
        <v>1</v>
      </c>
    </row>
    <row r="34" spans="1:27" x14ac:dyDescent="0.25">
      <c r="A34" s="3" t="s">
        <v>40</v>
      </c>
      <c r="B34" s="3" t="s">
        <v>47</v>
      </c>
      <c r="C34" s="3" t="s">
        <v>47</v>
      </c>
      <c r="D34" s="20"/>
      <c r="F34" s="20"/>
      <c r="G34" s="20"/>
      <c r="H34" s="20"/>
      <c r="J34" s="12" t="str">
        <f>_xll.qlDepositRateHelper2(K34,L34,M34,N34,O34,P34,Q34,R34,S34,T34,U34)</f>
        <v>obj_000af#0002</v>
      </c>
      <c r="L34" s="11" t="str">
        <f t="shared" si="13"/>
        <v>obj_0009f#0002</v>
      </c>
      <c r="M34" s="36" t="s">
        <v>80</v>
      </c>
      <c r="N34" s="36">
        <v>2</v>
      </c>
      <c r="O34" s="27" t="str">
        <f t="shared" si="14"/>
        <v>UnitedStates::Settlement</v>
      </c>
      <c r="P34" s="26" t="s">
        <v>85</v>
      </c>
      <c r="Q34" s="26" t="b">
        <f t="shared" si="15"/>
        <v>0</v>
      </c>
      <c r="R34" s="3" t="str">
        <f t="shared" si="16"/>
        <v>A/360</v>
      </c>
      <c r="S34" s="10" t="b">
        <v>0</v>
      </c>
      <c r="T34" s="25">
        <f t="shared" si="12"/>
        <v>1</v>
      </c>
      <c r="U34" s="6" t="b">
        <v>1</v>
      </c>
    </row>
    <row r="35" spans="1:27" x14ac:dyDescent="0.25">
      <c r="A35" s="3" t="s">
        <v>41</v>
      </c>
      <c r="B35" s="10" t="b">
        <v>0</v>
      </c>
      <c r="C35" s="10" t="b">
        <v>0</v>
      </c>
      <c r="D35" s="20"/>
      <c r="F35" s="20"/>
      <c r="G35" s="20"/>
      <c r="H35" s="20"/>
      <c r="J35" s="12" t="str">
        <f>_xll.qlDepositRateHelper2(K35,L35,M35,N35,O35,P35,Q35,R35,S35,T35,U35)</f>
        <v>obj_000b3#0002</v>
      </c>
      <c r="L35" s="11" t="str">
        <f t="shared" si="13"/>
        <v>obj_000a1#0002</v>
      </c>
      <c r="M35" s="36" t="s">
        <v>81</v>
      </c>
      <c r="N35" s="36">
        <f>N34</f>
        <v>2</v>
      </c>
      <c r="O35" s="27" t="str">
        <f t="shared" si="14"/>
        <v>UnitedStates::Settlement</v>
      </c>
      <c r="P35" s="26" t="s">
        <v>85</v>
      </c>
      <c r="Q35" s="26" t="b">
        <f t="shared" si="15"/>
        <v>0</v>
      </c>
      <c r="R35" s="3" t="str">
        <f t="shared" si="16"/>
        <v>A/360</v>
      </c>
      <c r="S35" s="10" t="b">
        <v>0</v>
      </c>
      <c r="T35" s="25">
        <f t="shared" si="12"/>
        <v>1</v>
      </c>
      <c r="U35" s="6" t="b">
        <v>1</v>
      </c>
    </row>
    <row r="36" spans="1:27" x14ac:dyDescent="0.25">
      <c r="A36" s="3" t="s">
        <v>42</v>
      </c>
      <c r="B36" s="25">
        <f>$B$4</f>
        <v>1</v>
      </c>
      <c r="C36" s="25">
        <f>$B$4</f>
        <v>1</v>
      </c>
      <c r="D36" s="20"/>
      <c r="F36" s="20"/>
      <c r="G36" s="20"/>
      <c r="H36" s="20"/>
      <c r="J36" s="12"/>
      <c r="L36" s="11"/>
      <c r="M36" s="36"/>
      <c r="N36" s="36"/>
      <c r="O36" s="27"/>
      <c r="P36" s="26"/>
      <c r="Q36" s="26"/>
      <c r="S36" s="10"/>
      <c r="T36" s="25"/>
      <c r="U36" s="6"/>
    </row>
    <row r="37" spans="1:27" x14ac:dyDescent="0.25">
      <c r="A37" s="3" t="s">
        <v>43</v>
      </c>
      <c r="B37" s="10" t="b">
        <v>1</v>
      </c>
      <c r="C37" s="10" t="b">
        <v>1</v>
      </c>
      <c r="D37" s="20"/>
      <c r="F37" s="20"/>
      <c r="G37" s="20"/>
      <c r="H37" s="20"/>
      <c r="J37" s="12"/>
      <c r="L37" s="11"/>
      <c r="M37" s="36"/>
      <c r="N37" s="36"/>
      <c r="O37" s="27"/>
      <c r="P37" s="26"/>
      <c r="Q37" s="26"/>
      <c r="S37" s="10"/>
      <c r="T37" s="25"/>
      <c r="U37" s="6"/>
    </row>
    <row r="38" spans="1:27" x14ac:dyDescent="0.25">
      <c r="D38" s="20"/>
      <c r="E38" s="3" t="str">
        <f>_xll.ohRangeRetrieveError(E36)</f>
        <v/>
      </c>
      <c r="F38" s="20"/>
      <c r="G38" s="20"/>
      <c r="H38" s="20"/>
      <c r="J38" s="12"/>
      <c r="L38" s="11"/>
      <c r="M38" s="36"/>
      <c r="N38" s="36"/>
      <c r="O38" s="27"/>
      <c r="P38" s="26"/>
      <c r="Q38" s="26"/>
      <c r="S38" s="10"/>
      <c r="T38" s="25"/>
      <c r="U38" s="6"/>
    </row>
    <row r="39" spans="1:27" x14ac:dyDescent="0.25">
      <c r="D39" s="20"/>
      <c r="F39" s="20"/>
      <c r="G39" s="20"/>
      <c r="H39" s="20"/>
      <c r="J39" s="12"/>
      <c r="L39" s="11"/>
      <c r="M39" s="36"/>
      <c r="N39" s="36"/>
      <c r="O39" s="27"/>
      <c r="P39" s="26"/>
      <c r="Q39" s="26"/>
      <c r="S39" s="10"/>
      <c r="T39" s="25"/>
      <c r="U39" s="6"/>
    </row>
    <row r="40" spans="1:27" x14ac:dyDescent="0.25">
      <c r="D40" s="20"/>
      <c r="F40" s="20"/>
      <c r="G40" s="20"/>
      <c r="H40" s="20"/>
      <c r="J40" s="12"/>
      <c r="L40" s="11"/>
      <c r="M40" s="36"/>
      <c r="N40" s="36"/>
      <c r="O40" s="27"/>
      <c r="P40" s="26"/>
      <c r="Q40" s="26"/>
      <c r="S40" s="10"/>
      <c r="T40" s="25"/>
      <c r="U40" s="6"/>
    </row>
    <row r="41" spans="1:27" x14ac:dyDescent="0.25">
      <c r="A41" s="7" t="s">
        <v>45</v>
      </c>
      <c r="B41" s="3" t="s">
        <v>87</v>
      </c>
      <c r="D41" s="20"/>
      <c r="F41" s="20"/>
      <c r="G41" s="20"/>
      <c r="H41" s="20"/>
      <c r="J41" s="12"/>
      <c r="L41" s="11"/>
      <c r="M41" s="36"/>
      <c r="N41" s="36"/>
      <c r="O41" s="27"/>
      <c r="P41" s="26"/>
      <c r="Q41" s="26"/>
      <c r="S41" s="10"/>
      <c r="T41" s="25"/>
      <c r="U41" s="6"/>
    </row>
    <row r="42" spans="1:27" x14ac:dyDescent="0.25">
      <c r="A42" s="13" t="str">
        <f>B24</f>
        <v>USDZC#0004</v>
      </c>
      <c r="D42" s="20"/>
      <c r="F42" s="20"/>
      <c r="G42" s="20"/>
      <c r="H42" s="20"/>
      <c r="J42" s="12"/>
      <c r="L42" s="11"/>
      <c r="M42" s="5"/>
      <c r="N42" s="5"/>
      <c r="P42" s="5"/>
      <c r="Q42" s="5"/>
      <c r="R42" s="28"/>
    </row>
    <row r="43" spans="1:27" x14ac:dyDescent="0.25">
      <c r="A43" s="14"/>
      <c r="D43" s="20"/>
      <c r="F43" s="20"/>
      <c r="G43" s="20"/>
      <c r="H43" s="20"/>
      <c r="J43" s="12"/>
      <c r="L43" s="11"/>
      <c r="M43" s="5"/>
      <c r="N43" s="5"/>
      <c r="P43" s="5"/>
      <c r="Q43" s="5"/>
    </row>
    <row r="44" spans="1:27" x14ac:dyDescent="0.25">
      <c r="A44" s="8" t="s">
        <v>70</v>
      </c>
      <c r="D44" s="20"/>
      <c r="F44" s="20"/>
      <c r="G44" s="20"/>
      <c r="H44" s="20"/>
      <c r="J44" s="12"/>
      <c r="L44" s="11"/>
      <c r="M44" s="5"/>
      <c r="N44" s="5"/>
      <c r="P44" s="5"/>
      <c r="Q44" s="5"/>
    </row>
    <row r="45" spans="1:27" x14ac:dyDescent="0.25">
      <c r="A45" s="14" t="s">
        <v>88</v>
      </c>
      <c r="D45" s="20"/>
      <c r="F45" s="20"/>
      <c r="G45" s="20"/>
      <c r="H45" s="20"/>
      <c r="I45" s="18"/>
      <c r="J45" s="12"/>
      <c r="L45" s="11"/>
      <c r="M45" s="5"/>
      <c r="N45" s="5"/>
      <c r="P45" s="5"/>
      <c r="Q45" s="5"/>
    </row>
    <row r="46" spans="1:27" x14ac:dyDescent="0.25">
      <c r="A46" s="14" t="s">
        <v>65</v>
      </c>
      <c r="D46" s="20"/>
      <c r="F46" s="20"/>
      <c r="G46" s="20"/>
      <c r="H46" s="20"/>
      <c r="I46" s="18"/>
      <c r="K46" s="28"/>
      <c r="L46" s="11"/>
      <c r="M46" s="5"/>
      <c r="N46" s="28"/>
      <c r="O46" s="28"/>
      <c r="P46" s="28"/>
      <c r="Q46" s="28"/>
    </row>
    <row r="47" spans="1:27" x14ac:dyDescent="0.25">
      <c r="A47" s="14" t="b">
        <v>1</v>
      </c>
      <c r="D47" s="20"/>
      <c r="F47" s="20"/>
      <c r="G47" s="20"/>
      <c r="H47" s="20"/>
      <c r="I47" s="18"/>
      <c r="J47" s="28"/>
      <c r="K47" s="28" t="s">
        <v>9</v>
      </c>
      <c r="L47" s="28" t="s">
        <v>21</v>
      </c>
      <c r="M47" s="28" t="s">
        <v>48</v>
      </c>
      <c r="N47" s="28" t="s">
        <v>11</v>
      </c>
      <c r="O47" s="28" t="s">
        <v>15</v>
      </c>
      <c r="P47" s="28" t="s">
        <v>49</v>
      </c>
      <c r="Q47" s="28" t="s">
        <v>50</v>
      </c>
      <c r="R47" s="28" t="s">
        <v>51</v>
      </c>
      <c r="S47" s="28" t="s">
        <v>52</v>
      </c>
      <c r="T47" s="28" t="s">
        <v>53</v>
      </c>
      <c r="U47" s="28" t="s">
        <v>54</v>
      </c>
      <c r="V47" s="19" t="s">
        <v>55</v>
      </c>
      <c r="W47" s="28" t="s">
        <v>56</v>
      </c>
      <c r="X47" s="28" t="s">
        <v>57</v>
      </c>
      <c r="Y47" s="28" t="s">
        <v>12</v>
      </c>
      <c r="Z47" s="28" t="s">
        <v>13</v>
      </c>
      <c r="AA47" s="28" t="s">
        <v>14</v>
      </c>
    </row>
    <row r="48" spans="1:27" x14ac:dyDescent="0.25">
      <c r="A48" s="14">
        <f>B4</f>
        <v>1</v>
      </c>
      <c r="D48" s="20"/>
      <c r="F48" s="20"/>
      <c r="G48" s="20"/>
      <c r="H48" s="20"/>
      <c r="I48" s="18"/>
      <c r="J48" s="12" t="str">
        <f>_xll.qlSwapRateHelper2(K48,L48,M48,N48,O48,P48,Q48,R48,S48,T48,U48,V48,W48,X48,Y48,Z48,AA48)</f>
        <v>obj_000b5#0002</v>
      </c>
      <c r="L48" s="5" t="str">
        <f>J8</f>
        <v>obj_000a6#0002</v>
      </c>
      <c r="M48" s="5">
        <v>2</v>
      </c>
      <c r="N48" s="5" t="s">
        <v>2</v>
      </c>
      <c r="O48" s="2" t="str">
        <f>$B$27</f>
        <v>UnitedStates::Settlement</v>
      </c>
      <c r="P48" s="3" t="s">
        <v>65</v>
      </c>
      <c r="Q48" s="3" t="s">
        <v>111</v>
      </c>
      <c r="R48" s="3" t="str">
        <f t="shared" ref="R48:R54" si="17">$B$15</f>
        <v>A/360</v>
      </c>
      <c r="S48" s="3" t="str">
        <f>$B$6</f>
        <v>US#0002</v>
      </c>
      <c r="T48" s="3">
        <v>0</v>
      </c>
      <c r="U48" s="3" t="s">
        <v>58</v>
      </c>
      <c r="Y48" s="10" t="b">
        <v>0</v>
      </c>
      <c r="Z48" s="25">
        <f t="shared" ref="Z48:Z54" si="18">$B$4</f>
        <v>1</v>
      </c>
      <c r="AA48" s="6" t="b">
        <v>1</v>
      </c>
    </row>
    <row r="49" spans="1:27" x14ac:dyDescent="0.25">
      <c r="D49" s="20"/>
      <c r="F49" s="20"/>
      <c r="G49" s="20"/>
      <c r="H49" s="20"/>
      <c r="I49" s="18"/>
      <c r="J49" s="12" t="str">
        <f>_xll.qlSwapRateHelper2(K49,L49,M49,N49,O49,P49,Q49,R49,S49,T49,U49,V49,W49,X49,Y49,Z49,AA49)</f>
        <v>obj_000b6#0002</v>
      </c>
      <c r="L49" s="5" t="str">
        <f t="shared" ref="L49:L54" si="19">J9</f>
        <v>obj_000aa#0002</v>
      </c>
      <c r="M49" s="5">
        <v>2</v>
      </c>
      <c r="N49" s="5" t="s">
        <v>3</v>
      </c>
      <c r="O49" s="2" t="str">
        <f t="shared" ref="O49:O54" si="20">$B$27</f>
        <v>UnitedStates::Settlement</v>
      </c>
      <c r="P49" s="3" t="s">
        <v>65</v>
      </c>
      <c r="Q49" s="3" t="str">
        <f>Q48</f>
        <v>F</v>
      </c>
      <c r="R49" s="3" t="str">
        <f t="shared" si="17"/>
        <v>A/360</v>
      </c>
      <c r="S49" s="3" t="str">
        <f t="shared" ref="S49:S54" si="21">$B$6</f>
        <v>US#0002</v>
      </c>
      <c r="T49" s="3">
        <v>0</v>
      </c>
      <c r="U49" s="3" t="s">
        <v>58</v>
      </c>
      <c r="Y49" s="10" t="b">
        <v>0</v>
      </c>
      <c r="Z49" s="25">
        <f t="shared" si="18"/>
        <v>1</v>
      </c>
      <c r="AA49" s="6" t="b">
        <v>1</v>
      </c>
    </row>
    <row r="50" spans="1:27" x14ac:dyDescent="0.25">
      <c r="D50" s="20"/>
      <c r="F50" s="20"/>
      <c r="G50" s="20"/>
      <c r="H50" s="20"/>
      <c r="I50" s="18"/>
      <c r="J50" s="12" t="str">
        <f>_xll.qlSwapRateHelper2(K50,L50,M50,N50,O50,P50,Q50,R50,S50,T50,U50,V50,W50,X50,Y50,Z50,AA50)</f>
        <v>obj_000b2#0002</v>
      </c>
      <c r="L50" s="5" t="str">
        <f t="shared" si="19"/>
        <v>obj_000a4#0002</v>
      </c>
      <c r="M50" s="5">
        <v>2</v>
      </c>
      <c r="N50" s="5" t="s">
        <v>4</v>
      </c>
      <c r="O50" s="2" t="str">
        <f t="shared" si="20"/>
        <v>UnitedStates::Settlement</v>
      </c>
      <c r="P50" s="3" t="s">
        <v>65</v>
      </c>
      <c r="Q50" s="3" t="str">
        <f t="shared" ref="Q50:Q54" si="22">Q49</f>
        <v>F</v>
      </c>
      <c r="R50" s="3" t="str">
        <f t="shared" si="17"/>
        <v>A/360</v>
      </c>
      <c r="S50" s="3" t="str">
        <f t="shared" si="21"/>
        <v>US#0002</v>
      </c>
      <c r="T50" s="3">
        <v>0</v>
      </c>
      <c r="U50" s="3" t="s">
        <v>58</v>
      </c>
      <c r="Y50" s="10" t="b">
        <v>0</v>
      </c>
      <c r="Z50" s="25">
        <f t="shared" si="18"/>
        <v>1</v>
      </c>
      <c r="AA50" s="6" t="b">
        <v>1</v>
      </c>
    </row>
    <row r="51" spans="1:27" x14ac:dyDescent="0.25">
      <c r="D51" s="20"/>
      <c r="F51" s="20"/>
      <c r="G51" s="20"/>
      <c r="H51" s="20"/>
      <c r="I51" s="18"/>
      <c r="J51" s="12" t="str">
        <f>_xll.qlSwapRateHelper2(K51,L51,M51,N51,O51,P51,Q51,R51,S51,T51,U51,V51,W51,X51,Y51,Z51,AA51)</f>
        <v>obj_000ac#0002</v>
      </c>
      <c r="L51" s="5" t="str">
        <f t="shared" si="19"/>
        <v>obj_000a0#0002</v>
      </c>
      <c r="M51" s="5">
        <v>2</v>
      </c>
      <c r="N51" s="5" t="s">
        <v>66</v>
      </c>
      <c r="O51" s="2" t="str">
        <f t="shared" si="20"/>
        <v>UnitedStates::Settlement</v>
      </c>
      <c r="P51" s="3" t="s">
        <v>65</v>
      </c>
      <c r="Q51" s="3" t="str">
        <f t="shared" si="22"/>
        <v>F</v>
      </c>
      <c r="R51" s="3" t="str">
        <f t="shared" si="17"/>
        <v>A/360</v>
      </c>
      <c r="S51" s="3" t="str">
        <f t="shared" si="21"/>
        <v>US#0002</v>
      </c>
      <c r="T51" s="3">
        <v>0</v>
      </c>
      <c r="U51" s="3" t="s">
        <v>58</v>
      </c>
      <c r="Y51" s="10" t="b">
        <v>0</v>
      </c>
      <c r="Z51" s="25">
        <f t="shared" si="18"/>
        <v>1</v>
      </c>
      <c r="AA51" s="6" t="b">
        <v>1</v>
      </c>
    </row>
    <row r="52" spans="1:27" ht="15.75" x14ac:dyDescent="0.25">
      <c r="A52" s="7" t="s">
        <v>94</v>
      </c>
      <c r="B52" s="29" t="str">
        <f>_xll.qlLibor(B53,B54,B55,B56,B57,B58,B59)</f>
        <v>USLIBOR3M#0004</v>
      </c>
      <c r="D52" s="20"/>
      <c r="F52" s="20"/>
      <c r="G52" s="20"/>
      <c r="H52" s="20"/>
      <c r="I52" s="18"/>
      <c r="J52" s="12" t="str">
        <f>_xll.qlSwapRateHelper2(K52,L52,M52,N52,O52,P52,Q52,R52,S52,T52,U52,V52,W52,X52,Y52,Z52,AA52)</f>
        <v>obj_000b0#0002</v>
      </c>
      <c r="L52" s="5" t="str">
        <f t="shared" si="19"/>
        <v>obj_000a2#0002</v>
      </c>
      <c r="M52" s="5">
        <v>2</v>
      </c>
      <c r="N52" s="5" t="s">
        <v>5</v>
      </c>
      <c r="O52" s="2" t="str">
        <f t="shared" si="20"/>
        <v>UnitedStates::Settlement</v>
      </c>
      <c r="P52" s="3" t="s">
        <v>65</v>
      </c>
      <c r="Q52" s="3" t="str">
        <f t="shared" si="22"/>
        <v>F</v>
      </c>
      <c r="R52" s="3" t="str">
        <f t="shared" si="17"/>
        <v>A/360</v>
      </c>
      <c r="S52" s="3" t="str">
        <f t="shared" si="21"/>
        <v>US#0002</v>
      </c>
      <c r="T52" s="3">
        <v>0</v>
      </c>
      <c r="U52" s="3" t="s">
        <v>58</v>
      </c>
      <c r="Y52" s="10" t="b">
        <v>0</v>
      </c>
      <c r="Z52" s="25">
        <f t="shared" si="18"/>
        <v>1</v>
      </c>
      <c r="AA52" s="6" t="b">
        <v>1</v>
      </c>
    </row>
    <row r="53" spans="1:27" x14ac:dyDescent="0.25">
      <c r="A53" s="3" t="s">
        <v>31</v>
      </c>
      <c r="B53" s="3" t="s">
        <v>95</v>
      </c>
      <c r="G53" s="20"/>
      <c r="H53" s="20"/>
      <c r="J53" s="12" t="str">
        <f>_xll.qlSwapRateHelper2(K53,L53,M53,N53,O53,P53,Q53,R53,S53,T53,U53,V53,W53,X53,Y53,Z53,AA53)</f>
        <v>obj_000ae#0002</v>
      </c>
      <c r="L53" s="5" t="str">
        <f t="shared" si="19"/>
        <v>obj_000a8#0002</v>
      </c>
      <c r="M53" s="5">
        <v>2</v>
      </c>
      <c r="N53" s="5" t="s">
        <v>67</v>
      </c>
      <c r="O53" s="2" t="str">
        <f t="shared" si="20"/>
        <v>UnitedStates::Settlement</v>
      </c>
      <c r="P53" s="3" t="s">
        <v>65</v>
      </c>
      <c r="Q53" s="3" t="str">
        <f t="shared" si="22"/>
        <v>F</v>
      </c>
      <c r="R53" s="3" t="str">
        <f t="shared" si="17"/>
        <v>A/360</v>
      </c>
      <c r="S53" s="3" t="str">
        <f t="shared" si="21"/>
        <v>US#0002</v>
      </c>
      <c r="T53" s="3">
        <v>0</v>
      </c>
      <c r="U53" s="3" t="s">
        <v>58</v>
      </c>
      <c r="Y53" s="10" t="b">
        <v>0</v>
      </c>
      <c r="Z53" s="25">
        <f t="shared" si="18"/>
        <v>1</v>
      </c>
      <c r="AA53" s="6" t="b">
        <v>1</v>
      </c>
    </row>
    <row r="54" spans="1:27" x14ac:dyDescent="0.25">
      <c r="A54" s="3" t="s">
        <v>92</v>
      </c>
      <c r="B54" s="3" t="s">
        <v>71</v>
      </c>
      <c r="C54" s="3" t="e">
        <f>_xll.qlIndexAddFixings(B52,D54:D137,E54:E137,TRUE)</f>
        <v>#NUM!</v>
      </c>
      <c r="D54" s="2"/>
      <c r="E54" s="38"/>
      <c r="G54" s="20"/>
      <c r="H54" s="20"/>
      <c r="J54" s="12" t="str">
        <f>_xll.qlSwapRateHelper2(K54,L54,M54,N54,O54,P54,Q54,R54,S54,T54,U54,V54,W54,X54,Y54,Z54,AA54)</f>
        <v>obj_000ad#0002</v>
      </c>
      <c r="L54" s="5" t="str">
        <f t="shared" si="19"/>
        <v>obj_0009e#0002</v>
      </c>
      <c r="M54" s="5">
        <v>2</v>
      </c>
      <c r="N54" s="5" t="s">
        <v>6</v>
      </c>
      <c r="O54" s="2" t="str">
        <f t="shared" si="20"/>
        <v>UnitedStates::Settlement</v>
      </c>
      <c r="P54" s="3" t="s">
        <v>65</v>
      </c>
      <c r="Q54" s="3" t="str">
        <f t="shared" si="22"/>
        <v>F</v>
      </c>
      <c r="R54" s="3" t="str">
        <f t="shared" si="17"/>
        <v>A/360</v>
      </c>
      <c r="S54" s="3" t="str">
        <f t="shared" si="21"/>
        <v>US#0002</v>
      </c>
      <c r="T54" s="3">
        <v>0</v>
      </c>
      <c r="U54" s="3" t="s">
        <v>58</v>
      </c>
      <c r="Y54" s="10" t="b">
        <v>0</v>
      </c>
      <c r="Z54" s="25">
        <f t="shared" si="18"/>
        <v>1</v>
      </c>
      <c r="AA54" s="6" t="b">
        <v>1</v>
      </c>
    </row>
    <row r="55" spans="1:27" x14ac:dyDescent="0.25">
      <c r="A55" s="3" t="s">
        <v>93</v>
      </c>
      <c r="B55" s="3" t="s">
        <v>1</v>
      </c>
      <c r="D55" s="2"/>
      <c r="G55" s="20"/>
      <c r="H55" s="20"/>
      <c r="J55" s="12"/>
      <c r="L55" s="5"/>
      <c r="M55" s="5"/>
      <c r="N55" s="5"/>
      <c r="O55" s="2"/>
      <c r="Y55" s="10"/>
      <c r="Z55" s="25"/>
      <c r="AA55" s="6"/>
    </row>
    <row r="56" spans="1:27" x14ac:dyDescent="0.25">
      <c r="A56" s="3" t="s">
        <v>68</v>
      </c>
      <c r="B56" s="32" t="str">
        <f>B24</f>
        <v>USDZC#0004</v>
      </c>
      <c r="D56" s="2"/>
      <c r="G56" s="20"/>
      <c r="H56" s="20"/>
      <c r="J56" s="12"/>
      <c r="L56" s="5"/>
      <c r="M56" s="5"/>
      <c r="N56" s="5"/>
      <c r="O56" s="2"/>
      <c r="Y56" s="10"/>
      <c r="Z56" s="25"/>
      <c r="AA56" s="6"/>
    </row>
    <row r="57" spans="1:27" x14ac:dyDescent="0.25">
      <c r="A57" s="3" t="s">
        <v>41</v>
      </c>
      <c r="B57" s="10" t="b">
        <v>0</v>
      </c>
      <c r="D57" s="2"/>
      <c r="G57" s="20"/>
      <c r="H57" s="20"/>
      <c r="J57" s="12"/>
      <c r="L57" s="5"/>
      <c r="M57" s="5"/>
      <c r="N57" s="5"/>
      <c r="O57" s="2"/>
      <c r="Y57" s="10"/>
      <c r="Z57" s="25"/>
      <c r="AA57" s="6"/>
    </row>
    <row r="58" spans="1:27" x14ac:dyDescent="0.25">
      <c r="A58" s="3" t="s">
        <v>42</v>
      </c>
      <c r="B58" s="25">
        <f>$B$4</f>
        <v>1</v>
      </c>
      <c r="D58" s="2"/>
      <c r="G58" s="20"/>
      <c r="H58" s="20"/>
      <c r="J58" s="12"/>
      <c r="L58" s="5"/>
      <c r="M58" s="5"/>
      <c r="N58" s="5"/>
      <c r="O58" s="2"/>
      <c r="Y58" s="10"/>
      <c r="Z58" s="25"/>
      <c r="AA58" s="6"/>
    </row>
    <row r="59" spans="1:27" x14ac:dyDescent="0.25">
      <c r="A59" s="3" t="s">
        <v>43</v>
      </c>
      <c r="B59" s="10" t="b">
        <v>1</v>
      </c>
      <c r="D59" s="2"/>
      <c r="G59" s="20"/>
      <c r="H59" s="20"/>
      <c r="J59" s="12"/>
      <c r="L59" s="5"/>
      <c r="M59" s="5"/>
      <c r="N59" s="5"/>
      <c r="O59" s="2"/>
      <c r="Y59" s="10"/>
      <c r="Z59" s="25"/>
      <c r="AA59" s="6"/>
    </row>
    <row r="60" spans="1:27" x14ac:dyDescent="0.25">
      <c r="D60" s="2"/>
      <c r="G60" s="20"/>
      <c r="H60" s="20"/>
      <c r="J60" s="12"/>
      <c r="L60" s="5"/>
      <c r="M60" s="5"/>
      <c r="N60" s="5"/>
      <c r="O60" s="2"/>
      <c r="Y60" s="10"/>
      <c r="Z60" s="25"/>
      <c r="AA60" s="6"/>
    </row>
    <row r="61" spans="1:27" x14ac:dyDescent="0.25">
      <c r="D61" s="2"/>
      <c r="G61" s="20"/>
      <c r="H61" s="20"/>
      <c r="J61" s="12"/>
      <c r="L61" s="5"/>
      <c r="M61" s="5"/>
      <c r="N61" s="5"/>
      <c r="O61" s="2"/>
      <c r="Y61" s="10"/>
      <c r="Z61" s="25"/>
      <c r="AA61" s="6"/>
    </row>
    <row r="62" spans="1:27" x14ac:dyDescent="0.25">
      <c r="D62" s="2"/>
      <c r="G62" s="20"/>
      <c r="H62" s="20"/>
      <c r="J62" s="12"/>
      <c r="L62" s="5"/>
      <c r="M62" s="5"/>
      <c r="N62" s="5"/>
      <c r="O62" s="2"/>
      <c r="Y62" s="10"/>
      <c r="Z62" s="25"/>
      <c r="AA62" s="6"/>
    </row>
    <row r="63" spans="1:27" x14ac:dyDescent="0.25">
      <c r="D63" s="2"/>
      <c r="G63" s="20"/>
      <c r="H63" s="20"/>
    </row>
    <row r="64" spans="1:27" x14ac:dyDescent="0.25">
      <c r="D64" s="2"/>
      <c r="G64" s="20"/>
      <c r="H64" s="20"/>
    </row>
    <row r="65" spans="4:8" x14ac:dyDescent="0.25">
      <c r="D65" s="2"/>
      <c r="G65" s="20"/>
      <c r="H65" s="20"/>
    </row>
    <row r="66" spans="4:8" x14ac:dyDescent="0.25">
      <c r="D66" s="2"/>
      <c r="G66" s="20"/>
      <c r="H66" s="20"/>
    </row>
    <row r="67" spans="4:8" x14ac:dyDescent="0.25">
      <c r="D67" s="2"/>
      <c r="G67" s="20"/>
      <c r="H67" s="20"/>
    </row>
    <row r="68" spans="4:8" x14ac:dyDescent="0.25">
      <c r="D68" s="2"/>
      <c r="G68" s="20"/>
      <c r="H68" s="20"/>
    </row>
    <row r="69" spans="4:8" x14ac:dyDescent="0.25">
      <c r="D69" s="2"/>
      <c r="G69" s="20"/>
      <c r="H69" s="20"/>
    </row>
    <row r="70" spans="4:8" x14ac:dyDescent="0.25">
      <c r="D70" s="2"/>
      <c r="G70" s="20"/>
      <c r="H70" s="20"/>
    </row>
    <row r="71" spans="4:8" x14ac:dyDescent="0.25">
      <c r="D71" s="2"/>
      <c r="G71" s="20"/>
      <c r="H71" s="20"/>
    </row>
    <row r="72" spans="4:8" x14ac:dyDescent="0.25">
      <c r="D72" s="2"/>
      <c r="G72" s="20"/>
      <c r="H72" s="20"/>
    </row>
    <row r="73" spans="4:8" x14ac:dyDescent="0.25">
      <c r="D73" s="2"/>
      <c r="G73" s="20"/>
      <c r="H73" s="20"/>
    </row>
    <row r="74" spans="4:8" x14ac:dyDescent="0.25">
      <c r="D74" s="2"/>
      <c r="G74" s="20"/>
      <c r="H74" s="20"/>
    </row>
    <row r="75" spans="4:8" x14ac:dyDescent="0.25">
      <c r="D75" s="2"/>
      <c r="G75" s="20"/>
      <c r="H75" s="20"/>
    </row>
    <row r="76" spans="4:8" x14ac:dyDescent="0.25">
      <c r="D76" s="2"/>
      <c r="G76" s="20"/>
      <c r="H76" s="20"/>
    </row>
    <row r="77" spans="4:8" x14ac:dyDescent="0.25">
      <c r="D77" s="2"/>
      <c r="G77" s="20"/>
      <c r="H77" s="20"/>
    </row>
    <row r="78" spans="4:8" x14ac:dyDescent="0.25">
      <c r="D78" s="2"/>
      <c r="G78" s="20"/>
      <c r="H78" s="20"/>
    </row>
    <row r="79" spans="4:8" x14ac:dyDescent="0.25">
      <c r="D79" s="2"/>
      <c r="G79" s="20"/>
      <c r="H79" s="20"/>
    </row>
    <row r="80" spans="4:8" x14ac:dyDescent="0.25">
      <c r="D80" s="2"/>
      <c r="F80" s="3">
        <v>0</v>
      </c>
    </row>
    <row r="81" spans="4:4" x14ac:dyDescent="0.25">
      <c r="D81" s="2"/>
    </row>
    <row r="82" spans="4:4" x14ac:dyDescent="0.25">
      <c r="D82" s="2"/>
    </row>
    <row r="83" spans="4:4" x14ac:dyDescent="0.25">
      <c r="D83" s="2"/>
    </row>
    <row r="84" spans="4:4" x14ac:dyDescent="0.25">
      <c r="D84" s="2"/>
    </row>
    <row r="85" spans="4:4" x14ac:dyDescent="0.25">
      <c r="D85" s="2"/>
    </row>
    <row r="86" spans="4:4" x14ac:dyDescent="0.25">
      <c r="D86" s="2"/>
    </row>
    <row r="87" spans="4:4" x14ac:dyDescent="0.25">
      <c r="D87" s="2"/>
    </row>
    <row r="88" spans="4:4" x14ac:dyDescent="0.25">
      <c r="D88" s="2"/>
    </row>
    <row r="89" spans="4:4" x14ac:dyDescent="0.25">
      <c r="D89" s="2"/>
    </row>
    <row r="90" spans="4:4" x14ac:dyDescent="0.25">
      <c r="D90" s="2"/>
    </row>
    <row r="91" spans="4:4" x14ac:dyDescent="0.25">
      <c r="D91" s="2"/>
    </row>
    <row r="92" spans="4:4" x14ac:dyDescent="0.25">
      <c r="D92" s="2"/>
    </row>
    <row r="93" spans="4:4" x14ac:dyDescent="0.25">
      <c r="D93" s="2"/>
    </row>
    <row r="94" spans="4:4" x14ac:dyDescent="0.25">
      <c r="D94" s="2"/>
    </row>
    <row r="95" spans="4:4" x14ac:dyDescent="0.25">
      <c r="D95" s="2"/>
    </row>
    <row r="96" spans="4:4" x14ac:dyDescent="0.25">
      <c r="D96" s="2"/>
    </row>
    <row r="97" spans="4:4" x14ac:dyDescent="0.25">
      <c r="D97" s="2"/>
    </row>
    <row r="98" spans="4:4" x14ac:dyDescent="0.25">
      <c r="D98" s="2"/>
    </row>
    <row r="99" spans="4:4" x14ac:dyDescent="0.25">
      <c r="D99" s="2"/>
    </row>
    <row r="100" spans="4:4" x14ac:dyDescent="0.25">
      <c r="D100" s="2"/>
    </row>
    <row r="101" spans="4:4" x14ac:dyDescent="0.25">
      <c r="D101" s="2"/>
    </row>
    <row r="102" spans="4:4" x14ac:dyDescent="0.25">
      <c r="D102" s="2"/>
    </row>
    <row r="103" spans="4:4" x14ac:dyDescent="0.25">
      <c r="D103" s="2"/>
    </row>
    <row r="104" spans="4:4" x14ac:dyDescent="0.25">
      <c r="D104" s="2"/>
    </row>
    <row r="105" spans="4:4" x14ac:dyDescent="0.25">
      <c r="D105" s="2"/>
    </row>
    <row r="106" spans="4:4" x14ac:dyDescent="0.25">
      <c r="D106" s="2"/>
    </row>
    <row r="107" spans="4:4" x14ac:dyDescent="0.25">
      <c r="D107" s="2"/>
    </row>
    <row r="108" spans="4:4" x14ac:dyDescent="0.25">
      <c r="D108" s="2"/>
    </row>
    <row r="109" spans="4:4" x14ac:dyDescent="0.25">
      <c r="D109" s="2"/>
    </row>
    <row r="110" spans="4:4" x14ac:dyDescent="0.25">
      <c r="D110" s="2"/>
    </row>
    <row r="111" spans="4:4" x14ac:dyDescent="0.25">
      <c r="D111" s="2"/>
    </row>
    <row r="112" spans="4:4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  <row r="118" spans="4:4" x14ac:dyDescent="0.25">
      <c r="D118" s="2"/>
    </row>
    <row r="119" spans="4:4" x14ac:dyDescent="0.25">
      <c r="D119" s="2"/>
    </row>
    <row r="120" spans="4:4" x14ac:dyDescent="0.25">
      <c r="D120" s="2"/>
    </row>
    <row r="121" spans="4:4" x14ac:dyDescent="0.25">
      <c r="D121" s="2"/>
    </row>
    <row r="122" spans="4:4" x14ac:dyDescent="0.25">
      <c r="D122" s="2"/>
    </row>
    <row r="123" spans="4:4" x14ac:dyDescent="0.25">
      <c r="D123" s="2"/>
    </row>
    <row r="124" spans="4:4" x14ac:dyDescent="0.25">
      <c r="D124" s="2"/>
    </row>
    <row r="125" spans="4:4" x14ac:dyDescent="0.25">
      <c r="D125" s="2"/>
    </row>
    <row r="126" spans="4:4" x14ac:dyDescent="0.25">
      <c r="D126" s="2"/>
    </row>
    <row r="127" spans="4:4" x14ac:dyDescent="0.25">
      <c r="D127" s="2"/>
    </row>
    <row r="128" spans="4:4" x14ac:dyDescent="0.25">
      <c r="D128" s="2"/>
    </row>
    <row r="129" spans="4:4" x14ac:dyDescent="0.25">
      <c r="D129" s="2"/>
    </row>
    <row r="130" spans="4:4" x14ac:dyDescent="0.25">
      <c r="D130" s="2"/>
    </row>
    <row r="131" spans="4:4" x14ac:dyDescent="0.25">
      <c r="D131" s="2"/>
    </row>
    <row r="132" spans="4:4" x14ac:dyDescent="0.25">
      <c r="D132" s="2"/>
    </row>
    <row r="133" spans="4:4" x14ac:dyDescent="0.25">
      <c r="D133" s="2"/>
    </row>
    <row r="134" spans="4:4" x14ac:dyDescent="0.25">
      <c r="D134" s="2"/>
    </row>
    <row r="135" spans="4:4" x14ac:dyDescent="0.25">
      <c r="D135" s="2"/>
    </row>
    <row r="136" spans="4:4" x14ac:dyDescent="0.25">
      <c r="D136" s="2"/>
    </row>
    <row r="137" spans="4:4" x14ac:dyDescent="0.25">
      <c r="D137" s="2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1"/>
  <sheetViews>
    <sheetView tabSelected="1" workbookViewId="0">
      <selection activeCell="B11" sqref="B11"/>
    </sheetView>
  </sheetViews>
  <sheetFormatPr defaultRowHeight="15.75" x14ac:dyDescent="0.25"/>
  <cols>
    <col min="1" max="1" width="9" style="24"/>
    <col min="2" max="2" width="20.25" style="24" customWidth="1"/>
    <col min="3" max="3" width="13" style="24" customWidth="1"/>
    <col min="4" max="5" width="10" style="42" bestFit="1" customWidth="1"/>
    <col min="6" max="6" width="9" style="24"/>
    <col min="7" max="7" width="13.5" style="24" customWidth="1"/>
    <col min="8" max="8" width="12" style="24" customWidth="1"/>
    <col min="9" max="9" width="9" style="24"/>
    <col min="10" max="10" width="12" style="24" customWidth="1"/>
    <col min="11" max="16384" width="9" style="24"/>
  </cols>
  <sheetData>
    <row r="1" spans="1:17" x14ac:dyDescent="0.25">
      <c r="A1" s="24">
        <v>1</v>
      </c>
      <c r="B1" s="39" t="s">
        <v>113</v>
      </c>
      <c r="C1" s="28" t="s">
        <v>9</v>
      </c>
      <c r="D1" s="40" t="s">
        <v>114</v>
      </c>
      <c r="E1" s="40" t="s">
        <v>115</v>
      </c>
      <c r="F1" s="28" t="s">
        <v>11</v>
      </c>
      <c r="G1" s="7" t="s">
        <v>15</v>
      </c>
      <c r="H1" s="28" t="s">
        <v>23</v>
      </c>
      <c r="I1" s="28" t="s">
        <v>116</v>
      </c>
      <c r="J1" s="28" t="s">
        <v>117</v>
      </c>
      <c r="K1" s="28" t="s">
        <v>24</v>
      </c>
      <c r="L1" s="28" t="s">
        <v>118</v>
      </c>
      <c r="M1" s="28" t="s">
        <v>119</v>
      </c>
      <c r="N1" s="28" t="s">
        <v>12</v>
      </c>
      <c r="O1" s="28" t="s">
        <v>13</v>
      </c>
      <c r="P1" s="28" t="s">
        <v>14</v>
      </c>
    </row>
    <row r="2" spans="1:17" x14ac:dyDescent="0.25">
      <c r="B2" s="41" t="str">
        <f>_xll.qlSchedule(C2,D2,E2,F2,G2,H2,I2,J2,K2,L2,M2,N2,O2,P2)</f>
        <v>US023135BY17Sch#0004</v>
      </c>
      <c r="C2" s="24" t="s">
        <v>120</v>
      </c>
      <c r="D2" s="42">
        <v>44328</v>
      </c>
      <c r="E2" s="42">
        <v>46885</v>
      </c>
      <c r="F2" s="24" t="s">
        <v>121</v>
      </c>
      <c r="G2" s="24" t="s">
        <v>96</v>
      </c>
      <c r="H2" s="24" t="s">
        <v>122</v>
      </c>
      <c r="I2" s="24" t="s">
        <v>123</v>
      </c>
      <c r="J2" s="24" t="s">
        <v>124</v>
      </c>
      <c r="K2" s="24" t="b">
        <v>0</v>
      </c>
      <c r="N2" s="24" t="b">
        <v>0</v>
      </c>
      <c r="O2" s="24">
        <f>'ql-US-ZC'!$B$4</f>
        <v>1</v>
      </c>
      <c r="P2" s="24" t="b">
        <v>1</v>
      </c>
    </row>
    <row r="5" spans="1:17" x14ac:dyDescent="0.25">
      <c r="B5" s="39" t="s">
        <v>137</v>
      </c>
      <c r="C5" s="28" t="s">
        <v>17</v>
      </c>
      <c r="D5" s="28" t="s">
        <v>125</v>
      </c>
      <c r="E5" s="28" t="s">
        <v>10</v>
      </c>
      <c r="F5" s="28" t="s">
        <v>126</v>
      </c>
      <c r="G5" s="43" t="s">
        <v>127</v>
      </c>
      <c r="H5" s="28" t="s">
        <v>128</v>
      </c>
      <c r="I5" s="28" t="s">
        <v>129</v>
      </c>
      <c r="J5" s="28" t="s">
        <v>16</v>
      </c>
      <c r="K5" s="28" t="s">
        <v>130</v>
      </c>
      <c r="L5" s="28" t="s">
        <v>131</v>
      </c>
      <c r="M5" s="40" t="s">
        <v>132</v>
      </c>
      <c r="N5" s="28" t="s">
        <v>133</v>
      </c>
      <c r="O5" s="28" t="s">
        <v>12</v>
      </c>
      <c r="P5" s="28" t="s">
        <v>13</v>
      </c>
      <c r="Q5" s="28" t="s">
        <v>14</v>
      </c>
    </row>
    <row r="6" spans="1:17" x14ac:dyDescent="0.25">
      <c r="B6" s="41" t="str">
        <f>_xll.qlFixedRateBond(C6,D6,E6,F6,G6,H6,I6,J6,K6,L6,M6,N6,O6,P6,Q6)</f>
        <v>obj_0009d#0004</v>
      </c>
      <c r="D6" s="24" t="s">
        <v>134</v>
      </c>
      <c r="E6" s="42" t="s">
        <v>71</v>
      </c>
      <c r="F6" s="42">
        <v>2</v>
      </c>
      <c r="G6" s="24">
        <v>3000000</v>
      </c>
      <c r="H6" s="41" t="str">
        <f>B2</f>
        <v>US023135BY17Sch#0004</v>
      </c>
      <c r="I6" s="24">
        <v>1.6500000000000001E-2</v>
      </c>
      <c r="J6" s="24" t="s">
        <v>135</v>
      </c>
      <c r="K6" s="24" t="s">
        <v>136</v>
      </c>
      <c r="L6" s="24">
        <v>100</v>
      </c>
      <c r="M6" s="24">
        <v>44328</v>
      </c>
      <c r="N6" s="24" t="s">
        <v>96</v>
      </c>
      <c r="O6" s="24" t="b">
        <v>0</v>
      </c>
      <c r="P6" s="24">
        <f>O2</f>
        <v>1</v>
      </c>
      <c r="Q6" s="24" t="b">
        <v>1</v>
      </c>
    </row>
    <row r="8" spans="1:17" x14ac:dyDescent="0.25">
      <c r="B8" s="24" t="e">
        <f ca="1">_xll.ohRangeRetrieveError(B10)</f>
        <v>#NUM!</v>
      </c>
    </row>
    <row r="9" spans="1:17" x14ac:dyDescent="0.25">
      <c r="C9" s="28" t="s">
        <v>138</v>
      </c>
      <c r="D9" s="28" t="s">
        <v>139</v>
      </c>
    </row>
    <row r="10" spans="1:17" x14ac:dyDescent="0.25">
      <c r="B10" s="24" t="e">
        <f>_xll.qlInstrumentSetPricingEngine(C10,D10,_xll.ohTrigger($A$1))</f>
        <v>#NUM!</v>
      </c>
      <c r="C10" s="24" t="str">
        <f>'ql-US-ZC'!B24</f>
        <v>USDZC#0004</v>
      </c>
      <c r="D10" s="42" t="str">
        <f>B6</f>
        <v>obj_0009d#0004</v>
      </c>
    </row>
    <row r="11" spans="1:17" x14ac:dyDescent="0.25">
      <c r="B11" s="24" t="e">
        <f>_xll.qlBondCleanPrice(B6,_xll.ohTrigger($A$1))</f>
        <v>#NUM!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ql-US-ZC</vt:lpstr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簡志豪</dc:creator>
  <cp:lastModifiedBy>簡志豪</cp:lastModifiedBy>
  <dcterms:created xsi:type="dcterms:W3CDTF">2021-03-02T01:34:07Z</dcterms:created>
  <dcterms:modified xsi:type="dcterms:W3CDTF">2022-04-14T07:02:49Z</dcterms:modified>
</cp:coreProperties>
</file>