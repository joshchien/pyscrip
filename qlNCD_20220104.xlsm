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shchien\Desktop\QuantLib_Project\"/>
    </mc:Choice>
  </mc:AlternateContent>
  <bookViews>
    <workbookView xWindow="-105" yWindow="-105" windowWidth="19425" windowHeight="10305"/>
  </bookViews>
  <sheets>
    <sheet name="NCD" sheetId="10" r:id="rId1"/>
    <sheet name="Schedule" sheetId="13" r:id="rId2"/>
    <sheet name="BulletBond" sheetId="14" r:id="rId3"/>
    <sheet name="PricingEng" sheetId="15" r:id="rId4"/>
    <sheet name="工作表4" sheetId="16" r:id="rId5"/>
  </sheets>
  <externalReferences>
    <externalReference r:id="rId6"/>
  </externalReferences>
  <definedNames>
    <definedName name="IborIndex6M">[1]Indexes!$B$1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5" l="1"/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30" i="13"/>
  <c r="E31" i="13"/>
  <c r="E32" i="13"/>
  <c r="E33" i="13"/>
  <c r="E34" i="13"/>
  <c r="E35" i="13"/>
  <c r="E36" i="13"/>
  <c r="E37" i="13"/>
  <c r="E38" i="13"/>
  <c r="E39" i="13"/>
  <c r="E40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2" i="13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36" i="13"/>
  <c r="R37" i="13"/>
  <c r="R38" i="13"/>
  <c r="R39" i="13"/>
  <c r="R40" i="13"/>
  <c r="R41" i="13"/>
  <c r="R42" i="13"/>
  <c r="R43" i="13"/>
  <c r="R44" i="13"/>
  <c r="R45" i="13"/>
  <c r="R46" i="13"/>
  <c r="R47" i="13"/>
  <c r="R48" i="13"/>
  <c r="R49" i="13"/>
  <c r="R50" i="13"/>
  <c r="R51" i="13"/>
  <c r="R52" i="13"/>
  <c r="R53" i="13"/>
  <c r="R54" i="13"/>
  <c r="R55" i="13"/>
  <c r="R56" i="13"/>
  <c r="R57" i="13"/>
  <c r="R58" i="13"/>
  <c r="R2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Q57" i="13"/>
  <c r="Q58" i="13"/>
  <c r="Q2" i="13"/>
  <c r="A2" i="13"/>
  <c r="L58" i="14" l="1"/>
  <c r="A58" i="13"/>
  <c r="B37" i="10"/>
  <c r="B19" i="10"/>
  <c r="A49" i="10"/>
  <c r="D31" i="10"/>
  <c r="B2" i="10"/>
  <c r="G58" i="14" l="1"/>
  <c r="A45" i="10"/>
  <c r="B30" i="10"/>
  <c r="D29" i="10"/>
  <c r="Q17" i="10"/>
  <c r="Q16" i="10"/>
  <c r="Q15" i="10"/>
  <c r="Q14" i="10"/>
  <c r="Q13" i="10"/>
  <c r="Q12" i="10"/>
  <c r="Q21" i="10"/>
  <c r="J21" i="10"/>
  <c r="J13" i="10"/>
  <c r="J14" i="10"/>
  <c r="J15" i="10"/>
  <c r="J16" i="10"/>
  <c r="J17" i="10"/>
  <c r="J12" i="10"/>
  <c r="J5" i="10"/>
  <c r="J6" i="10"/>
  <c r="J7" i="10"/>
  <c r="J8" i="10"/>
  <c r="J3" i="10"/>
  <c r="J4" i="10"/>
  <c r="A58" i="14"/>
  <c r="F58" i="15"/>
  <c r="E58" i="15"/>
  <c r="B4" i="10"/>
  <c r="D58" i="15" l="1"/>
  <c r="A58" i="15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A38" i="13"/>
  <c r="A43" i="13"/>
  <c r="A32" i="13"/>
  <c r="A31" i="13"/>
  <c r="A34" i="13"/>
  <c r="A56" i="13"/>
  <c r="A37" i="13"/>
  <c r="A46" i="13"/>
  <c r="A49" i="13"/>
  <c r="A51" i="13"/>
  <c r="A33" i="13"/>
  <c r="A45" i="13"/>
  <c r="A30" i="13"/>
  <c r="A29" i="13"/>
  <c r="A41" i="13"/>
  <c r="A39" i="13"/>
  <c r="A52" i="13"/>
  <c r="A48" i="13"/>
  <c r="A44" i="13"/>
  <c r="A36" i="13"/>
  <c r="A57" i="13"/>
  <c r="A40" i="13"/>
  <c r="A42" i="13"/>
  <c r="A28" i="13"/>
  <c r="A53" i="13"/>
  <c r="A35" i="13"/>
  <c r="A47" i="13"/>
  <c r="A54" i="13"/>
  <c r="A50" i="13"/>
  <c r="A55" i="13"/>
  <c r="G57" i="14" l="1"/>
  <c r="G35" i="14"/>
  <c r="G37" i="14"/>
  <c r="G50" i="14"/>
  <c r="G52" i="14"/>
  <c r="G54" i="14"/>
  <c r="G51" i="14"/>
  <c r="G44" i="14"/>
  <c r="G48" i="14"/>
  <c r="G46" i="14"/>
  <c r="G55" i="14"/>
  <c r="G29" i="14"/>
  <c r="G45" i="14"/>
  <c r="G40" i="14"/>
  <c r="G56" i="14"/>
  <c r="G42" i="14"/>
  <c r="G36" i="14"/>
  <c r="G39" i="14"/>
  <c r="G53" i="14"/>
  <c r="G43" i="14"/>
  <c r="G38" i="14"/>
  <c r="G30" i="14"/>
  <c r="G34" i="14"/>
  <c r="G47" i="14"/>
  <c r="G49" i="14"/>
  <c r="G41" i="14"/>
  <c r="G28" i="14"/>
  <c r="G33" i="14"/>
  <c r="G32" i="14"/>
  <c r="G31" i="14"/>
  <c r="A41" i="14"/>
  <c r="A37" i="14"/>
  <c r="A54" i="14"/>
  <c r="A31" i="14"/>
  <c r="A36" i="14"/>
  <c r="F54" i="15"/>
  <c r="A50" i="14"/>
  <c r="E37" i="15"/>
  <c r="A46" i="14"/>
  <c r="E46" i="15" s="1"/>
  <c r="A43" i="14"/>
  <c r="E43" i="15"/>
  <c r="E36" i="15"/>
  <c r="A44" i="14"/>
  <c r="E44" i="15"/>
  <c r="F46" i="15"/>
  <c r="A32" i="14"/>
  <c r="F43" i="15"/>
  <c r="F41" i="15"/>
  <c r="A56" i="14"/>
  <c r="A39" i="14"/>
  <c r="E39" i="15" s="1"/>
  <c r="A47" i="14"/>
  <c r="E47" i="15" s="1"/>
  <c r="A29" i="14"/>
  <c r="F50" i="15"/>
  <c r="E41" i="15"/>
  <c r="F32" i="15"/>
  <c r="F39" i="15"/>
  <c r="A33" i="14"/>
  <c r="F31" i="15"/>
  <c r="A40" i="14"/>
  <c r="E40" i="15" s="1"/>
  <c r="A48" i="14"/>
  <c r="A30" i="14"/>
  <c r="F30" i="15" s="1"/>
  <c r="F36" i="15"/>
  <c r="A45" i="14"/>
  <c r="E45" i="15" s="1"/>
  <c r="F33" i="15"/>
  <c r="A28" i="14"/>
  <c r="E28" i="15" s="1"/>
  <c r="A34" i="14"/>
  <c r="A57" i="14"/>
  <c r="A55" i="14"/>
  <c r="F55" i="15" s="1"/>
  <c r="A42" i="14"/>
  <c r="F42" i="15" s="1"/>
  <c r="E34" i="15"/>
  <c r="E30" i="15"/>
  <c r="F56" i="15"/>
  <c r="A38" i="14"/>
  <c r="A49" i="14"/>
  <c r="E49" i="15" s="1"/>
  <c r="A53" i="14"/>
  <c r="E56" i="15"/>
  <c r="E33" i="15"/>
  <c r="F37" i="15"/>
  <c r="F44" i="15"/>
  <c r="A52" i="14"/>
  <c r="A35" i="14"/>
  <c r="F35" i="15" s="1"/>
  <c r="A51" i="14"/>
  <c r="E31" i="15"/>
  <c r="E55" i="15"/>
  <c r="E29" i="15"/>
  <c r="F29" i="15"/>
  <c r="E48" i="15"/>
  <c r="F48" i="15"/>
  <c r="E57" i="15"/>
  <c r="F57" i="15"/>
  <c r="F38" i="15"/>
  <c r="E38" i="15"/>
  <c r="F53" i="15"/>
  <c r="E53" i="15"/>
  <c r="E52" i="15"/>
  <c r="F52" i="15"/>
  <c r="E51" i="15"/>
  <c r="F51" i="15"/>
  <c r="D57" i="15" l="1"/>
  <c r="A51" i="15"/>
  <c r="A33" i="15"/>
  <c r="A45" i="15"/>
  <c r="A29" i="15"/>
  <c r="A43" i="15"/>
  <c r="A53" i="15"/>
  <c r="A34" i="15"/>
  <c r="A36" i="15"/>
  <c r="A35" i="15"/>
  <c r="A47" i="15"/>
  <c r="A32" i="15"/>
  <c r="A31" i="15"/>
  <c r="A30" i="15"/>
  <c r="A42" i="15"/>
  <c r="A46" i="15"/>
  <c r="A54" i="15"/>
  <c r="A52" i="15"/>
  <c r="A49" i="15"/>
  <c r="A39" i="15"/>
  <c r="A48" i="15"/>
  <c r="A55" i="15"/>
  <c r="A28" i="15"/>
  <c r="A37" i="15"/>
  <c r="A56" i="15"/>
  <c r="A44" i="15"/>
  <c r="A50" i="15"/>
  <c r="A41" i="15"/>
  <c r="A40" i="15"/>
  <c r="A38" i="15"/>
  <c r="A57" i="15"/>
  <c r="D38" i="15"/>
  <c r="D56" i="15"/>
  <c r="D48" i="15"/>
  <c r="D41" i="15"/>
  <c r="D43" i="15"/>
  <c r="D44" i="15"/>
  <c r="D37" i="15"/>
  <c r="D53" i="15"/>
  <c r="D51" i="15"/>
  <c r="D35" i="15"/>
  <c r="D39" i="15"/>
  <c r="D29" i="15"/>
  <c r="D54" i="15"/>
  <c r="D36" i="15"/>
  <c r="D55" i="15"/>
  <c r="D52" i="15"/>
  <c r="D30" i="15"/>
  <c r="D42" i="15"/>
  <c r="D46" i="15"/>
  <c r="D50" i="15"/>
  <c r="D33" i="15"/>
  <c r="D32" i="15"/>
  <c r="D31" i="15"/>
  <c r="E35" i="15"/>
  <c r="E54" i="15"/>
  <c r="E50" i="15"/>
  <c r="F45" i="15"/>
  <c r="F47" i="15"/>
  <c r="F49" i="15"/>
  <c r="F40" i="15"/>
  <c r="F34" i="15"/>
  <c r="E42" i="15"/>
  <c r="F28" i="15"/>
  <c r="E32" i="15"/>
  <c r="D40" i="15" l="1"/>
  <c r="D47" i="15"/>
  <c r="D28" i="15"/>
  <c r="D34" i="15"/>
  <c r="D49" i="15"/>
  <c r="D45" i="15"/>
  <c r="N21" i="10"/>
  <c r="M21" i="10"/>
  <c r="L4" i="14" l="1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3" i="14"/>
  <c r="L2" i="14"/>
  <c r="A18" i="13"/>
  <c r="A26" i="13"/>
  <c r="A6" i="13"/>
  <c r="A15" i="13"/>
  <c r="A14" i="13"/>
  <c r="A9" i="13"/>
  <c r="A23" i="13"/>
  <c r="A13" i="13"/>
  <c r="A5" i="13"/>
  <c r="A7" i="13"/>
  <c r="A20" i="13"/>
  <c r="A8" i="13"/>
  <c r="A4" i="13"/>
  <c r="A21" i="13"/>
  <c r="A22" i="13"/>
  <c r="A19" i="13"/>
  <c r="A11" i="13"/>
  <c r="A17" i="13"/>
  <c r="A3" i="13"/>
  <c r="A10" i="13"/>
  <c r="A12" i="13"/>
  <c r="A27" i="13"/>
  <c r="A24" i="13"/>
  <c r="A25" i="13"/>
  <c r="A16" i="13"/>
  <c r="G24" i="14" l="1"/>
  <c r="G18" i="14"/>
  <c r="G12" i="14"/>
  <c r="G6" i="14"/>
  <c r="G23" i="14"/>
  <c r="G17" i="14"/>
  <c r="G11" i="14"/>
  <c r="G5" i="14"/>
  <c r="G22" i="14"/>
  <c r="G16" i="14"/>
  <c r="G10" i="14"/>
  <c r="G4" i="14"/>
  <c r="G27" i="14"/>
  <c r="G21" i="14"/>
  <c r="G15" i="14"/>
  <c r="G9" i="14"/>
  <c r="G3" i="14"/>
  <c r="G26" i="14"/>
  <c r="G20" i="14"/>
  <c r="G14" i="14"/>
  <c r="G8" i="14"/>
  <c r="G25" i="14"/>
  <c r="G19" i="14"/>
  <c r="G13" i="14"/>
  <c r="G7" i="14"/>
  <c r="A13" i="14"/>
  <c r="A16" i="14"/>
  <c r="A3" i="14"/>
  <c r="A4" i="14"/>
  <c r="A17" i="14"/>
  <c r="E17" i="15" s="1"/>
  <c r="A25" i="14"/>
  <c r="A24" i="14"/>
  <c r="E25" i="15"/>
  <c r="A7" i="14"/>
  <c r="F3" i="15"/>
  <c r="A9" i="14"/>
  <c r="F9" i="15" s="1"/>
  <c r="A21" i="14"/>
  <c r="E21" i="15" s="1"/>
  <c r="A12" i="14"/>
  <c r="F12" i="15" s="1"/>
  <c r="F25" i="15"/>
  <c r="A22" i="14"/>
  <c r="A6" i="14"/>
  <c r="F17" i="15"/>
  <c r="A5" i="14"/>
  <c r="F5" i="15" s="1"/>
  <c r="F21" i="15"/>
  <c r="A20" i="14"/>
  <c r="A14" i="14"/>
  <c r="A19" i="14"/>
  <c r="F6" i="15"/>
  <c r="A8" i="14"/>
  <c r="F8" i="15" s="1"/>
  <c r="A27" i="14"/>
  <c r="A10" i="14"/>
  <c r="A18" i="14"/>
  <c r="F18" i="15" s="1"/>
  <c r="F14" i="15"/>
  <c r="A11" i="14"/>
  <c r="F11" i="15" s="1"/>
  <c r="F4" i="15"/>
  <c r="F7" i="15"/>
  <c r="A26" i="14"/>
  <c r="F26" i="15" s="1"/>
  <c r="A23" i="14"/>
  <c r="F23" i="15" s="1"/>
  <c r="F24" i="15"/>
  <c r="A15" i="14"/>
  <c r="E24" i="15"/>
  <c r="F20" i="15"/>
  <c r="E20" i="15"/>
  <c r="F10" i="15"/>
  <c r="E10" i="15"/>
  <c r="A19" i="15" l="1"/>
  <c r="A6" i="15"/>
  <c r="A7" i="15"/>
  <c r="A15" i="15"/>
  <c r="A11" i="15"/>
  <c r="A13" i="15"/>
  <c r="A14" i="15"/>
  <c r="A22" i="15"/>
  <c r="A17" i="15"/>
  <c r="A3" i="15"/>
  <c r="A18" i="15"/>
  <c r="A23" i="15"/>
  <c r="A10" i="15"/>
  <c r="A20" i="15"/>
  <c r="A12" i="15"/>
  <c r="A24" i="15"/>
  <c r="A16" i="15"/>
  <c r="A27" i="15"/>
  <c r="A21" i="15"/>
  <c r="A25" i="15"/>
  <c r="A4" i="15"/>
  <c r="A26" i="15"/>
  <c r="A8" i="15"/>
  <c r="A5" i="15"/>
  <c r="A9" i="15"/>
  <c r="D6" i="15"/>
  <c r="D10" i="15"/>
  <c r="D17" i="15"/>
  <c r="D21" i="15"/>
  <c r="D20" i="15"/>
  <c r="D24" i="15"/>
  <c r="D25" i="15"/>
  <c r="D4" i="15"/>
  <c r="D8" i="15"/>
  <c r="D5" i="15"/>
  <c r="D3" i="15"/>
  <c r="D12" i="15"/>
  <c r="D14" i="15"/>
  <c r="D23" i="15"/>
  <c r="D26" i="15"/>
  <c r="D18" i="15"/>
  <c r="D7" i="15"/>
  <c r="D11" i="15"/>
  <c r="D9" i="15"/>
  <c r="G2" i="14"/>
  <c r="L13" i="10"/>
  <c r="L14" i="10"/>
  <c r="L15" i="10"/>
  <c r="L16" i="10"/>
  <c r="L17" i="10"/>
  <c r="E8" i="15"/>
  <c r="E19" i="15"/>
  <c r="E22" i="15"/>
  <c r="E11" i="15"/>
  <c r="E12" i="15"/>
  <c r="A2" i="14"/>
  <c r="F2" i="15" s="1"/>
  <c r="E9" i="15"/>
  <c r="E7" i="15"/>
  <c r="F16" i="15"/>
  <c r="E4" i="15"/>
  <c r="E15" i="15"/>
  <c r="E5" i="15"/>
  <c r="F15" i="15"/>
  <c r="E3" i="15"/>
  <c r="E6" i="15"/>
  <c r="E18" i="15"/>
  <c r="E14" i="15"/>
  <c r="E2" i="15"/>
  <c r="F19" i="15"/>
  <c r="F22" i="15"/>
  <c r="F27" i="15"/>
  <c r="F13" i="15"/>
  <c r="E26" i="15"/>
  <c r="E27" i="15"/>
  <c r="E13" i="15"/>
  <c r="E23" i="15"/>
  <c r="E16" i="15"/>
  <c r="A2" i="15" l="1"/>
  <c r="D22" i="15"/>
  <c r="D13" i="15"/>
  <c r="D15" i="15"/>
  <c r="D27" i="15"/>
  <c r="D19" i="15"/>
  <c r="D16" i="15"/>
  <c r="P17" i="10"/>
  <c r="N17" i="10"/>
  <c r="P16" i="10"/>
  <c r="N16" i="10"/>
  <c r="P15" i="10"/>
  <c r="N15" i="10"/>
  <c r="P14" i="10"/>
  <c r="N14" i="10"/>
  <c r="P13" i="10"/>
  <c r="N13" i="10"/>
  <c r="P12" i="10"/>
  <c r="N12" i="10"/>
  <c r="B28" i="10"/>
  <c r="M8" i="10"/>
  <c r="K8" i="10"/>
  <c r="M7" i="10"/>
  <c r="K7" i="10"/>
  <c r="M6" i="10"/>
  <c r="K6" i="10"/>
  <c r="M5" i="10"/>
  <c r="K5" i="10"/>
  <c r="M4" i="10"/>
  <c r="K4" i="10"/>
  <c r="K3" i="10"/>
  <c r="B7" i="10"/>
  <c r="H7" i="10"/>
  <c r="H8" i="10"/>
  <c r="H4" i="10"/>
  <c r="H3" i="10"/>
  <c r="H5" i="10"/>
  <c r="H6" i="10"/>
  <c r="K21" i="10" l="1"/>
  <c r="R21" i="10"/>
  <c r="D2" i="15"/>
  <c r="K15" i="10"/>
  <c r="K12" i="10"/>
  <c r="K17" i="10"/>
  <c r="K13" i="10"/>
  <c r="K14" i="10"/>
  <c r="K16" i="10"/>
  <c r="I5" i="10"/>
  <c r="I7" i="10"/>
  <c r="H13" i="10"/>
  <c r="I6" i="10"/>
  <c r="I8" i="10"/>
  <c r="I3" i="10"/>
  <c r="H14" i="10"/>
  <c r="H21" i="10"/>
  <c r="I4" i="10"/>
  <c r="H17" i="10"/>
  <c r="H12" i="10"/>
  <c r="H15" i="10"/>
  <c r="H16" i="10"/>
  <c r="G8" i="10" l="1"/>
  <c r="G7" i="10"/>
  <c r="G3" i="10"/>
  <c r="G5" i="10"/>
  <c r="G6" i="10"/>
  <c r="G4" i="10"/>
  <c r="B25" i="10"/>
  <c r="A43" i="10" l="1"/>
  <c r="D2" i="10" a="1"/>
  <c r="D3" i="10" l="1"/>
  <c r="C3" i="10" s="1"/>
  <c r="D4" i="10"/>
  <c r="C4" i="10" s="1"/>
  <c r="D7" i="10"/>
  <c r="D6" i="10"/>
  <c r="C6" i="10" s="1"/>
  <c r="D2" i="10"/>
  <c r="B44" i="10" s="1"/>
  <c r="D5" i="10"/>
  <c r="C5" i="10" s="1"/>
  <c r="D8" i="10"/>
  <c r="C8" i="10" s="1"/>
  <c r="E2" i="10" a="1"/>
  <c r="F19" i="10"/>
  <c r="C2" i="10" l="1"/>
  <c r="E8" i="10"/>
  <c r="E7" i="10"/>
  <c r="E3" i="10"/>
  <c r="E5" i="10"/>
  <c r="E4" i="10"/>
  <c r="E6" i="10"/>
  <c r="E2" i="10"/>
  <c r="C7" i="10"/>
  <c r="L2" i="15"/>
  <c r="F2" i="10" a="1"/>
  <c r="F7" i="10" l="1"/>
  <c r="F6" i="10"/>
  <c r="F4" i="10"/>
  <c r="F3" i="10"/>
  <c r="F8" i="10"/>
  <c r="F5" i="10"/>
  <c r="F2" i="10"/>
  <c r="D25" i="10" l="1"/>
  <c r="J2" i="15" l="1"/>
  <c r="H2" i="15"/>
  <c r="G4" i="15"/>
  <c r="G3" i="15"/>
  <c r="G11" i="15"/>
  <c r="G50" i="15"/>
  <c r="G15" i="15"/>
  <c r="G10" i="15"/>
  <c r="G2" i="15"/>
  <c r="G40" i="15"/>
  <c r="G5" i="15"/>
  <c r="G30" i="15"/>
  <c r="G31" i="15"/>
  <c r="G55" i="15"/>
  <c r="G54" i="15"/>
  <c r="G53" i="15"/>
  <c r="G12" i="15"/>
  <c r="G37" i="15"/>
  <c r="G33" i="15"/>
  <c r="G45" i="15"/>
  <c r="G41" i="15"/>
  <c r="G6" i="15"/>
  <c r="G58" i="15"/>
  <c r="G20" i="15"/>
  <c r="G18" i="15"/>
  <c r="G7" i="15"/>
  <c r="G8" i="15"/>
  <c r="G34" i="15"/>
  <c r="G13" i="15"/>
  <c r="G47" i="15"/>
  <c r="G27" i="15"/>
  <c r="G44" i="15"/>
  <c r="G26" i="15"/>
  <c r="G19" i="15"/>
  <c r="G48" i="15"/>
  <c r="G56" i="15"/>
  <c r="G32" i="15"/>
  <c r="G25" i="15"/>
  <c r="G57" i="15"/>
  <c r="G51" i="15"/>
  <c r="G42" i="15"/>
  <c r="G9" i="15"/>
  <c r="G21" i="15"/>
  <c r="G38" i="15"/>
  <c r="G29" i="15"/>
  <c r="G35" i="15"/>
  <c r="G46" i="15"/>
  <c r="G28" i="15"/>
  <c r="G49" i="15"/>
  <c r="G43" i="15"/>
  <c r="G24" i="15"/>
  <c r="G14" i="15"/>
  <c r="G16" i="15"/>
  <c r="G23" i="15"/>
  <c r="G52" i="15"/>
  <c r="G39" i="15"/>
  <c r="G22" i="15"/>
  <c r="G17" i="15"/>
  <c r="G36" i="15"/>
</calcChain>
</file>

<file path=xl/sharedStrings.xml><?xml version="1.0" encoding="utf-8"?>
<sst xmlns="http://schemas.openxmlformats.org/spreadsheetml/2006/main" count="760" uniqueCount="182">
  <si>
    <t>Evaluation Date</t>
    <phoneticPr fontId="3" type="noConversion"/>
  </si>
  <si>
    <t>SetEvaluationDate</t>
    <phoneticPr fontId="3" type="noConversion"/>
  </si>
  <si>
    <t>ObjectId</t>
    <phoneticPr fontId="3" type="noConversion"/>
  </si>
  <si>
    <t>Currency</t>
    <phoneticPr fontId="3" type="noConversion"/>
  </si>
  <si>
    <t>Tenor</t>
    <phoneticPr fontId="3" type="noConversion"/>
  </si>
  <si>
    <t>Permanent</t>
    <phoneticPr fontId="3" type="noConversion"/>
  </si>
  <si>
    <t>Trigger</t>
    <phoneticPr fontId="3" type="noConversion"/>
  </si>
  <si>
    <t>Overwrite</t>
    <phoneticPr fontId="3" type="noConversion"/>
  </si>
  <si>
    <t>Error</t>
    <phoneticPr fontId="3" type="noConversion"/>
  </si>
  <si>
    <t>Calendar</t>
    <phoneticPr fontId="3" type="noConversion"/>
  </si>
  <si>
    <t>DayCounter</t>
    <phoneticPr fontId="3" type="noConversion"/>
  </si>
  <si>
    <t>ObjectID</t>
    <phoneticPr fontId="3" type="noConversion"/>
  </si>
  <si>
    <t>Quote</t>
    <phoneticPr fontId="3" type="noConversion"/>
  </si>
  <si>
    <t>QutoeObj</t>
    <phoneticPr fontId="3" type="noConversion"/>
  </si>
  <si>
    <t>TickValue</t>
    <phoneticPr fontId="3" type="noConversion"/>
  </si>
  <si>
    <t>qlDepositRateHelper2</t>
    <phoneticPr fontId="3" type="noConversion"/>
  </si>
  <si>
    <t>F</t>
    <phoneticPr fontId="2" type="noConversion"/>
  </si>
  <si>
    <t>Rate</t>
    <phoneticPr fontId="3" type="noConversion"/>
  </si>
  <si>
    <t>FixingDays</t>
    <phoneticPr fontId="3" type="noConversion"/>
  </si>
  <si>
    <t>Convention</t>
    <phoneticPr fontId="3" type="noConversion"/>
  </si>
  <si>
    <t>EndOfMonth</t>
    <phoneticPr fontId="3" type="noConversion"/>
  </si>
  <si>
    <t>TAIBOR</t>
    <phoneticPr fontId="2" type="noConversion"/>
  </si>
  <si>
    <t>FamilyName</t>
    <phoneticPr fontId="3" type="noConversion"/>
  </si>
  <si>
    <t>BDayConvention</t>
    <phoneticPr fontId="3" type="noConversion"/>
  </si>
  <si>
    <t>EndofMonth</t>
    <phoneticPr fontId="3" type="noConversion"/>
  </si>
  <si>
    <t>FwdCurve</t>
    <phoneticPr fontId="3" type="noConversion"/>
  </si>
  <si>
    <t>3M</t>
    <phoneticPr fontId="3" type="noConversion"/>
  </si>
  <si>
    <t>MF</t>
    <phoneticPr fontId="3" type="noConversion"/>
  </si>
  <si>
    <t>ObjectId</t>
  </si>
  <si>
    <t>Ndays</t>
  </si>
  <si>
    <t>Calendar</t>
  </si>
  <si>
    <t>RateHelpers</t>
  </si>
  <si>
    <t>DayCounter</t>
  </si>
  <si>
    <t>Jumps</t>
  </si>
  <si>
    <t>JumpDates</t>
  </si>
  <si>
    <t>Accuracy</t>
  </si>
  <si>
    <t>TraitsID</t>
  </si>
  <si>
    <t>InterpolatiorID</t>
  </si>
  <si>
    <t>Permanent</t>
  </si>
  <si>
    <t>Trigger</t>
  </si>
  <si>
    <t>Overwrite</t>
  </si>
  <si>
    <t>qlPiecewiseYieldCurve</t>
    <phoneticPr fontId="3" type="noConversion"/>
  </si>
  <si>
    <t>YieldTSZeroRate</t>
    <phoneticPr fontId="3" type="noConversion"/>
  </si>
  <si>
    <t>Date</t>
    <phoneticPr fontId="3" type="noConversion"/>
  </si>
  <si>
    <t>Linear</t>
    <phoneticPr fontId="3" type="noConversion"/>
  </si>
  <si>
    <t>Helper Obj</t>
    <phoneticPr fontId="3" type="noConversion"/>
  </si>
  <si>
    <t>zero rate</t>
    <phoneticPr fontId="3" type="noConversion"/>
  </si>
  <si>
    <t>Days</t>
    <phoneticPr fontId="3" type="noConversion"/>
  </si>
  <si>
    <t>DF</t>
    <phoneticPr fontId="2" type="noConversion"/>
  </si>
  <si>
    <t>TWD</t>
    <phoneticPr fontId="3" type="noConversion"/>
  </si>
  <si>
    <t>Taiwan::TSEC</t>
  </si>
  <si>
    <t>ZeroYield</t>
  </si>
  <si>
    <t>Quarterly</t>
  </si>
  <si>
    <t>SettleDate</t>
    <phoneticPr fontId="3" type="noConversion"/>
  </si>
  <si>
    <t>3M</t>
    <phoneticPr fontId="2" type="noConversion"/>
  </si>
  <si>
    <t>TWDZC</t>
    <phoneticPr fontId="2" type="noConversion"/>
  </si>
  <si>
    <t>1W</t>
    <phoneticPr fontId="2" type="noConversion"/>
  </si>
  <si>
    <t>2Y</t>
    <phoneticPr fontId="2" type="noConversion"/>
  </si>
  <si>
    <t>4W</t>
    <phoneticPr fontId="2" type="noConversion"/>
  </si>
  <si>
    <t>EffectiveDate</t>
    <phoneticPr fontId="3" type="noConversion"/>
  </si>
  <si>
    <t>TerminationDate</t>
    <phoneticPr fontId="3" type="noConversion"/>
  </si>
  <si>
    <t>TermDateConv</t>
    <phoneticPr fontId="3" type="noConversion"/>
  </si>
  <si>
    <t>GenRule</t>
    <phoneticPr fontId="3" type="noConversion"/>
  </si>
  <si>
    <t>FirstDate</t>
    <phoneticPr fontId="3" type="noConversion"/>
  </si>
  <si>
    <t>NextToLastDate</t>
    <phoneticPr fontId="3" type="noConversion"/>
  </si>
  <si>
    <t>Description</t>
    <phoneticPr fontId="3" type="noConversion"/>
  </si>
  <si>
    <t>SettlementDays</t>
    <phoneticPr fontId="3" type="noConversion"/>
  </si>
  <si>
    <t>FaceAmount</t>
    <phoneticPr fontId="3" type="noConversion"/>
  </si>
  <si>
    <t>ScheduleID</t>
    <phoneticPr fontId="3" type="noConversion"/>
  </si>
  <si>
    <t>Coupons</t>
    <phoneticPr fontId="3" type="noConversion"/>
  </si>
  <si>
    <t>PaymentBDC</t>
    <phoneticPr fontId="3" type="noConversion"/>
  </si>
  <si>
    <t>Redemption</t>
    <phoneticPr fontId="3" type="noConversion"/>
  </si>
  <si>
    <t>IssueDate</t>
    <phoneticPr fontId="3" type="noConversion"/>
  </si>
  <si>
    <t>PaymentCalendar</t>
    <phoneticPr fontId="3" type="noConversion"/>
  </si>
  <si>
    <t>BondEngine</t>
    <phoneticPr fontId="3" type="noConversion"/>
  </si>
  <si>
    <t>YieldCurve</t>
    <phoneticPr fontId="3" type="noConversion"/>
  </si>
  <si>
    <t>qlCleanPrice</t>
    <phoneticPr fontId="3" type="noConversion"/>
  </si>
  <si>
    <t>NPV</t>
    <phoneticPr fontId="3" type="noConversion"/>
  </si>
  <si>
    <t>SetPricingEngine</t>
    <phoneticPr fontId="3" type="noConversion"/>
  </si>
  <si>
    <t>MF</t>
  </si>
  <si>
    <t>F</t>
  </si>
  <si>
    <t>Backward</t>
  </si>
  <si>
    <t>1100104364AUN</t>
  </si>
  <si>
    <t>1100804364AHN</t>
  </si>
  <si>
    <t>1100804364AMN</t>
  </si>
  <si>
    <t>1100906364ABN</t>
  </si>
  <si>
    <t>1100906364AFN</t>
  </si>
  <si>
    <t>1100906364AIN</t>
  </si>
  <si>
    <t>1101004364AMN</t>
  </si>
  <si>
    <t>1101104364ARN</t>
  </si>
  <si>
    <t>1101104364AWN</t>
  </si>
  <si>
    <t>110112402811N</t>
  </si>
  <si>
    <t>110112502811N</t>
  </si>
  <si>
    <t>110112602811N</t>
  </si>
  <si>
    <t>110113002811N</t>
  </si>
  <si>
    <t>110120102811N</t>
  </si>
  <si>
    <t>110120202811N</t>
  </si>
  <si>
    <t>1101206364AJN</t>
  </si>
  <si>
    <t>1101206364ALN</t>
  </si>
  <si>
    <t>1101206364AQN</t>
  </si>
  <si>
    <t>1101206364AVN</t>
  </si>
  <si>
    <t>110120802811N</t>
  </si>
  <si>
    <t>110121502711N</t>
  </si>
  <si>
    <t>110121502811N</t>
  </si>
  <si>
    <t>110121602811N</t>
  </si>
  <si>
    <t>110121702811N</t>
  </si>
  <si>
    <t>1101220Y02ANN</t>
  </si>
  <si>
    <t>1101220Y02ARN</t>
  </si>
  <si>
    <r>
      <rPr>
        <b/>
        <sz val="12"/>
        <rFont val="標楷體"/>
        <family val="4"/>
        <charset val="136"/>
      </rPr>
      <t>庫存成本</t>
    </r>
    <phoneticPr fontId="3" type="noConversion"/>
  </si>
  <si>
    <r>
      <rPr>
        <b/>
        <sz val="12"/>
        <rFont val="標楷體"/>
        <family val="4"/>
        <charset val="136"/>
      </rPr>
      <t>資產市價
（含息價）</t>
    </r>
    <phoneticPr fontId="3" type="noConversion"/>
  </si>
  <si>
    <r>
      <rPr>
        <b/>
        <sz val="12"/>
        <rFont val="標楷體"/>
        <family val="4"/>
        <charset val="136"/>
      </rPr>
      <t>資產市價
（除息價）</t>
    </r>
    <phoneticPr fontId="3" type="noConversion"/>
  </si>
  <si>
    <t>28D</t>
  </si>
  <si>
    <t>2Y</t>
  </si>
  <si>
    <t>364D</t>
  </si>
  <si>
    <t>27D</t>
  </si>
  <si>
    <t>TWD</t>
  </si>
  <si>
    <t>RateDates</t>
    <phoneticPr fontId="3" type="noConversion"/>
  </si>
  <si>
    <t>CurveDiscounts</t>
    <phoneticPr fontId="3" type="noConversion"/>
  </si>
  <si>
    <t>qlDiscountCurve</t>
  </si>
  <si>
    <t>13W</t>
    <phoneticPr fontId="2" type="noConversion"/>
  </si>
  <si>
    <t>52W</t>
    <phoneticPr fontId="2" type="noConversion"/>
  </si>
  <si>
    <t>26W</t>
    <phoneticPr fontId="2" type="noConversion"/>
  </si>
  <si>
    <t>Continuous</t>
  </si>
  <si>
    <t>Corp Rate Help</t>
    <phoneticPr fontId="2" type="noConversion"/>
  </si>
  <si>
    <t>SettlDays</t>
    <phoneticPr fontId="3" type="noConversion"/>
  </si>
  <si>
    <t>FixedLegFrequency</t>
    <phoneticPr fontId="3" type="noConversion"/>
  </si>
  <si>
    <t>FixedLegConvention</t>
    <phoneticPr fontId="3" type="noConversion"/>
  </si>
  <si>
    <t>FixedLegDayCounter</t>
    <phoneticPr fontId="3" type="noConversion"/>
  </si>
  <si>
    <t>IborIndex</t>
    <phoneticPr fontId="3" type="noConversion"/>
  </si>
  <si>
    <t>Spread</t>
    <phoneticPr fontId="3" type="noConversion"/>
  </si>
  <si>
    <t>ForwardStart</t>
    <phoneticPr fontId="3" type="noConversion"/>
  </si>
  <si>
    <t>DiscountingCurve</t>
    <phoneticPr fontId="3" type="noConversion"/>
  </si>
  <si>
    <t>PillarDate</t>
    <phoneticPr fontId="3" type="noConversion"/>
  </si>
  <si>
    <t>CustomPillarDate</t>
    <phoneticPr fontId="3" type="noConversion"/>
  </si>
  <si>
    <t>Annual</t>
  </si>
  <si>
    <t>0D</t>
  </si>
  <si>
    <t>1090416Y02AEN</t>
  </si>
  <si>
    <t>1100304364AJN</t>
  </si>
  <si>
    <t>1100304364AMN</t>
  </si>
  <si>
    <t>1100406364ADN</t>
  </si>
  <si>
    <t>1100406364AFN</t>
  </si>
  <si>
    <t>1100406364AIN</t>
  </si>
  <si>
    <t>1100415Y02ANN</t>
  </si>
  <si>
    <t>1100504364A8N</t>
  </si>
  <si>
    <t>1100504364A9N</t>
  </si>
  <si>
    <t>1100504364ACN</t>
  </si>
  <si>
    <t>1100504364AFN</t>
  </si>
  <si>
    <t>1100513Y02ALN</t>
  </si>
  <si>
    <t>1100604364AAN</t>
  </si>
  <si>
    <t>1100604364ACN</t>
  </si>
  <si>
    <t>1100604364AFN</t>
  </si>
  <si>
    <t>1100604364AKN</t>
  </si>
  <si>
    <t>1100617Y02AHN</t>
  </si>
  <si>
    <t>1100705364A7N</t>
  </si>
  <si>
    <t>1100705364A9N</t>
  </si>
  <si>
    <t>1100705364ADN</t>
  </si>
  <si>
    <t>1100705364AFN</t>
  </si>
  <si>
    <t>1100705364AHN</t>
  </si>
  <si>
    <t>1100715Y02ACN</t>
  </si>
  <si>
    <t>1100715Y02AHN</t>
  </si>
  <si>
    <t>1100906364A8N</t>
  </si>
  <si>
    <t>1101004364AHN</t>
  </si>
  <si>
    <t>1101004364APN</t>
  </si>
  <si>
    <t>1101104364AGN</t>
  </si>
  <si>
    <t>1101104364ALN</t>
  </si>
  <si>
    <t>1101206364AGN</t>
  </si>
  <si>
    <t>TWNCDDF</t>
    <phoneticPr fontId="2" type="noConversion"/>
  </si>
  <si>
    <t>A/365</t>
    <phoneticPr fontId="3" type="noConversion"/>
  </si>
  <si>
    <t>Taibor3M</t>
    <phoneticPr fontId="2" type="noConversion"/>
  </si>
  <si>
    <t>Re-Calculate</t>
    <phoneticPr fontId="3" type="noConversion"/>
  </si>
  <si>
    <t>NCDEng</t>
    <phoneticPr fontId="3" type="noConversion"/>
  </si>
  <si>
    <t>110122202811N</t>
  </si>
  <si>
    <t>110122302811N</t>
  </si>
  <si>
    <t>110122402811N</t>
  </si>
  <si>
    <t>110122802711N</t>
  </si>
  <si>
    <t>110122802811N</t>
  </si>
  <si>
    <t>1W</t>
    <phoneticPr fontId="2" type="noConversion"/>
  </si>
  <si>
    <t>110122902811N</t>
  </si>
  <si>
    <t>367D</t>
    <phoneticPr fontId="2" type="noConversion"/>
  </si>
  <si>
    <t>2Y</t>
    <phoneticPr fontId="2" type="noConversion"/>
  </si>
  <si>
    <t>A/365F</t>
  </si>
  <si>
    <t>A/365F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</si>
</sst>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-* #,##0.00_-;\-* #,##0.00_-;_-* &quot;-&quot;??_-;_-@_-"/>
    <numFmt numFmtId="176" formatCode="0.000000%"/>
    <numFmt numFmtId="177" formatCode="0.00000%"/>
    <numFmt numFmtId="178" formatCode="0_ "/>
    <numFmt numFmtId="179" formatCode="0.00000000_ "/>
    <numFmt numFmtId="180" formatCode="0_);[Red]\(0\)"/>
    <numFmt numFmtId="181" formatCode="_-* #,##0_-;\-* #,##0_-;_-* &quot;-&quot;??_-;_-@_-"/>
    <numFmt numFmtId="182" formatCode="#,##0_ "/>
    <numFmt numFmtId="183" formatCode="#,##0_ ;[Red]\-#,##0\ "/>
    <numFmt numFmtId="184" formatCode="_-* #,##0.0000_-;\-* #,##0.0000_-;_-* &quot;-&quot;??_-;_-@_-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1"/>
      <color indexed="12"/>
      <name val="Calibri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name val="Calibri"/>
      <family val="2"/>
    </font>
    <font>
      <sz val="12"/>
      <color theme="1"/>
      <name val="Calibri"/>
      <family val="2"/>
    </font>
    <font>
      <sz val="12"/>
      <name val="Palatino Linotype"/>
      <family val="1"/>
    </font>
    <font>
      <b/>
      <sz val="12"/>
      <name val="Palatino Linotype"/>
      <family val="1"/>
    </font>
    <font>
      <b/>
      <sz val="12"/>
      <name val="標楷體"/>
      <family val="4"/>
      <charset val="136"/>
    </font>
    <font>
      <sz val="12"/>
      <color rgb="FFFF0000"/>
      <name val="Calibri"/>
      <family val="2"/>
    </font>
    <font>
      <b/>
      <sz val="11"/>
      <color theme="1"/>
      <name val="Calibri"/>
      <family val="2"/>
    </font>
    <font>
      <b/>
      <sz val="11"/>
      <color rgb="FF7030A0"/>
      <name val="Calibri"/>
      <family val="2"/>
    </font>
    <font>
      <b/>
      <sz val="11"/>
      <color theme="7" tint="-0.499984740745262"/>
      <name val="Calibri"/>
      <family val="2"/>
    </font>
    <font>
      <sz val="12"/>
      <color theme="0"/>
      <name val="Calibri"/>
      <family val="2"/>
    </font>
    <font>
      <b/>
      <sz val="12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4" fillId="0" borderId="0" xfId="0" applyFont="1" applyBorder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2" borderId="0" xfId="0" applyFont="1" applyFill="1">
      <alignment vertical="center"/>
    </xf>
    <xf numFmtId="0" fontId="4" fillId="0" borderId="0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14" fontId="5" fillId="2" borderId="0" xfId="0" applyNumberFormat="1" applyFont="1" applyFill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5" fillId="3" borderId="0" xfId="0" applyFont="1" applyFill="1">
      <alignment vertical="center"/>
    </xf>
    <xf numFmtId="14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5" fillId="0" borderId="0" xfId="0" applyNumberFormat="1" applyFont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10" fillId="0" borderId="0" xfId="0" applyFont="1">
      <alignment vertical="center"/>
    </xf>
    <xf numFmtId="0" fontId="9" fillId="4" borderId="0" xfId="0" applyFont="1" applyFill="1">
      <alignment vertical="center"/>
    </xf>
    <xf numFmtId="176" fontId="5" fillId="5" borderId="0" xfId="1" applyNumberFormat="1" applyFont="1" applyFill="1">
      <alignment vertical="center"/>
    </xf>
    <xf numFmtId="179" fontId="5" fillId="5" borderId="0" xfId="1" applyNumberFormat="1" applyFont="1" applyFill="1">
      <alignment vertical="center"/>
    </xf>
    <xf numFmtId="14" fontId="7" fillId="0" borderId="0" xfId="0" applyNumberFormat="1" applyFont="1">
      <alignment vertical="center"/>
    </xf>
    <xf numFmtId="180" fontId="5" fillId="2" borderId="0" xfId="0" applyNumberFormat="1" applyFont="1" applyFill="1" applyAlignment="1">
      <alignment horizontal="left"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181" fontId="11" fillId="0" borderId="0" xfId="2" applyNumberFormat="1" applyFont="1">
      <alignment vertical="center"/>
    </xf>
    <xf numFmtId="182" fontId="4" fillId="0" borderId="0" xfId="2" applyNumberFormat="1" applyFont="1" applyFill="1" applyBorder="1" applyAlignment="1">
      <alignment horizontal="center" vertical="center"/>
    </xf>
    <xf numFmtId="182" fontId="11" fillId="0" borderId="0" xfId="2" applyNumberFormat="1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0" xfId="0" quotePrefix="1" applyFont="1">
      <alignment vertical="center"/>
    </xf>
    <xf numFmtId="49" fontId="12" fillId="0" borderId="0" xfId="0" quotePrefix="1" applyNumberFormat="1" applyFont="1" applyAlignment="1">
      <alignment vertical="center"/>
    </xf>
    <xf numFmtId="183" fontId="13" fillId="0" borderId="1" xfId="0" applyNumberFormat="1" applyFont="1" applyBorder="1" applyAlignment="1">
      <alignment horizontal="center" vertical="center" wrapText="1"/>
    </xf>
    <xf numFmtId="183" fontId="13" fillId="0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178" fontId="6" fillId="0" borderId="0" xfId="1" applyNumberFormat="1" applyFont="1">
      <alignment vertical="center"/>
    </xf>
    <xf numFmtId="14" fontId="7" fillId="0" borderId="0" xfId="0" applyNumberFormat="1" applyFont="1" applyAlignment="1">
      <alignment horizontal="center" vertical="center"/>
    </xf>
    <xf numFmtId="184" fontId="11" fillId="0" borderId="0" xfId="0" applyNumberFormat="1" applyFont="1">
      <alignment vertical="center"/>
    </xf>
    <xf numFmtId="0" fontId="4" fillId="6" borderId="0" xfId="0" applyFont="1" applyFill="1" applyBorder="1" applyAlignment="1">
      <alignment horizontal="center" vertical="center"/>
    </xf>
    <xf numFmtId="0" fontId="6" fillId="7" borderId="0" xfId="0" applyFont="1" applyFill="1">
      <alignment vertical="center"/>
    </xf>
    <xf numFmtId="179" fontId="10" fillId="5" borderId="0" xfId="1" applyNumberFormat="1" applyFont="1" applyFill="1">
      <alignment vertical="center"/>
    </xf>
    <xf numFmtId="0" fontId="5" fillId="3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/>
    </xf>
    <xf numFmtId="0" fontId="6" fillId="3" borderId="0" xfId="0" applyFont="1" applyFill="1">
      <alignment vertical="center"/>
    </xf>
    <xf numFmtId="0" fontId="8" fillId="8" borderId="0" xfId="0" applyFont="1" applyFill="1" applyBorder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14" fontId="6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6" borderId="0" xfId="0" quotePrefix="1" applyFont="1" applyFill="1">
      <alignment vertical="center"/>
    </xf>
    <xf numFmtId="14" fontId="11" fillId="6" borderId="0" xfId="0" applyNumberFormat="1" applyFont="1" applyFill="1">
      <alignment vertical="center"/>
    </xf>
    <xf numFmtId="14" fontId="5" fillId="6" borderId="0" xfId="0" applyNumberFormat="1" applyFont="1" applyFill="1">
      <alignment vertical="center"/>
    </xf>
  </cellXfs>
  <cellStyles count="3">
    <cellStyle name="一般" xfId="0" builtinId="0"/>
    <cellStyle name="千分位" xfId="2" builtinId="3"/>
    <cellStyle name="百分比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chien/Desktop/YieldCurve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es"/>
      <sheetName val="RateHelpers"/>
      <sheetName val="Bootstrapping"/>
    </sheetNames>
    <sheetDataSet>
      <sheetData sheetId="0">
        <row r="1">
          <cell r="B1" t="str">
            <v>obj_00015#0000</v>
          </cell>
        </row>
      </sheetData>
      <sheetData sheetId="1">
        <row r="12">
          <cell r="A12" t="e">
            <v>#NUM!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Z55"/>
  <sheetViews>
    <sheetView tabSelected="1" workbookViewId="0">
      <selection activeCell="D12" sqref="D12"/>
    </sheetView>
  </sheetViews>
  <sheetFormatPr defaultColWidth="9" defaultRowHeight="15" x14ac:dyDescent="0.25"/>
  <cols>
    <col min="1" max="1" width="20.375" style="3" customWidth="1"/>
    <col min="2" max="2" width="12.625" style="3" customWidth="1"/>
    <col min="3" max="3" width="10" style="3" customWidth="1"/>
    <col min="4" max="6" width="10.5" style="3" customWidth="1"/>
    <col min="7" max="7" width="16.375" style="3" customWidth="1"/>
    <col min="8" max="8" width="14" style="3" customWidth="1"/>
    <col min="9" max="9" width="5.75" style="3" customWidth="1"/>
    <col min="10" max="10" width="10.125" style="3" customWidth="1"/>
    <col min="11" max="11" width="17.25" style="3" customWidth="1"/>
    <col min="12" max="12" width="11.375" style="3" customWidth="1"/>
    <col min="13" max="13" width="10.375" style="3" customWidth="1"/>
    <col min="14" max="14" width="8.25" style="3" customWidth="1"/>
    <col min="15" max="15" width="5.875" style="3" customWidth="1"/>
    <col min="16" max="16" width="10.375" style="3" customWidth="1"/>
    <col min="17" max="17" width="10.625" style="3" customWidth="1"/>
    <col min="18" max="18" width="7.625" style="3" customWidth="1"/>
    <col min="19" max="19" width="4.375" style="3" customWidth="1"/>
    <col min="20" max="20" width="9.125" style="3" customWidth="1"/>
    <col min="21" max="26" width="7.25" style="3" customWidth="1"/>
    <col min="27" max="16384" width="9" style="3"/>
  </cols>
  <sheetData>
    <row r="1" spans="1:24" x14ac:dyDescent="0.25">
      <c r="A1" s="1" t="s">
        <v>0</v>
      </c>
      <c r="B1" s="16">
        <v>44565</v>
      </c>
      <c r="C1" s="52" t="s">
        <v>47</v>
      </c>
      <c r="D1" s="52" t="s">
        <v>43</v>
      </c>
      <c r="E1" s="52" t="s">
        <v>46</v>
      </c>
      <c r="F1" s="52" t="s">
        <v>48</v>
      </c>
    </row>
    <row r="2" spans="1:24" x14ac:dyDescent="0.25">
      <c r="A2" s="5" t="s">
        <v>1</v>
      </c>
      <c r="B2" s="3" t="b">
        <f>_xll.qlSettingsSetEvaluationDate(B1,B1)</f>
        <v>1</v>
      </c>
      <c r="C2" s="22">
        <f>D2-$B$1</f>
        <v>0</v>
      </c>
      <c r="D2" s="2">
        <f t="array" ref="D2:D8">_xll.qlPiecewiseYieldCurveDates(B25)</f>
        <v>44565</v>
      </c>
      <c r="E2" s="25">
        <f t="array" ref="E2:E8">_xll.qlYieldTSZeroRate(A43,D2:D8,A45,A46,A47,A48,A49)</f>
        <v>1.09998839759883E-3</v>
      </c>
      <c r="F2" s="26">
        <f t="array" ref="F2:F8">_xll.qlYieldTSDiscount(A43,D2:D8,TRUE,B5)</f>
        <v>1</v>
      </c>
      <c r="G2" s="4" t="s">
        <v>45</v>
      </c>
      <c r="H2" s="4" t="s">
        <v>13</v>
      </c>
      <c r="I2" s="4" t="s">
        <v>8</v>
      </c>
      <c r="J2" s="4" t="s">
        <v>11</v>
      </c>
      <c r="K2" s="4" t="s">
        <v>12</v>
      </c>
      <c r="L2" s="4" t="s">
        <v>4</v>
      </c>
      <c r="M2" s="4" t="s">
        <v>14</v>
      </c>
      <c r="N2" s="4" t="s">
        <v>5</v>
      </c>
      <c r="O2" s="4" t="s">
        <v>6</v>
      </c>
      <c r="P2" s="4" t="s">
        <v>7</v>
      </c>
      <c r="Q2" s="4" t="s">
        <v>12</v>
      </c>
      <c r="R2" s="8"/>
      <c r="S2" s="4"/>
      <c r="T2" s="4"/>
      <c r="U2" s="4"/>
      <c r="V2" s="4"/>
      <c r="W2" s="4"/>
      <c r="X2" s="4"/>
    </row>
    <row r="3" spans="1:24" x14ac:dyDescent="0.25">
      <c r="A3" s="1"/>
      <c r="B3" s="16"/>
      <c r="C3" s="22">
        <f t="shared" ref="C3:C8" si="0">D3-$B$1</f>
        <v>7</v>
      </c>
      <c r="D3" s="2">
        <v>44572</v>
      </c>
      <c r="E3" s="25">
        <v>1.0999883974136856E-3</v>
      </c>
      <c r="F3" s="45">
        <v>0.99997890455461635</v>
      </c>
      <c r="G3" s="44" t="str">
        <f>H12</f>
        <v>Dep1W#0000</v>
      </c>
      <c r="H3" s="47" t="str">
        <f>_xll.qlSimpleQuote(J3,K3,M3,N3,O3,P3)</f>
        <v>1W#0000</v>
      </c>
      <c r="I3" s="3" t="str">
        <f>_xll.ohRangeRetrieveError(H3)</f>
        <v/>
      </c>
      <c r="J3" s="3" t="str">
        <f>L3</f>
        <v>1W</v>
      </c>
      <c r="K3" s="23">
        <f>Q3/100</f>
        <v>1.1000000000000001E-3</v>
      </c>
      <c r="L3" s="6" t="s">
        <v>56</v>
      </c>
      <c r="M3" s="3">
        <v>0.01</v>
      </c>
      <c r="N3" s="11" t="b">
        <v>0</v>
      </c>
      <c r="O3" s="28"/>
      <c r="P3" s="7" t="b">
        <v>1</v>
      </c>
      <c r="Q3" s="24">
        <v>0.11</v>
      </c>
      <c r="R3" s="27"/>
      <c r="S3" s="2"/>
      <c r="T3" s="2"/>
      <c r="U3" s="6"/>
      <c r="X3" s="4"/>
    </row>
    <row r="4" spans="1:24" x14ac:dyDescent="0.25">
      <c r="A4" s="1" t="s">
        <v>53</v>
      </c>
      <c r="B4" s="16">
        <f>_xll.qlCalendarAdvance(B13,B1,"0D",V3,W3,_xll.ohTrigger(B2))</f>
        <v>44565</v>
      </c>
      <c r="C4" s="22">
        <f t="shared" si="0"/>
        <v>28</v>
      </c>
      <c r="D4" s="2">
        <v>44593</v>
      </c>
      <c r="E4" s="25">
        <v>3.3995566798226827E-3</v>
      </c>
      <c r="F4" s="45">
        <v>0.99973924609252607</v>
      </c>
      <c r="G4" s="44" t="str">
        <f t="shared" ref="G4:G6" si="1">H13</f>
        <v>Dep4W#0000</v>
      </c>
      <c r="H4" s="47" t="str">
        <f>_xll.qlSimpleQuote(J4,K4,M4,N4,O4,P4)</f>
        <v>4W#0000</v>
      </c>
      <c r="I4" s="3" t="str">
        <f>_xll.ohRangeRetrieveError(H4)</f>
        <v/>
      </c>
      <c r="J4" s="3" t="str">
        <f>L4</f>
        <v>4W</v>
      </c>
      <c r="K4" s="23">
        <f t="shared" ref="K4:K8" si="2">Q4/100</f>
        <v>3.4000000000000002E-3</v>
      </c>
      <c r="L4" s="6" t="s">
        <v>58</v>
      </c>
      <c r="M4" s="3">
        <f>$M$3</f>
        <v>0.01</v>
      </c>
      <c r="N4" s="11" t="b">
        <v>0</v>
      </c>
      <c r="O4" s="28"/>
      <c r="P4" s="7" t="b">
        <v>1</v>
      </c>
      <c r="Q4" s="24">
        <v>0.34</v>
      </c>
      <c r="R4" s="27"/>
      <c r="S4" s="2"/>
      <c r="T4" s="2"/>
      <c r="U4" s="6"/>
      <c r="X4" s="4"/>
    </row>
    <row r="5" spans="1:24" x14ac:dyDescent="0.25">
      <c r="A5" s="8" t="s">
        <v>6</v>
      </c>
      <c r="B5" s="3">
        <v>1</v>
      </c>
      <c r="C5" s="22">
        <f t="shared" si="0"/>
        <v>91</v>
      </c>
      <c r="D5" s="59">
        <v>44656</v>
      </c>
      <c r="E5" s="25">
        <v>3.9980068045674787E-3</v>
      </c>
      <c r="F5" s="45">
        <v>0.99900373326324909</v>
      </c>
      <c r="G5" s="44" t="str">
        <f t="shared" si="1"/>
        <v>Dep13W#0000</v>
      </c>
      <c r="H5" s="47" t="str">
        <f>_xll.qlSimpleQuote(J5,K5,M5,N5,O5,P5)</f>
        <v>13W#0000</v>
      </c>
      <c r="I5" s="3" t="str">
        <f>_xll.ohRangeRetrieveError(H5)</f>
        <v/>
      </c>
      <c r="J5" s="3" t="str">
        <f t="shared" ref="J5:J8" si="3">L5</f>
        <v>13W</v>
      </c>
      <c r="K5" s="23">
        <f t="shared" si="2"/>
        <v>4.0000000000000001E-3</v>
      </c>
      <c r="L5" s="6" t="s">
        <v>119</v>
      </c>
      <c r="M5" s="3">
        <f t="shared" ref="M5:M8" si="4">$M$3</f>
        <v>0.01</v>
      </c>
      <c r="N5" s="11" t="b">
        <v>0</v>
      </c>
      <c r="O5" s="28"/>
      <c r="P5" s="7" t="b">
        <v>1</v>
      </c>
      <c r="Q5" s="24">
        <v>0.4</v>
      </c>
      <c r="R5" s="27"/>
      <c r="S5" s="2"/>
      <c r="T5" s="2"/>
      <c r="U5" s="6"/>
      <c r="X5" s="4"/>
    </row>
    <row r="6" spans="1:24" x14ac:dyDescent="0.25">
      <c r="A6" s="8"/>
      <c r="C6" s="22">
        <f t="shared" si="0"/>
        <v>182</v>
      </c>
      <c r="D6" s="2">
        <v>44747</v>
      </c>
      <c r="E6" s="25">
        <v>5.1932701511160874E-3</v>
      </c>
      <c r="F6" s="45">
        <v>0.99741382891048036</v>
      </c>
      <c r="G6" s="44" t="str">
        <f t="shared" si="1"/>
        <v>Dep26W#0000</v>
      </c>
      <c r="H6" s="47" t="str">
        <f>_xll.qlSimpleQuote(J6,K6,M6,N6,O6,P6)</f>
        <v>26W#0000</v>
      </c>
      <c r="I6" s="3" t="str">
        <f>_xll.ohRangeRetrieveError(H6)</f>
        <v/>
      </c>
      <c r="J6" s="3" t="str">
        <f t="shared" si="3"/>
        <v>26W</v>
      </c>
      <c r="K6" s="23">
        <f t="shared" si="2"/>
        <v>5.1999999999999998E-3</v>
      </c>
      <c r="L6" s="6" t="s">
        <v>121</v>
      </c>
      <c r="M6" s="3">
        <f t="shared" si="4"/>
        <v>0.01</v>
      </c>
      <c r="N6" s="11" t="b">
        <v>0</v>
      </c>
      <c r="O6" s="28"/>
      <c r="P6" s="7" t="b">
        <v>1</v>
      </c>
      <c r="Q6" s="24">
        <v>0.52</v>
      </c>
      <c r="R6" s="27"/>
      <c r="S6" s="2"/>
      <c r="T6" s="2"/>
      <c r="U6" s="6"/>
      <c r="X6" s="4"/>
    </row>
    <row r="7" spans="1:24" x14ac:dyDescent="0.25">
      <c r="A7" s="3" t="s">
        <v>21</v>
      </c>
      <c r="B7" s="50" t="str">
        <f>_xll.qlIborIndex(B8,B9,B10,B11,B12,B13,B14,B15,B16,B17,B18,B19,B20)</f>
        <v>Taibor3M#0000</v>
      </c>
      <c r="C7" s="22">
        <f t="shared" si="0"/>
        <v>364</v>
      </c>
      <c r="D7" s="2">
        <v>44929</v>
      </c>
      <c r="E7" s="25">
        <v>3.9522012073058025E-3</v>
      </c>
      <c r="F7" s="45">
        <v>0.99606638375834355</v>
      </c>
      <c r="G7" s="44" t="str">
        <f>H16</f>
        <v>Dep52W#0000</v>
      </c>
      <c r="H7" s="47" t="str">
        <f>_xll.qlSimpleQuote(J7,K7,M7,N7,O7,P7)</f>
        <v>52W#0000</v>
      </c>
      <c r="I7" s="3" t="str">
        <f>_xll.ohRangeRetrieveError(H7)</f>
        <v/>
      </c>
      <c r="J7" s="3" t="str">
        <f t="shared" si="3"/>
        <v>52W</v>
      </c>
      <c r="K7" s="23">
        <f t="shared" si="2"/>
        <v>3.96E-3</v>
      </c>
      <c r="L7" s="6" t="s">
        <v>120</v>
      </c>
      <c r="M7" s="3">
        <f t="shared" si="4"/>
        <v>0.01</v>
      </c>
      <c r="N7" s="11" t="b">
        <v>0</v>
      </c>
      <c r="O7" s="28"/>
      <c r="P7" s="7" t="b">
        <v>1</v>
      </c>
      <c r="Q7" s="24">
        <v>0.39600000000000002</v>
      </c>
      <c r="R7" s="27"/>
      <c r="S7" s="2"/>
      <c r="T7" s="2"/>
      <c r="U7" s="6"/>
      <c r="X7" s="4"/>
    </row>
    <row r="8" spans="1:24" x14ac:dyDescent="0.25">
      <c r="A8" s="8" t="s">
        <v>2</v>
      </c>
      <c r="B8" s="9" t="s">
        <v>168</v>
      </c>
      <c r="C8" s="22">
        <f t="shared" si="0"/>
        <v>730</v>
      </c>
      <c r="D8" s="2">
        <v>45295</v>
      </c>
      <c r="E8" s="25">
        <v>4.8803415707862558E-3</v>
      </c>
      <c r="F8" s="26">
        <v>0.99028690625085558</v>
      </c>
      <c r="G8" s="44" t="str">
        <f>H21</f>
        <v>Swap2Y#0000</v>
      </c>
      <c r="H8" s="47" t="str">
        <f>_xll.qlSimpleQuote(J8,K8,M8,N8,O8,P8)</f>
        <v>2Y#0000</v>
      </c>
      <c r="I8" s="3" t="str">
        <f>_xll.ohRangeRetrieveError(H8)</f>
        <v/>
      </c>
      <c r="J8" s="3" t="str">
        <f t="shared" si="3"/>
        <v>2Y</v>
      </c>
      <c r="K8" s="23">
        <f t="shared" si="2"/>
        <v>4.8900000000000002E-3</v>
      </c>
      <c r="L8" s="6" t="s">
        <v>57</v>
      </c>
      <c r="M8" s="3">
        <f t="shared" si="4"/>
        <v>0.01</v>
      </c>
      <c r="N8" s="11" t="b">
        <v>0</v>
      </c>
      <c r="O8" s="28"/>
      <c r="P8" s="7" t="b">
        <v>1</v>
      </c>
      <c r="Q8" s="24">
        <v>0.48899999999999999</v>
      </c>
      <c r="R8" s="27"/>
      <c r="S8" s="2"/>
      <c r="T8" s="2"/>
      <c r="U8" s="6"/>
      <c r="X8" s="4"/>
    </row>
    <row r="9" spans="1:24" x14ac:dyDescent="0.25">
      <c r="A9" s="8" t="s">
        <v>22</v>
      </c>
      <c r="B9" s="9"/>
      <c r="C9" s="22"/>
      <c r="D9" s="2"/>
      <c r="E9" s="22"/>
      <c r="F9" s="2"/>
      <c r="G9" s="20"/>
      <c r="H9" s="17"/>
      <c r="K9" s="23"/>
      <c r="L9" s="6"/>
      <c r="N9" s="11"/>
      <c r="O9" s="28"/>
      <c r="P9" s="7"/>
      <c r="Q9" s="24"/>
      <c r="R9" s="27"/>
      <c r="S9" s="2"/>
      <c r="T9" s="2"/>
      <c r="U9" s="6"/>
      <c r="X9" s="4"/>
    </row>
    <row r="10" spans="1:24" x14ac:dyDescent="0.25">
      <c r="A10" s="8" t="s">
        <v>4</v>
      </c>
      <c r="B10" s="9" t="s">
        <v>26</v>
      </c>
      <c r="C10" s="22"/>
      <c r="D10" s="2"/>
      <c r="E10" s="22"/>
      <c r="F10" s="2"/>
      <c r="G10" s="20"/>
      <c r="H10" s="17"/>
      <c r="K10" s="23"/>
      <c r="L10" s="6"/>
      <c r="N10" s="11"/>
      <c r="O10" s="28"/>
      <c r="P10" s="7"/>
      <c r="Q10" s="24"/>
      <c r="R10" s="27"/>
      <c r="S10" s="2"/>
      <c r="T10" s="2"/>
      <c r="U10" s="6"/>
      <c r="X10" s="4"/>
    </row>
    <row r="11" spans="1:24" x14ac:dyDescent="0.25">
      <c r="A11" s="8" t="s">
        <v>18</v>
      </c>
      <c r="B11" s="9">
        <v>0</v>
      </c>
      <c r="C11" s="22"/>
      <c r="D11" s="2"/>
      <c r="E11" s="22"/>
      <c r="F11" s="2"/>
      <c r="H11" s="4" t="s">
        <v>15</v>
      </c>
      <c r="I11" s="4" t="s">
        <v>8</v>
      </c>
      <c r="J11" s="4" t="s">
        <v>2</v>
      </c>
      <c r="K11" s="4" t="s">
        <v>17</v>
      </c>
      <c r="L11" s="4" t="s">
        <v>4</v>
      </c>
      <c r="M11" s="4" t="s">
        <v>18</v>
      </c>
      <c r="N11" s="4" t="s">
        <v>9</v>
      </c>
      <c r="O11" s="4" t="s">
        <v>19</v>
      </c>
      <c r="P11" s="4" t="s">
        <v>20</v>
      </c>
      <c r="Q11" s="4" t="s">
        <v>10</v>
      </c>
      <c r="R11" s="4" t="s">
        <v>5</v>
      </c>
      <c r="S11" s="4" t="s">
        <v>6</v>
      </c>
      <c r="T11" s="4" t="s">
        <v>7</v>
      </c>
      <c r="U11" s="6"/>
      <c r="X11" s="4"/>
    </row>
    <row r="12" spans="1:24" x14ac:dyDescent="0.25">
      <c r="A12" s="8" t="s">
        <v>3</v>
      </c>
      <c r="B12" s="9" t="s">
        <v>49</v>
      </c>
      <c r="C12" s="22"/>
      <c r="D12" s="2"/>
      <c r="E12" s="22"/>
      <c r="F12" s="2"/>
      <c r="H12" s="20" t="str">
        <f>_xll.qlDepositRateHelper2(J12,K12,L12,M12,N12,O12,P12,Q12,R12,S12,T12)</f>
        <v>Dep1W#0000</v>
      </c>
      <c r="I12" s="4"/>
      <c r="J12" s="3" t="str">
        <f>"Dep"&amp;L12</f>
        <v>Dep1W</v>
      </c>
      <c r="K12" s="48" t="str">
        <f t="shared" ref="K12:K17" si="5">H3</f>
        <v>1W#0000</v>
      </c>
      <c r="L12" s="6" t="s">
        <v>176</v>
      </c>
      <c r="M12" s="4">
        <v>0</v>
      </c>
      <c r="N12" s="19" t="str">
        <f>$B$13</f>
        <v>Taiwan::TSEC</v>
      </c>
      <c r="O12" s="4" t="s">
        <v>16</v>
      </c>
      <c r="P12" s="4" t="b">
        <f>$B$15</f>
        <v>0</v>
      </c>
      <c r="Q12" s="3" t="str">
        <f t="shared" ref="Q12:Q17" si="6">$B$16</f>
        <v>A/365</v>
      </c>
      <c r="R12" s="11" t="b">
        <v>0</v>
      </c>
      <c r="S12" s="12"/>
      <c r="T12" s="7" t="b">
        <v>1</v>
      </c>
      <c r="U12" s="6"/>
      <c r="X12" s="4"/>
    </row>
    <row r="13" spans="1:24" x14ac:dyDescent="0.25">
      <c r="A13" s="8" t="s">
        <v>9</v>
      </c>
      <c r="B13" s="10" t="s">
        <v>50</v>
      </c>
      <c r="C13" s="22"/>
      <c r="D13" s="2"/>
      <c r="E13" s="22"/>
      <c r="F13" s="2"/>
      <c r="H13" s="20" t="str">
        <f>_xll.qlDepositRateHelper2(J13,K13,L13,M13,N13,O13,P13,Q13,R13,S13,T13)</f>
        <v>Dep4W#0000</v>
      </c>
      <c r="J13" s="3" t="str">
        <f t="shared" ref="J13:J17" si="7">"Dep"&amp;L13</f>
        <v>Dep4W</v>
      </c>
      <c r="K13" s="48" t="str">
        <f t="shared" si="5"/>
        <v>4W#0000</v>
      </c>
      <c r="L13" s="6" t="str">
        <f t="shared" ref="L13:L17" si="8">L4</f>
        <v>4W</v>
      </c>
      <c r="M13" s="4">
        <v>0</v>
      </c>
      <c r="N13" s="19" t="str">
        <f t="shared" ref="N13:N17" si="9">$B$13</f>
        <v>Taiwan::TSEC</v>
      </c>
      <c r="O13" s="4" t="s">
        <v>16</v>
      </c>
      <c r="P13" s="4" t="b">
        <f t="shared" ref="P13:P17" si="10">$B$15</f>
        <v>0</v>
      </c>
      <c r="Q13" s="3" t="str">
        <f t="shared" si="6"/>
        <v>A/365</v>
      </c>
      <c r="R13" s="11" t="b">
        <v>0</v>
      </c>
      <c r="S13" s="12"/>
      <c r="T13" s="7" t="b">
        <v>1</v>
      </c>
      <c r="U13" s="6"/>
      <c r="X13" s="4"/>
    </row>
    <row r="14" spans="1:24" x14ac:dyDescent="0.25">
      <c r="A14" s="8" t="s">
        <v>23</v>
      </c>
      <c r="B14" s="9" t="s">
        <v>27</v>
      </c>
      <c r="C14" s="22"/>
      <c r="D14" s="2"/>
      <c r="E14" s="22"/>
      <c r="F14" s="2"/>
      <c r="H14" s="20" t="str">
        <f>_xll.qlDepositRateHelper2(J14,K14,L14,M14,N14,O14,P14,Q14,R14,S14,T14)</f>
        <v>Dep13W#0000</v>
      </c>
      <c r="J14" s="3" t="str">
        <f t="shared" si="7"/>
        <v>Dep13W</v>
      </c>
      <c r="K14" s="48" t="str">
        <f t="shared" si="5"/>
        <v>13W#0000</v>
      </c>
      <c r="L14" s="6" t="str">
        <f t="shared" si="8"/>
        <v>13W</v>
      </c>
      <c r="M14" s="4">
        <v>0</v>
      </c>
      <c r="N14" s="19" t="str">
        <f t="shared" si="9"/>
        <v>Taiwan::TSEC</v>
      </c>
      <c r="O14" s="4" t="s">
        <v>16</v>
      </c>
      <c r="P14" s="4" t="b">
        <f t="shared" si="10"/>
        <v>0</v>
      </c>
      <c r="Q14" s="3" t="str">
        <f t="shared" si="6"/>
        <v>A/365</v>
      </c>
      <c r="R14" s="11" t="b">
        <v>0</v>
      </c>
      <c r="S14" s="12"/>
      <c r="T14" s="7" t="b">
        <v>1</v>
      </c>
      <c r="U14" s="6"/>
      <c r="X14" s="4"/>
    </row>
    <row r="15" spans="1:24" x14ac:dyDescent="0.25">
      <c r="A15" s="8" t="s">
        <v>24</v>
      </c>
      <c r="B15" s="9" t="b">
        <v>0</v>
      </c>
      <c r="C15" s="22"/>
      <c r="D15" s="2"/>
      <c r="E15" s="22"/>
      <c r="F15" s="2"/>
      <c r="H15" s="20" t="str">
        <f>_xll.qlDepositRateHelper2(J15,K15,L15,M15,N15,O15,P15,Q15,R15,S15,T15)</f>
        <v>Dep26W#0000</v>
      </c>
      <c r="J15" s="3" t="str">
        <f t="shared" si="7"/>
        <v>Dep26W</v>
      </c>
      <c r="K15" s="48" t="str">
        <f t="shared" si="5"/>
        <v>26W#0000</v>
      </c>
      <c r="L15" s="6" t="str">
        <f t="shared" si="8"/>
        <v>26W</v>
      </c>
      <c r="M15" s="4">
        <v>0</v>
      </c>
      <c r="N15" s="19" t="str">
        <f t="shared" si="9"/>
        <v>Taiwan::TSEC</v>
      </c>
      <c r="O15" s="4" t="s">
        <v>16</v>
      </c>
      <c r="P15" s="4" t="b">
        <f t="shared" si="10"/>
        <v>0</v>
      </c>
      <c r="Q15" s="3" t="str">
        <f t="shared" si="6"/>
        <v>A/365</v>
      </c>
      <c r="R15" s="11" t="b">
        <v>0</v>
      </c>
      <c r="S15" s="12"/>
      <c r="T15" s="7" t="b">
        <v>1</v>
      </c>
      <c r="U15" s="6"/>
      <c r="X15" s="4"/>
    </row>
    <row r="16" spans="1:24" x14ac:dyDescent="0.25">
      <c r="A16" s="8" t="s">
        <v>10</v>
      </c>
      <c r="B16" s="9" t="s">
        <v>167</v>
      </c>
      <c r="C16" s="22"/>
      <c r="D16" s="2"/>
      <c r="E16" s="22"/>
      <c r="F16" s="2"/>
      <c r="H16" s="20" t="str">
        <f>_xll.qlDepositRateHelper2(J16,K16,L16,M16,N16,O16,P16,Q16,R16,S16,T16)</f>
        <v>Dep52W#0000</v>
      </c>
      <c r="J16" s="3" t="str">
        <f t="shared" si="7"/>
        <v>Dep52W</v>
      </c>
      <c r="K16" s="48" t="str">
        <f t="shared" si="5"/>
        <v>52W#0000</v>
      </c>
      <c r="L16" s="6" t="str">
        <f t="shared" si="8"/>
        <v>52W</v>
      </c>
      <c r="M16" s="4">
        <v>0</v>
      </c>
      <c r="N16" s="19" t="str">
        <f t="shared" si="9"/>
        <v>Taiwan::TSEC</v>
      </c>
      <c r="O16" s="4" t="s">
        <v>16</v>
      </c>
      <c r="P16" s="4" t="b">
        <f t="shared" si="10"/>
        <v>0</v>
      </c>
      <c r="Q16" s="3" t="str">
        <f t="shared" si="6"/>
        <v>A/365</v>
      </c>
      <c r="R16" s="11" t="b">
        <v>0</v>
      </c>
      <c r="S16" s="12"/>
      <c r="T16" s="7" t="b">
        <v>1</v>
      </c>
      <c r="U16" s="6"/>
      <c r="X16" s="4"/>
    </row>
    <row r="17" spans="1:26" x14ac:dyDescent="0.25">
      <c r="A17" s="8" t="s">
        <v>25</v>
      </c>
      <c r="B17" s="9"/>
      <c r="C17" s="22"/>
      <c r="D17" s="20"/>
      <c r="E17" s="20"/>
      <c r="F17" s="20"/>
      <c r="H17" s="20" t="str">
        <f>_xll.qlDepositRateHelper2(J17,K17,L17,M17,N17,O17,P17,Q17,R17,S17,T17)</f>
        <v>Dep2Y#0000</v>
      </c>
      <c r="J17" s="3" t="str">
        <f t="shared" si="7"/>
        <v>Dep2Y</v>
      </c>
      <c r="K17" s="49" t="str">
        <f t="shared" si="5"/>
        <v>2Y#0000</v>
      </c>
      <c r="L17" s="6" t="str">
        <f t="shared" si="8"/>
        <v>2Y</v>
      </c>
      <c r="M17" s="4">
        <v>0</v>
      </c>
      <c r="N17" s="19" t="str">
        <f t="shared" si="9"/>
        <v>Taiwan::TSEC</v>
      </c>
      <c r="O17" s="4" t="s">
        <v>16</v>
      </c>
      <c r="P17" s="4" t="b">
        <f t="shared" si="10"/>
        <v>0</v>
      </c>
      <c r="Q17" s="3" t="str">
        <f t="shared" si="6"/>
        <v>A/365</v>
      </c>
      <c r="R17" s="11" t="b">
        <v>0</v>
      </c>
      <c r="S17" s="12"/>
      <c r="T17" s="7" t="b">
        <v>1</v>
      </c>
      <c r="U17" s="6"/>
      <c r="X17" s="4"/>
      <c r="Y17" s="6"/>
    </row>
    <row r="18" spans="1:26" x14ac:dyDescent="0.25">
      <c r="A18" s="8" t="s">
        <v>5</v>
      </c>
      <c r="B18" s="11" t="b">
        <v>0</v>
      </c>
      <c r="C18" s="22"/>
      <c r="D18" s="20"/>
      <c r="E18" s="20"/>
      <c r="F18" s="20"/>
      <c r="H18" s="14"/>
      <c r="K18" s="13"/>
      <c r="L18" s="6"/>
      <c r="M18" s="6"/>
      <c r="N18" s="19"/>
      <c r="O18" s="4"/>
      <c r="P18" s="4"/>
      <c r="Y18" s="6"/>
    </row>
    <row r="19" spans="1:26" x14ac:dyDescent="0.25">
      <c r="A19" s="8" t="s">
        <v>6</v>
      </c>
      <c r="B19" s="28">
        <f>_xll.ohTrigger($B$5)</f>
        <v>0</v>
      </c>
      <c r="C19" s="22"/>
      <c r="D19" s="20"/>
      <c r="E19" s="20"/>
      <c r="F19" s="20" t="str">
        <f>_xll.ohRangeRetrieveError(D7)</f>
        <v/>
      </c>
      <c r="J19" s="4"/>
      <c r="K19" s="13"/>
      <c r="L19" s="6"/>
      <c r="M19" s="4"/>
      <c r="N19" s="4"/>
      <c r="O19" s="4"/>
      <c r="P19" s="4"/>
      <c r="Y19" s="6"/>
    </row>
    <row r="20" spans="1:26" x14ac:dyDescent="0.25">
      <c r="A20" s="8" t="s">
        <v>7</v>
      </c>
      <c r="B20" s="11" t="b">
        <v>1</v>
      </c>
      <c r="C20" s="22"/>
      <c r="D20" s="20"/>
      <c r="E20" s="2"/>
      <c r="F20" s="2"/>
      <c r="G20" s="2"/>
      <c r="H20" s="4" t="s">
        <v>123</v>
      </c>
      <c r="I20" s="4"/>
      <c r="J20" s="4" t="s">
        <v>2</v>
      </c>
      <c r="K20" s="4" t="s">
        <v>17</v>
      </c>
      <c r="L20" s="4" t="s">
        <v>124</v>
      </c>
      <c r="M20" s="4" t="s">
        <v>4</v>
      </c>
      <c r="N20" s="4" t="s">
        <v>9</v>
      </c>
      <c r="O20" s="4" t="s">
        <v>125</v>
      </c>
      <c r="P20" s="4" t="s">
        <v>126</v>
      </c>
      <c r="Q20" s="4" t="s">
        <v>127</v>
      </c>
      <c r="R20" s="4" t="s">
        <v>128</v>
      </c>
      <c r="S20" s="4" t="s">
        <v>129</v>
      </c>
      <c r="T20" s="4" t="s">
        <v>130</v>
      </c>
      <c r="U20" s="43" t="s">
        <v>131</v>
      </c>
      <c r="V20" s="4" t="s">
        <v>132</v>
      </c>
      <c r="W20" s="4" t="s">
        <v>133</v>
      </c>
      <c r="X20" s="4" t="s">
        <v>5</v>
      </c>
      <c r="Y20" s="4" t="s">
        <v>6</v>
      </c>
      <c r="Z20" s="4" t="s">
        <v>7</v>
      </c>
    </row>
    <row r="21" spans="1:26" x14ac:dyDescent="0.25">
      <c r="C21" s="22"/>
      <c r="D21" s="20"/>
      <c r="E21" s="2"/>
      <c r="F21" s="2"/>
      <c r="G21" s="2"/>
      <c r="H21" s="20" t="str">
        <f>_xll.qlSwapRateHelper2(J21,K21,L21,M21,N21,O21,P21,Q21,R21,S21,T21,U21,V21,W21,X21,Y21,Z21)</f>
        <v>Swap2Y#0000</v>
      </c>
      <c r="J21" s="3" t="str">
        <f>"Swap"&amp;M21</f>
        <v>Swap2Y</v>
      </c>
      <c r="K21" s="47" t="str">
        <f>H8</f>
        <v>2Y#0000</v>
      </c>
      <c r="L21" s="6">
        <v>0</v>
      </c>
      <c r="M21" s="6" t="str">
        <f>L17</f>
        <v>2Y</v>
      </c>
      <c r="N21" s="2" t="str">
        <f>N17</f>
        <v>Taiwan::TSEC</v>
      </c>
      <c r="O21" s="3" t="s">
        <v>134</v>
      </c>
      <c r="P21" s="3" t="s">
        <v>80</v>
      </c>
      <c r="Q21" s="3" t="str">
        <f>$B$16</f>
        <v>A/365</v>
      </c>
      <c r="R21" s="50" t="str">
        <f>B7</f>
        <v>Taibor3M#0000</v>
      </c>
      <c r="S21" s="3">
        <v>0</v>
      </c>
      <c r="T21" s="3" t="s">
        <v>135</v>
      </c>
      <c r="X21" s="3" t="b">
        <v>0</v>
      </c>
      <c r="Y21" s="16"/>
      <c r="Z21" s="3" t="b">
        <v>1</v>
      </c>
    </row>
    <row r="22" spans="1:26" x14ac:dyDescent="0.25">
      <c r="C22" s="22"/>
      <c r="D22" s="20"/>
      <c r="E22" s="2"/>
      <c r="F22" s="2"/>
      <c r="G22" s="2"/>
      <c r="H22" s="14"/>
      <c r="K22" s="6"/>
      <c r="L22" s="6"/>
      <c r="M22" s="6"/>
      <c r="N22" s="2"/>
      <c r="Y22" s="6"/>
    </row>
    <row r="23" spans="1:26" x14ac:dyDescent="0.25">
      <c r="C23" s="22"/>
      <c r="D23" s="20"/>
      <c r="E23" s="2"/>
      <c r="F23" s="2"/>
      <c r="H23" s="14"/>
      <c r="K23" s="6"/>
      <c r="L23" s="6"/>
      <c r="M23" s="6"/>
      <c r="N23" s="2"/>
      <c r="Y23" s="6"/>
    </row>
    <row r="24" spans="1:26" x14ac:dyDescent="0.25">
      <c r="C24" s="13"/>
      <c r="D24" s="13"/>
      <c r="E24" s="2"/>
      <c r="F24" s="2"/>
      <c r="H24" s="14"/>
      <c r="K24" s="6"/>
      <c r="L24" s="6"/>
      <c r="M24" s="6"/>
      <c r="N24" s="2"/>
      <c r="Y24" s="6"/>
    </row>
    <row r="25" spans="1:26" x14ac:dyDescent="0.25">
      <c r="A25" s="8" t="s">
        <v>41</v>
      </c>
      <c r="B25" s="13" t="str">
        <f>_xll.qlPiecewiseYieldCurve(B26,B27,B28,$G$3:$G$8,B30,B31,B32,B33,B34,B35,B36,B37,B38)</f>
        <v>TWDZC#0000</v>
      </c>
      <c r="C25" s="8" t="s">
        <v>118</v>
      </c>
      <c r="D25" s="40" t="str">
        <f>_xll.qlDiscountCurve(D26,D2:D8,F2:F8,D29,D30,D31,D32)</f>
        <v>TWNCDDF#0000</v>
      </c>
      <c r="E25" s="2"/>
      <c r="F25" s="2"/>
      <c r="G25" s="18"/>
      <c r="H25" s="14"/>
      <c r="K25" s="6"/>
      <c r="L25" s="6"/>
      <c r="M25" s="6"/>
      <c r="N25" s="2"/>
      <c r="Y25" s="6"/>
    </row>
    <row r="26" spans="1:26" x14ac:dyDescent="0.25">
      <c r="A26" s="3" t="s">
        <v>28</v>
      </c>
      <c r="B26" s="3" t="s">
        <v>55</v>
      </c>
      <c r="C26" s="3" t="s">
        <v>2</v>
      </c>
      <c r="D26" s="22" t="s">
        <v>166</v>
      </c>
      <c r="E26" s="2"/>
      <c r="F26" s="2"/>
      <c r="G26" s="18"/>
      <c r="H26" s="14"/>
      <c r="K26" s="6"/>
      <c r="L26" s="6"/>
      <c r="M26" s="6"/>
      <c r="N26" s="2"/>
      <c r="Y26" s="6"/>
    </row>
    <row r="27" spans="1:26" x14ac:dyDescent="0.25">
      <c r="A27" s="3" t="s">
        <v>29</v>
      </c>
      <c r="B27" s="3">
        <v>0</v>
      </c>
      <c r="C27" s="3" t="s">
        <v>116</v>
      </c>
      <c r="E27" s="2"/>
      <c r="F27" s="2"/>
      <c r="G27" s="18"/>
      <c r="H27" s="14"/>
      <c r="K27" s="6"/>
      <c r="L27" s="6"/>
      <c r="M27" s="6"/>
      <c r="N27" s="2"/>
      <c r="Y27" s="6"/>
    </row>
    <row r="28" spans="1:26" x14ac:dyDescent="0.25">
      <c r="A28" s="3" t="s">
        <v>30</v>
      </c>
      <c r="B28" s="2" t="str">
        <f>B13</f>
        <v>Taiwan::TSEC</v>
      </c>
      <c r="C28" s="3" t="s">
        <v>117</v>
      </c>
      <c r="E28" s="2"/>
      <c r="F28" s="2"/>
      <c r="G28" s="18"/>
      <c r="H28" s="14"/>
      <c r="K28" s="6"/>
      <c r="L28" s="6"/>
      <c r="M28" s="6"/>
      <c r="N28" s="2"/>
      <c r="Y28" s="6"/>
    </row>
    <row r="29" spans="1:26" x14ac:dyDescent="0.25">
      <c r="A29" s="3" t="s">
        <v>31</v>
      </c>
      <c r="C29" s="3" t="s">
        <v>10</v>
      </c>
      <c r="D29" s="3" t="str">
        <f>$B$16</f>
        <v>A/365</v>
      </c>
      <c r="E29" s="2"/>
      <c r="F29" s="2"/>
      <c r="G29" s="18"/>
      <c r="H29" s="14"/>
      <c r="K29" s="6"/>
      <c r="L29" s="6"/>
      <c r="M29" s="6"/>
      <c r="N29" s="2"/>
      <c r="Y29" s="6"/>
    </row>
    <row r="30" spans="1:26" x14ac:dyDescent="0.25">
      <c r="A30" s="3" t="s">
        <v>32</v>
      </c>
      <c r="B30" s="3" t="str">
        <f>$B$16</f>
        <v>A/365</v>
      </c>
      <c r="C30" s="3" t="s">
        <v>5</v>
      </c>
      <c r="D30" s="11" t="b">
        <v>0</v>
      </c>
      <c r="E30" s="2"/>
      <c r="F30" s="2"/>
      <c r="G30" s="18"/>
      <c r="H30" s="14"/>
      <c r="K30" s="6"/>
      <c r="L30" s="6"/>
      <c r="M30" s="6"/>
      <c r="N30" s="2"/>
      <c r="Y30" s="6"/>
    </row>
    <row r="31" spans="1:26" x14ac:dyDescent="0.25">
      <c r="A31" s="3" t="s">
        <v>33</v>
      </c>
      <c r="C31" s="3" t="s">
        <v>6</v>
      </c>
      <c r="D31" s="28">
        <f>_xll.ohTrigger($B$5)</f>
        <v>0</v>
      </c>
      <c r="E31" s="2"/>
      <c r="F31" s="2"/>
      <c r="G31" s="18"/>
      <c r="H31" s="14"/>
      <c r="K31" s="6"/>
      <c r="L31" s="6"/>
      <c r="M31" s="6"/>
      <c r="N31" s="2"/>
      <c r="Y31" s="6"/>
    </row>
    <row r="32" spans="1:26" x14ac:dyDescent="0.25">
      <c r="A32" s="3" t="s">
        <v>34</v>
      </c>
      <c r="C32" s="3" t="s">
        <v>7</v>
      </c>
      <c r="D32" s="11" t="b">
        <v>1</v>
      </c>
      <c r="E32" s="2"/>
      <c r="F32" s="2"/>
      <c r="G32" s="18"/>
      <c r="H32" s="14"/>
      <c r="K32" s="6"/>
      <c r="L32" s="6"/>
      <c r="M32" s="6"/>
      <c r="N32" s="2"/>
      <c r="Y32" s="6"/>
    </row>
    <row r="33" spans="1:25" x14ac:dyDescent="0.25">
      <c r="A33" s="3" t="s">
        <v>35</v>
      </c>
      <c r="C33" s="21"/>
      <c r="D33" s="21"/>
      <c r="E33" s="2"/>
      <c r="F33" s="2"/>
      <c r="Y33" s="6"/>
    </row>
    <row r="34" spans="1:25" x14ac:dyDescent="0.25">
      <c r="A34" s="3" t="s">
        <v>36</v>
      </c>
      <c r="B34" s="21" t="s">
        <v>51</v>
      </c>
      <c r="C34" s="21"/>
      <c r="D34" s="21"/>
      <c r="E34" s="2"/>
      <c r="F34" s="2"/>
      <c r="Y34" s="6"/>
    </row>
    <row r="35" spans="1:25" x14ac:dyDescent="0.25">
      <c r="A35" s="3" t="s">
        <v>37</v>
      </c>
      <c r="B35" s="3" t="s">
        <v>44</v>
      </c>
      <c r="C35" s="21"/>
      <c r="D35" s="21"/>
      <c r="E35" s="21"/>
      <c r="F35" s="2"/>
      <c r="Y35" s="6"/>
    </row>
    <row r="36" spans="1:25" x14ac:dyDescent="0.25">
      <c r="A36" s="3" t="s">
        <v>38</v>
      </c>
      <c r="B36" s="11" t="b">
        <v>0</v>
      </c>
      <c r="C36" s="21"/>
      <c r="D36" s="21"/>
      <c r="E36" s="21"/>
      <c r="F36" s="21"/>
      <c r="Y36" s="6"/>
    </row>
    <row r="37" spans="1:25" x14ac:dyDescent="0.25">
      <c r="A37" s="3" t="s">
        <v>39</v>
      </c>
      <c r="B37" s="28">
        <f>_xll.ohTrigger($B$5)</f>
        <v>0</v>
      </c>
      <c r="C37" s="21"/>
      <c r="D37" s="21"/>
      <c r="E37" s="21"/>
      <c r="F37" s="21"/>
      <c r="Y37" s="6"/>
    </row>
    <row r="38" spans="1:25" x14ac:dyDescent="0.25">
      <c r="A38" s="3" t="s">
        <v>40</v>
      </c>
      <c r="B38" s="11" t="b">
        <v>1</v>
      </c>
      <c r="E38" s="21"/>
      <c r="F38" s="21"/>
      <c r="Y38" s="6"/>
    </row>
    <row r="39" spans="1:25" x14ac:dyDescent="0.25">
      <c r="C39" s="21"/>
      <c r="E39" s="21"/>
      <c r="F39" s="21"/>
      <c r="Y39" s="6"/>
    </row>
    <row r="40" spans="1:25" x14ac:dyDescent="0.25">
      <c r="C40" s="21"/>
      <c r="E40" s="21"/>
      <c r="F40" s="21"/>
      <c r="Y40" s="6"/>
    </row>
    <row r="41" spans="1:25" x14ac:dyDescent="0.25">
      <c r="C41" s="21"/>
      <c r="E41" s="21"/>
      <c r="F41" s="21"/>
    </row>
    <row r="42" spans="1:25" x14ac:dyDescent="0.25">
      <c r="A42" s="8" t="s">
        <v>42</v>
      </c>
      <c r="C42" s="2"/>
      <c r="E42" s="21"/>
      <c r="F42" s="21"/>
    </row>
    <row r="43" spans="1:25" x14ac:dyDescent="0.25">
      <c r="A43" s="51" t="str">
        <f>B25</f>
        <v>TWDZC#0000</v>
      </c>
      <c r="C43" s="2" t="s">
        <v>54</v>
      </c>
      <c r="E43" s="21"/>
      <c r="F43" s="21"/>
    </row>
    <row r="44" spans="1:25" x14ac:dyDescent="0.25">
      <c r="A44" s="15"/>
      <c r="B44" s="2">
        <f>D2</f>
        <v>44565</v>
      </c>
      <c r="C44" s="2"/>
      <c r="E44" s="21"/>
      <c r="F44" s="21"/>
    </row>
    <row r="45" spans="1:25" x14ac:dyDescent="0.25">
      <c r="A45" s="6" t="str">
        <f>$B$16</f>
        <v>A/365</v>
      </c>
      <c r="C45" s="2"/>
      <c r="E45" s="21"/>
      <c r="F45" s="21"/>
    </row>
    <row r="46" spans="1:25" x14ac:dyDescent="0.25">
      <c r="A46" s="46" t="s">
        <v>122</v>
      </c>
      <c r="C46" s="2"/>
      <c r="E46" s="21"/>
      <c r="F46" s="21"/>
    </row>
    <row r="47" spans="1:25" x14ac:dyDescent="0.25">
      <c r="A47" s="46" t="s">
        <v>52</v>
      </c>
      <c r="C47" s="2"/>
      <c r="E47" s="21"/>
      <c r="F47" s="21"/>
    </row>
    <row r="48" spans="1:25" x14ac:dyDescent="0.25">
      <c r="A48" s="46" t="b">
        <v>1</v>
      </c>
      <c r="C48" s="2"/>
      <c r="E48" s="21"/>
      <c r="F48" s="21"/>
    </row>
    <row r="49" spans="1:6" x14ac:dyDescent="0.25">
      <c r="A49" s="28">
        <f>_xll.ohTrigger($B$5)</f>
        <v>0</v>
      </c>
      <c r="C49" s="2"/>
      <c r="E49" s="21"/>
      <c r="F49" s="21"/>
    </row>
    <row r="50" spans="1:6" x14ac:dyDescent="0.25">
      <c r="C50" s="2"/>
      <c r="E50" s="21"/>
      <c r="F50" s="21"/>
    </row>
    <row r="51" spans="1:6" x14ac:dyDescent="0.25">
      <c r="C51" s="2"/>
      <c r="E51" s="21"/>
      <c r="F51" s="21"/>
    </row>
    <row r="52" spans="1:6" x14ac:dyDescent="0.25">
      <c r="C52" s="2"/>
      <c r="E52" s="21"/>
      <c r="F52" s="21"/>
    </row>
    <row r="53" spans="1:6" x14ac:dyDescent="0.25">
      <c r="C53" s="2"/>
      <c r="E53" s="21"/>
      <c r="F53" s="21"/>
    </row>
    <row r="54" spans="1:6" x14ac:dyDescent="0.25">
      <c r="C54" s="2"/>
      <c r="E54" s="21"/>
      <c r="F54" s="21"/>
    </row>
    <row r="55" spans="1:6" x14ac:dyDescent="0.25">
      <c r="C55" s="2"/>
      <c r="E55" s="21"/>
      <c r="F55" s="2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22"/>
  <sheetViews>
    <sheetView workbookViewId="0">
      <selection activeCell="B2" sqref="B2:B20"/>
    </sheetView>
  </sheetViews>
  <sheetFormatPr defaultRowHeight="15.75" x14ac:dyDescent="0.25"/>
  <cols>
    <col min="1" max="1" width="15.5" style="29" customWidth="1"/>
    <col min="2" max="2" width="17.25" style="29" customWidth="1"/>
    <col min="3" max="3" width="18.25" style="29" customWidth="1"/>
    <col min="4" max="4" width="14.5" style="29" customWidth="1"/>
    <col min="5" max="5" width="11.625" style="29" customWidth="1"/>
    <col min="6" max="6" width="12.25" style="29" customWidth="1"/>
    <col min="7" max="13" width="9" style="29"/>
    <col min="14" max="14" width="9" style="33"/>
    <col min="15" max="16384" width="9" style="29"/>
  </cols>
  <sheetData>
    <row r="1" spans="1:18" x14ac:dyDescent="0.25">
      <c r="B1" s="34" t="s">
        <v>2</v>
      </c>
      <c r="C1" s="34" t="s">
        <v>59</v>
      </c>
      <c r="D1" s="34" t="s">
        <v>60</v>
      </c>
      <c r="E1" s="34" t="s">
        <v>4</v>
      </c>
      <c r="F1" s="34" t="s">
        <v>9</v>
      </c>
      <c r="G1" s="34" t="s">
        <v>19</v>
      </c>
      <c r="H1" s="34" t="s">
        <v>61</v>
      </c>
      <c r="I1" s="34" t="s">
        <v>62</v>
      </c>
      <c r="J1" s="34" t="s">
        <v>20</v>
      </c>
      <c r="K1" s="34" t="s">
        <v>63</v>
      </c>
      <c r="L1" s="34" t="s">
        <v>64</v>
      </c>
      <c r="M1" s="34" t="s">
        <v>5</v>
      </c>
      <c r="N1" s="32" t="s">
        <v>6</v>
      </c>
      <c r="O1" s="34" t="s">
        <v>7</v>
      </c>
    </row>
    <row r="2" spans="1:18" x14ac:dyDescent="0.25">
      <c r="A2" s="39" t="str">
        <f>_xll.qlSchedule(B2,C2,D2,E2,F2,G2,H2,I2,J2,K2,L2,M2,N2,O2)</f>
        <v>1100104364AUN#0004</v>
      </c>
      <c r="B2" s="35" t="s">
        <v>82</v>
      </c>
      <c r="C2" s="30">
        <v>44200</v>
      </c>
      <c r="D2" s="30">
        <v>44564</v>
      </c>
      <c r="E2" s="29" t="str">
        <f>IF((D2-C2)&gt;365,"2Y",(D2-C2) &amp; "D")</f>
        <v>364D</v>
      </c>
      <c r="F2" s="29" t="s">
        <v>50</v>
      </c>
      <c r="G2" s="29" t="s">
        <v>79</v>
      </c>
      <c r="H2" s="29" t="s">
        <v>80</v>
      </c>
      <c r="I2" s="29" t="s">
        <v>81</v>
      </c>
      <c r="J2" s="29" t="b">
        <v>0</v>
      </c>
      <c r="M2" s="29" t="b">
        <v>0</v>
      </c>
      <c r="O2" s="29" t="b">
        <v>1</v>
      </c>
      <c r="Q2" s="29" t="str">
        <f>LEFT(B2,7)</f>
        <v>1100104</v>
      </c>
      <c r="R2" s="30" t="str">
        <f>IF(LEFT(Q2,3)="110","2021/","2020/") &amp; MID(Q2,4,2) &amp;"/" &amp; RIGHT(Q2,2)</f>
        <v>2021/01/04</v>
      </c>
    </row>
    <row r="3" spans="1:18" x14ac:dyDescent="0.25">
      <c r="A3" s="39" t="str">
        <f>_xll.qlSchedule(B3,C3,D3,E3,F3,G3,H3,I3,J3,K3,L3,M3,N3,O3)</f>
        <v>1100804364AHN#0004</v>
      </c>
      <c r="B3" s="29" t="s">
        <v>83</v>
      </c>
      <c r="C3" s="30">
        <v>44412</v>
      </c>
      <c r="D3" s="30">
        <v>44776</v>
      </c>
      <c r="E3" s="29" t="str">
        <f t="shared" ref="E3:E58" si="0">IF((D3-C3)&gt;365,"2Y",(D3-C3) &amp; "D")</f>
        <v>364D</v>
      </c>
      <c r="F3" s="29" t="s">
        <v>50</v>
      </c>
      <c r="G3" s="29" t="s">
        <v>79</v>
      </c>
      <c r="H3" s="29" t="s">
        <v>80</v>
      </c>
      <c r="I3" s="29" t="s">
        <v>81</v>
      </c>
      <c r="J3" s="29" t="b">
        <v>0</v>
      </c>
      <c r="M3" s="29" t="b">
        <v>0</v>
      </c>
      <c r="O3" s="29" t="b">
        <v>1</v>
      </c>
      <c r="Q3" s="29" t="str">
        <f t="shared" ref="Q3:Q58" si="1">LEFT(B3,7)</f>
        <v>1100804</v>
      </c>
      <c r="R3" s="30" t="str">
        <f t="shared" ref="R3:R58" si="2">IF(LEFT(Q3,3)="110","2021/","2020/") &amp; MID(Q3,4,2) &amp;"/" &amp; RIGHT(Q3,2)</f>
        <v>2021/08/04</v>
      </c>
    </row>
    <row r="4" spans="1:18" x14ac:dyDescent="0.25">
      <c r="A4" s="39" t="str">
        <f>_xll.qlSchedule(B4,C4,D4,E4,F4,G4,H4,I4,J4,K4,L4,M4,N4,O4)</f>
        <v>1100804364AMN#0004</v>
      </c>
      <c r="B4" s="29" t="s">
        <v>84</v>
      </c>
      <c r="C4" s="30">
        <v>44412</v>
      </c>
      <c r="D4" s="30">
        <v>44776</v>
      </c>
      <c r="E4" s="29" t="str">
        <f t="shared" si="0"/>
        <v>364D</v>
      </c>
      <c r="F4" s="29" t="s">
        <v>50</v>
      </c>
      <c r="G4" s="29" t="s">
        <v>79</v>
      </c>
      <c r="H4" s="29" t="s">
        <v>80</v>
      </c>
      <c r="I4" s="29" t="s">
        <v>81</v>
      </c>
      <c r="J4" s="29" t="b">
        <v>0</v>
      </c>
      <c r="M4" s="29" t="b">
        <v>0</v>
      </c>
      <c r="O4" s="29" t="b">
        <v>1</v>
      </c>
      <c r="Q4" s="29" t="str">
        <f t="shared" si="1"/>
        <v>1100804</v>
      </c>
      <c r="R4" s="30" t="str">
        <f t="shared" si="2"/>
        <v>2021/08/04</v>
      </c>
    </row>
    <row r="5" spans="1:18" x14ac:dyDescent="0.25">
      <c r="A5" s="39" t="str">
        <f>_xll.qlSchedule(B5,C5,D5,E5,F5,G5,H5,I5,J5,K5,L5,M5,N5,O5)</f>
        <v>1100906364ABN#0004</v>
      </c>
      <c r="B5" s="29" t="s">
        <v>85</v>
      </c>
      <c r="C5" s="30">
        <v>44445</v>
      </c>
      <c r="D5" s="30">
        <v>44809</v>
      </c>
      <c r="E5" s="29" t="str">
        <f t="shared" si="0"/>
        <v>364D</v>
      </c>
      <c r="F5" s="29" t="s">
        <v>50</v>
      </c>
      <c r="G5" s="29" t="s">
        <v>79</v>
      </c>
      <c r="H5" s="29" t="s">
        <v>80</v>
      </c>
      <c r="I5" s="29" t="s">
        <v>81</v>
      </c>
      <c r="J5" s="29" t="b">
        <v>0</v>
      </c>
      <c r="M5" s="29" t="b">
        <v>0</v>
      </c>
      <c r="O5" s="29" t="b">
        <v>1</v>
      </c>
      <c r="Q5" s="29" t="str">
        <f t="shared" si="1"/>
        <v>1100906</v>
      </c>
      <c r="R5" s="30" t="str">
        <f t="shared" si="2"/>
        <v>2021/09/06</v>
      </c>
    </row>
    <row r="6" spans="1:18" x14ac:dyDescent="0.25">
      <c r="A6" s="39" t="str">
        <f>_xll.qlSchedule(B6,C6,D6,E6,F6,G6,H6,I6,J6,K6,L6,M6,N6,O6)</f>
        <v>1100906364AFN#0004</v>
      </c>
      <c r="B6" s="29" t="s">
        <v>86</v>
      </c>
      <c r="C6" s="30">
        <v>44445</v>
      </c>
      <c r="D6" s="30">
        <v>44809</v>
      </c>
      <c r="E6" s="29" t="str">
        <f t="shared" si="0"/>
        <v>364D</v>
      </c>
      <c r="F6" s="29" t="s">
        <v>50</v>
      </c>
      <c r="G6" s="29" t="s">
        <v>79</v>
      </c>
      <c r="H6" s="29" t="s">
        <v>80</v>
      </c>
      <c r="I6" s="29" t="s">
        <v>81</v>
      </c>
      <c r="J6" s="29" t="b">
        <v>0</v>
      </c>
      <c r="M6" s="29" t="b">
        <v>0</v>
      </c>
      <c r="O6" s="29" t="b">
        <v>1</v>
      </c>
      <c r="Q6" s="29" t="str">
        <f t="shared" si="1"/>
        <v>1100906</v>
      </c>
      <c r="R6" s="30" t="str">
        <f t="shared" si="2"/>
        <v>2021/09/06</v>
      </c>
    </row>
    <row r="7" spans="1:18" x14ac:dyDescent="0.25">
      <c r="A7" s="39" t="str">
        <f>_xll.qlSchedule(B7,C7,D7,E7,F7,G7,H7,I7,J7,K7,L7,M7,N7,O7)</f>
        <v>1100906364AIN#0004</v>
      </c>
      <c r="B7" s="29" t="s">
        <v>87</v>
      </c>
      <c r="C7" s="30">
        <v>44445</v>
      </c>
      <c r="D7" s="30">
        <v>44809</v>
      </c>
      <c r="E7" s="29" t="str">
        <f t="shared" si="0"/>
        <v>364D</v>
      </c>
      <c r="F7" s="29" t="s">
        <v>50</v>
      </c>
      <c r="G7" s="29" t="s">
        <v>79</v>
      </c>
      <c r="H7" s="29" t="s">
        <v>80</v>
      </c>
      <c r="I7" s="29" t="s">
        <v>81</v>
      </c>
      <c r="J7" s="29" t="b">
        <v>0</v>
      </c>
      <c r="M7" s="29" t="b">
        <v>0</v>
      </c>
      <c r="O7" s="29" t="b">
        <v>1</v>
      </c>
      <c r="Q7" s="29" t="str">
        <f t="shared" si="1"/>
        <v>1100906</v>
      </c>
      <c r="R7" s="30" t="str">
        <f t="shared" si="2"/>
        <v>2021/09/06</v>
      </c>
    </row>
    <row r="8" spans="1:18" x14ac:dyDescent="0.25">
      <c r="A8" s="39" t="str">
        <f>_xll.qlSchedule(B8,C8,D8,E8,F8,G8,H8,I8,J8,K8,L8,M8,N8,O8)</f>
        <v>1101004364AMN#0004</v>
      </c>
      <c r="B8" s="29" t="s">
        <v>88</v>
      </c>
      <c r="C8" s="30">
        <v>44473</v>
      </c>
      <c r="D8" s="30">
        <v>44837</v>
      </c>
      <c r="E8" s="29" t="str">
        <f t="shared" si="0"/>
        <v>364D</v>
      </c>
      <c r="F8" s="29" t="s">
        <v>50</v>
      </c>
      <c r="G8" s="29" t="s">
        <v>79</v>
      </c>
      <c r="H8" s="29" t="s">
        <v>80</v>
      </c>
      <c r="I8" s="29" t="s">
        <v>81</v>
      </c>
      <c r="J8" s="29" t="b">
        <v>0</v>
      </c>
      <c r="M8" s="29" t="b">
        <v>0</v>
      </c>
      <c r="O8" s="29" t="b">
        <v>1</v>
      </c>
      <c r="Q8" s="29" t="str">
        <f t="shared" si="1"/>
        <v>1101004</v>
      </c>
      <c r="R8" s="30" t="str">
        <f t="shared" si="2"/>
        <v>2021/10/04</v>
      </c>
    </row>
    <row r="9" spans="1:18" x14ac:dyDescent="0.25">
      <c r="A9" s="39" t="str">
        <f>_xll.qlSchedule(B9,C9,D9,E9,F9,G9,H9,I9,J9,K9,L9,M9,N9,O9)</f>
        <v>1101104364ARN#0004</v>
      </c>
      <c r="B9" s="29" t="s">
        <v>89</v>
      </c>
      <c r="C9" s="30">
        <v>44504</v>
      </c>
      <c r="D9" s="30">
        <v>44868</v>
      </c>
      <c r="E9" s="29" t="str">
        <f t="shared" si="0"/>
        <v>364D</v>
      </c>
      <c r="F9" s="29" t="s">
        <v>50</v>
      </c>
      <c r="G9" s="29" t="s">
        <v>79</v>
      </c>
      <c r="H9" s="29" t="s">
        <v>80</v>
      </c>
      <c r="I9" s="29" t="s">
        <v>81</v>
      </c>
      <c r="J9" s="29" t="b">
        <v>0</v>
      </c>
      <c r="M9" s="29" t="b">
        <v>0</v>
      </c>
      <c r="O9" s="29" t="b">
        <v>1</v>
      </c>
      <c r="Q9" s="29" t="str">
        <f t="shared" si="1"/>
        <v>1101104</v>
      </c>
      <c r="R9" s="30" t="str">
        <f t="shared" si="2"/>
        <v>2021/11/04</v>
      </c>
    </row>
    <row r="10" spans="1:18" x14ac:dyDescent="0.25">
      <c r="A10" s="39" t="str">
        <f>_xll.qlSchedule(B10,C10,D10,E10,F10,G10,H10,I10,J10,K10,L10,M10,N10,O10)</f>
        <v>1101104364AWN#0004</v>
      </c>
      <c r="B10" s="29" t="s">
        <v>90</v>
      </c>
      <c r="C10" s="30">
        <v>44504</v>
      </c>
      <c r="D10" s="30">
        <v>44868</v>
      </c>
      <c r="E10" s="29" t="str">
        <f t="shared" si="0"/>
        <v>364D</v>
      </c>
      <c r="F10" s="29" t="s">
        <v>50</v>
      </c>
      <c r="G10" s="29" t="s">
        <v>79</v>
      </c>
      <c r="H10" s="29" t="s">
        <v>80</v>
      </c>
      <c r="I10" s="29" t="s">
        <v>81</v>
      </c>
      <c r="J10" s="29" t="b">
        <v>0</v>
      </c>
      <c r="M10" s="29" t="b">
        <v>0</v>
      </c>
      <c r="O10" s="29" t="b">
        <v>1</v>
      </c>
      <c r="Q10" s="29" t="str">
        <f t="shared" si="1"/>
        <v>1101104</v>
      </c>
      <c r="R10" s="30" t="str">
        <f t="shared" si="2"/>
        <v>2021/11/04</v>
      </c>
    </row>
    <row r="11" spans="1:18" x14ac:dyDescent="0.25">
      <c r="A11" s="39" t="str">
        <f>_xll.qlSchedule(B11,C11,D11,E11,F11,G11,H11,I11,J11,K11,L11,M11,N11,O11)</f>
        <v>110120202811N#0004</v>
      </c>
      <c r="B11" s="29" t="s">
        <v>96</v>
      </c>
      <c r="C11" s="30">
        <v>44532</v>
      </c>
      <c r="D11" s="30">
        <v>44560</v>
      </c>
      <c r="E11" s="29" t="str">
        <f t="shared" si="0"/>
        <v>28D</v>
      </c>
      <c r="F11" s="29" t="s">
        <v>50</v>
      </c>
      <c r="G11" s="29" t="s">
        <v>79</v>
      </c>
      <c r="H11" s="29" t="s">
        <v>80</v>
      </c>
      <c r="I11" s="29" t="s">
        <v>81</v>
      </c>
      <c r="J11" s="29" t="b">
        <v>0</v>
      </c>
      <c r="M11" s="29" t="b">
        <v>0</v>
      </c>
      <c r="O11" s="29" t="b">
        <v>1</v>
      </c>
      <c r="Q11" s="29" t="str">
        <f t="shared" si="1"/>
        <v>1101202</v>
      </c>
      <c r="R11" s="30" t="str">
        <f t="shared" si="2"/>
        <v>2021/12/02</v>
      </c>
    </row>
    <row r="12" spans="1:18" x14ac:dyDescent="0.25">
      <c r="A12" s="39" t="str">
        <f>_xll.qlSchedule(B12,C12,D12,E12,F12,G12,H12,I12,J12,K12,L12,M12,N12,O12)</f>
        <v>1101206364AJN#0004</v>
      </c>
      <c r="B12" s="29" t="s">
        <v>97</v>
      </c>
      <c r="C12" s="30">
        <v>44536</v>
      </c>
      <c r="D12" s="30">
        <v>44900</v>
      </c>
      <c r="E12" s="29" t="str">
        <f t="shared" si="0"/>
        <v>364D</v>
      </c>
      <c r="F12" s="29" t="s">
        <v>50</v>
      </c>
      <c r="G12" s="29" t="s">
        <v>79</v>
      </c>
      <c r="H12" s="29" t="s">
        <v>80</v>
      </c>
      <c r="I12" s="29" t="s">
        <v>81</v>
      </c>
      <c r="J12" s="29" t="b">
        <v>0</v>
      </c>
      <c r="M12" s="29" t="b">
        <v>0</v>
      </c>
      <c r="O12" s="29" t="b">
        <v>1</v>
      </c>
      <c r="Q12" s="29" t="str">
        <f t="shared" si="1"/>
        <v>1101206</v>
      </c>
      <c r="R12" s="30" t="str">
        <f t="shared" si="2"/>
        <v>2021/12/06</v>
      </c>
    </row>
    <row r="13" spans="1:18" x14ac:dyDescent="0.25">
      <c r="A13" s="39" t="str">
        <f>_xll.qlSchedule(B13,C13,D13,E13,F13,G13,H13,I13,J13,K13,L13,M13,N13,O13)</f>
        <v>1101206364ALN#0004</v>
      </c>
      <c r="B13" s="29" t="s">
        <v>98</v>
      </c>
      <c r="C13" s="30">
        <v>44536</v>
      </c>
      <c r="D13" s="30">
        <v>44900</v>
      </c>
      <c r="E13" s="29" t="str">
        <f t="shared" si="0"/>
        <v>364D</v>
      </c>
      <c r="F13" s="29" t="s">
        <v>50</v>
      </c>
      <c r="G13" s="29" t="s">
        <v>79</v>
      </c>
      <c r="H13" s="29" t="s">
        <v>80</v>
      </c>
      <c r="I13" s="29" t="s">
        <v>81</v>
      </c>
      <c r="J13" s="29" t="b">
        <v>0</v>
      </c>
      <c r="M13" s="29" t="b">
        <v>0</v>
      </c>
      <c r="O13" s="29" t="b">
        <v>1</v>
      </c>
      <c r="Q13" s="29" t="str">
        <f t="shared" si="1"/>
        <v>1101206</v>
      </c>
      <c r="R13" s="30" t="str">
        <f t="shared" si="2"/>
        <v>2021/12/06</v>
      </c>
    </row>
    <row r="14" spans="1:18" x14ac:dyDescent="0.25">
      <c r="A14" s="39" t="str">
        <f>_xll.qlSchedule(B14,C14,D14,E14,F14,G14,H14,I14,J14,K14,L14,M14,N14,O14)</f>
        <v>1101206364AQN#0004</v>
      </c>
      <c r="B14" s="29" t="s">
        <v>99</v>
      </c>
      <c r="C14" s="30">
        <v>44536</v>
      </c>
      <c r="D14" s="30">
        <v>44900</v>
      </c>
      <c r="E14" s="29" t="str">
        <f t="shared" si="0"/>
        <v>364D</v>
      </c>
      <c r="F14" s="29" t="s">
        <v>50</v>
      </c>
      <c r="G14" s="29" t="s">
        <v>79</v>
      </c>
      <c r="H14" s="29" t="s">
        <v>80</v>
      </c>
      <c r="I14" s="29" t="s">
        <v>81</v>
      </c>
      <c r="J14" s="29" t="b">
        <v>0</v>
      </c>
      <c r="M14" s="29" t="b">
        <v>0</v>
      </c>
      <c r="O14" s="29" t="b">
        <v>1</v>
      </c>
      <c r="Q14" s="29" t="str">
        <f t="shared" si="1"/>
        <v>1101206</v>
      </c>
      <c r="R14" s="30" t="str">
        <f t="shared" si="2"/>
        <v>2021/12/06</v>
      </c>
    </row>
    <row r="15" spans="1:18" x14ac:dyDescent="0.25">
      <c r="A15" s="39" t="str">
        <f>_xll.qlSchedule(B15,C15,D15,E15,F15,G15,H15,I15,J15,K15,L15,M15,N15,O15)</f>
        <v>1101206364AVN#0004</v>
      </c>
      <c r="B15" s="29" t="s">
        <v>100</v>
      </c>
      <c r="C15" s="30">
        <v>44536</v>
      </c>
      <c r="D15" s="30">
        <v>44900</v>
      </c>
      <c r="E15" s="29" t="str">
        <f t="shared" si="0"/>
        <v>364D</v>
      </c>
      <c r="F15" s="29" t="s">
        <v>50</v>
      </c>
      <c r="G15" s="29" t="s">
        <v>79</v>
      </c>
      <c r="H15" s="29" t="s">
        <v>80</v>
      </c>
      <c r="I15" s="29" t="s">
        <v>81</v>
      </c>
      <c r="J15" s="29" t="b">
        <v>0</v>
      </c>
      <c r="M15" s="29" t="b">
        <v>0</v>
      </c>
      <c r="O15" s="29" t="b">
        <v>1</v>
      </c>
      <c r="Q15" s="29" t="str">
        <f t="shared" si="1"/>
        <v>1101206</v>
      </c>
      <c r="R15" s="30" t="str">
        <f t="shared" si="2"/>
        <v>2021/12/06</v>
      </c>
    </row>
    <row r="16" spans="1:18" x14ac:dyDescent="0.25">
      <c r="A16" s="39" t="str">
        <f>_xll.qlSchedule(B16,C16,D16,E16,F16,G16,H16,I16,J16,K16,L16,M16,N16,O16)</f>
        <v>110120802811N#0004</v>
      </c>
      <c r="B16" s="29" t="s">
        <v>101</v>
      </c>
      <c r="C16" s="30">
        <v>44538</v>
      </c>
      <c r="D16" s="30">
        <v>44566</v>
      </c>
      <c r="E16" s="29" t="str">
        <f t="shared" si="0"/>
        <v>28D</v>
      </c>
      <c r="F16" s="29" t="s">
        <v>50</v>
      </c>
      <c r="G16" s="29" t="s">
        <v>79</v>
      </c>
      <c r="H16" s="29" t="s">
        <v>80</v>
      </c>
      <c r="I16" s="29" t="s">
        <v>81</v>
      </c>
      <c r="J16" s="29" t="b">
        <v>0</v>
      </c>
      <c r="M16" s="29" t="b">
        <v>0</v>
      </c>
      <c r="O16" s="29" t="b">
        <v>1</v>
      </c>
      <c r="Q16" s="29" t="str">
        <f t="shared" si="1"/>
        <v>1101208</v>
      </c>
      <c r="R16" s="30" t="str">
        <f t="shared" si="2"/>
        <v>2021/12/08</v>
      </c>
    </row>
    <row r="17" spans="1:18" x14ac:dyDescent="0.25">
      <c r="A17" s="39" t="str">
        <f>_xll.qlSchedule(B17,C17,D17,E17,F17,G17,H17,I17,J17,K17,L17,M17,N17,O17)</f>
        <v>110121502711N#0004</v>
      </c>
      <c r="B17" s="29" t="s">
        <v>102</v>
      </c>
      <c r="C17" s="30">
        <v>44545</v>
      </c>
      <c r="D17" s="30">
        <v>44572</v>
      </c>
      <c r="E17" s="29" t="str">
        <f t="shared" si="0"/>
        <v>27D</v>
      </c>
      <c r="F17" s="29" t="s">
        <v>50</v>
      </c>
      <c r="G17" s="29" t="s">
        <v>79</v>
      </c>
      <c r="H17" s="29" t="s">
        <v>80</v>
      </c>
      <c r="I17" s="29" t="s">
        <v>81</v>
      </c>
      <c r="J17" s="29" t="b">
        <v>0</v>
      </c>
      <c r="M17" s="29" t="b">
        <v>0</v>
      </c>
      <c r="O17" s="29" t="b">
        <v>1</v>
      </c>
      <c r="Q17" s="29" t="str">
        <f t="shared" si="1"/>
        <v>1101215</v>
      </c>
      <c r="R17" s="30" t="str">
        <f t="shared" si="2"/>
        <v>2021/12/15</v>
      </c>
    </row>
    <row r="18" spans="1:18" x14ac:dyDescent="0.25">
      <c r="A18" s="39" t="str">
        <f>_xll.qlSchedule(B18,C18,D18,E18,F18,G18,H18,I18,J18,K18,L18,M18,N18,O18)</f>
        <v>110121502811N#0004</v>
      </c>
      <c r="B18" s="29" t="s">
        <v>103</v>
      </c>
      <c r="C18" s="30">
        <v>44545</v>
      </c>
      <c r="D18" s="30">
        <v>44573</v>
      </c>
      <c r="E18" s="29" t="str">
        <f t="shared" si="0"/>
        <v>28D</v>
      </c>
      <c r="F18" s="29" t="s">
        <v>50</v>
      </c>
      <c r="G18" s="29" t="s">
        <v>79</v>
      </c>
      <c r="H18" s="29" t="s">
        <v>80</v>
      </c>
      <c r="I18" s="29" t="s">
        <v>81</v>
      </c>
      <c r="J18" s="29" t="b">
        <v>0</v>
      </c>
      <c r="M18" s="29" t="b">
        <v>0</v>
      </c>
      <c r="O18" s="29" t="b">
        <v>1</v>
      </c>
      <c r="Q18" s="29" t="str">
        <f t="shared" si="1"/>
        <v>1101215</v>
      </c>
      <c r="R18" s="30" t="str">
        <f t="shared" si="2"/>
        <v>2021/12/15</v>
      </c>
    </row>
    <row r="19" spans="1:18" x14ac:dyDescent="0.25">
      <c r="A19" s="39" t="str">
        <f>_xll.qlSchedule(B19,C19,D19,E19,F19,G19,H19,I19,J19,K19,L19,M19,N19,O19)</f>
        <v>110121602811N#0004</v>
      </c>
      <c r="B19" s="29" t="s">
        <v>104</v>
      </c>
      <c r="C19" s="30">
        <v>44546</v>
      </c>
      <c r="D19" s="30">
        <v>44574</v>
      </c>
      <c r="E19" s="29" t="str">
        <f t="shared" si="0"/>
        <v>28D</v>
      </c>
      <c r="F19" s="29" t="s">
        <v>50</v>
      </c>
      <c r="G19" s="29" t="s">
        <v>79</v>
      </c>
      <c r="H19" s="29" t="s">
        <v>80</v>
      </c>
      <c r="I19" s="29" t="s">
        <v>81</v>
      </c>
      <c r="J19" s="29" t="b">
        <v>0</v>
      </c>
      <c r="M19" s="29" t="b">
        <v>0</v>
      </c>
      <c r="O19" s="29" t="b">
        <v>1</v>
      </c>
      <c r="Q19" s="29" t="str">
        <f t="shared" si="1"/>
        <v>1101216</v>
      </c>
      <c r="R19" s="30" t="str">
        <f t="shared" si="2"/>
        <v>2021/12/16</v>
      </c>
    </row>
    <row r="20" spans="1:18" x14ac:dyDescent="0.25">
      <c r="A20" s="39" t="str">
        <f>_xll.qlSchedule(B20,C20,D20,E20,F20,G20,H20,I20,J20,K20,L20,M20,N20,O20)</f>
        <v>110121702811N#0004</v>
      </c>
      <c r="B20" s="29" t="s">
        <v>105</v>
      </c>
      <c r="C20" s="30">
        <v>44547</v>
      </c>
      <c r="D20" s="30">
        <v>44575</v>
      </c>
      <c r="E20" s="29" t="str">
        <f t="shared" si="0"/>
        <v>28D</v>
      </c>
      <c r="F20" s="29" t="s">
        <v>50</v>
      </c>
      <c r="G20" s="29" t="s">
        <v>79</v>
      </c>
      <c r="H20" s="29" t="s">
        <v>80</v>
      </c>
      <c r="I20" s="29" t="s">
        <v>81</v>
      </c>
      <c r="J20" s="29" t="b">
        <v>0</v>
      </c>
      <c r="M20" s="29" t="b">
        <v>0</v>
      </c>
      <c r="O20" s="29" t="b">
        <v>1</v>
      </c>
      <c r="Q20" s="29" t="str">
        <f t="shared" si="1"/>
        <v>1101217</v>
      </c>
      <c r="R20" s="30" t="str">
        <f t="shared" si="2"/>
        <v>2021/12/17</v>
      </c>
    </row>
    <row r="21" spans="1:18" x14ac:dyDescent="0.25">
      <c r="A21" s="39" t="str">
        <f>_xll.qlSchedule(B21,C21,D21,E21,F21,G21,H21,I21,J21,K21,L21,M21,N21,O21)</f>
        <v>1101220Y02ANN#0004</v>
      </c>
      <c r="B21" s="29" t="s">
        <v>106</v>
      </c>
      <c r="C21" s="30">
        <v>44550</v>
      </c>
      <c r="D21" s="30">
        <v>45280</v>
      </c>
      <c r="E21" s="29" t="str">
        <f t="shared" si="0"/>
        <v>2Y</v>
      </c>
      <c r="F21" s="29" t="s">
        <v>50</v>
      </c>
      <c r="G21" s="29" t="s">
        <v>79</v>
      </c>
      <c r="H21" s="29" t="s">
        <v>80</v>
      </c>
      <c r="I21" s="29" t="s">
        <v>81</v>
      </c>
      <c r="J21" s="29" t="b">
        <v>0</v>
      </c>
      <c r="M21" s="29" t="b">
        <v>0</v>
      </c>
      <c r="O21" s="29" t="b">
        <v>1</v>
      </c>
      <c r="Q21" s="29" t="str">
        <f t="shared" si="1"/>
        <v>1101220</v>
      </c>
      <c r="R21" s="30" t="str">
        <f t="shared" si="2"/>
        <v>2021/12/20</v>
      </c>
    </row>
    <row r="22" spans="1:18" x14ac:dyDescent="0.25">
      <c r="A22" s="39" t="str">
        <f>_xll.qlSchedule(B22,C22,D22,E22,F22,G22,H22,I22,J22,K22,L22,M22,N22,O22)</f>
        <v>1101220Y02ARN#0004</v>
      </c>
      <c r="B22" s="29" t="s">
        <v>107</v>
      </c>
      <c r="C22" s="30">
        <v>44550</v>
      </c>
      <c r="D22" s="30">
        <v>45280</v>
      </c>
      <c r="E22" s="29" t="str">
        <f t="shared" si="0"/>
        <v>2Y</v>
      </c>
      <c r="F22" s="29" t="s">
        <v>50</v>
      </c>
      <c r="G22" s="29" t="s">
        <v>79</v>
      </c>
      <c r="H22" s="29" t="s">
        <v>80</v>
      </c>
      <c r="I22" s="29" t="s">
        <v>81</v>
      </c>
      <c r="J22" s="29" t="b">
        <v>0</v>
      </c>
      <c r="M22" s="29" t="b">
        <v>0</v>
      </c>
      <c r="O22" s="29" t="b">
        <v>1</v>
      </c>
      <c r="Q22" s="29" t="str">
        <f t="shared" si="1"/>
        <v>1101220</v>
      </c>
      <c r="R22" s="30" t="str">
        <f t="shared" si="2"/>
        <v>2021/12/20</v>
      </c>
    </row>
    <row r="23" spans="1:18" x14ac:dyDescent="0.25">
      <c r="A23" s="39" t="str">
        <f>_xll.qlSchedule(B23,C23,D23,E23,F23,G23,H23,I23,J23,K23,L23,M23,N23,O23)</f>
        <v>110122202811N#0004</v>
      </c>
      <c r="B23" s="29" t="s">
        <v>171</v>
      </c>
      <c r="C23" s="30">
        <v>44552</v>
      </c>
      <c r="D23" s="30">
        <v>44580</v>
      </c>
      <c r="E23" s="29" t="str">
        <f t="shared" si="0"/>
        <v>28D</v>
      </c>
      <c r="F23" s="29" t="s">
        <v>50</v>
      </c>
      <c r="G23" s="29" t="s">
        <v>79</v>
      </c>
      <c r="H23" s="29" t="s">
        <v>80</v>
      </c>
      <c r="I23" s="29" t="s">
        <v>81</v>
      </c>
      <c r="J23" s="29" t="b">
        <v>0</v>
      </c>
      <c r="M23" s="29" t="b">
        <v>0</v>
      </c>
      <c r="O23" s="29" t="b">
        <v>1</v>
      </c>
      <c r="Q23" s="29" t="str">
        <f t="shared" si="1"/>
        <v>1101222</v>
      </c>
      <c r="R23" s="30" t="str">
        <f t="shared" si="2"/>
        <v>2021/12/22</v>
      </c>
    </row>
    <row r="24" spans="1:18" x14ac:dyDescent="0.25">
      <c r="A24" s="39" t="str">
        <f>_xll.qlSchedule(B24,C24,D24,E24,F24,G24,H24,I24,J24,K24,L24,M24,N24,O24)</f>
        <v>110122302811N#0004</v>
      </c>
      <c r="B24" s="29" t="s">
        <v>172</v>
      </c>
      <c r="C24" s="30">
        <v>44553</v>
      </c>
      <c r="D24" s="30">
        <v>44581</v>
      </c>
      <c r="E24" s="29" t="str">
        <f t="shared" si="0"/>
        <v>28D</v>
      </c>
      <c r="F24" s="29" t="s">
        <v>50</v>
      </c>
      <c r="G24" s="29" t="s">
        <v>79</v>
      </c>
      <c r="H24" s="29" t="s">
        <v>80</v>
      </c>
      <c r="I24" s="29" t="s">
        <v>81</v>
      </c>
      <c r="J24" s="29" t="b">
        <v>0</v>
      </c>
      <c r="M24" s="29" t="b">
        <v>0</v>
      </c>
      <c r="O24" s="29" t="b">
        <v>1</v>
      </c>
      <c r="Q24" s="29" t="str">
        <f t="shared" si="1"/>
        <v>1101223</v>
      </c>
      <c r="R24" s="30" t="str">
        <f t="shared" si="2"/>
        <v>2021/12/23</v>
      </c>
    </row>
    <row r="25" spans="1:18" x14ac:dyDescent="0.25">
      <c r="A25" s="39" t="str">
        <f>_xll.qlSchedule(B25,C25,D25,E25,F25,G25,H25,I25,J25,K25,L25,M25,N25,O25)</f>
        <v>110122402811N#0004</v>
      </c>
      <c r="B25" s="29" t="s">
        <v>173</v>
      </c>
      <c r="C25" s="30">
        <v>44554</v>
      </c>
      <c r="D25" s="30">
        <v>44582</v>
      </c>
      <c r="E25" s="29" t="str">
        <f t="shared" si="0"/>
        <v>28D</v>
      </c>
      <c r="F25" s="29" t="s">
        <v>50</v>
      </c>
      <c r="G25" s="29" t="s">
        <v>79</v>
      </c>
      <c r="H25" s="29" t="s">
        <v>80</v>
      </c>
      <c r="I25" s="29" t="s">
        <v>81</v>
      </c>
      <c r="J25" s="29" t="b">
        <v>0</v>
      </c>
      <c r="M25" s="29" t="b">
        <v>0</v>
      </c>
      <c r="O25" s="29" t="b">
        <v>1</v>
      </c>
      <c r="Q25" s="29" t="str">
        <f t="shared" si="1"/>
        <v>1101224</v>
      </c>
      <c r="R25" s="30" t="str">
        <f t="shared" si="2"/>
        <v>2021/12/24</v>
      </c>
    </row>
    <row r="26" spans="1:18" x14ac:dyDescent="0.25">
      <c r="A26" s="39" t="str">
        <f>_xll.qlSchedule(B26,C26,D26,E26,F26,G26,H26,I26,J26,K26,L26,M26,N26,O26)</f>
        <v>110122802711N#0004</v>
      </c>
      <c r="B26" s="29" t="s">
        <v>174</v>
      </c>
      <c r="C26" s="30">
        <v>44558</v>
      </c>
      <c r="D26" s="30">
        <v>44585</v>
      </c>
      <c r="E26" s="29" t="str">
        <f t="shared" si="0"/>
        <v>27D</v>
      </c>
      <c r="F26" s="29" t="s">
        <v>50</v>
      </c>
      <c r="G26" s="29" t="s">
        <v>79</v>
      </c>
      <c r="H26" s="29" t="s">
        <v>80</v>
      </c>
      <c r="I26" s="29" t="s">
        <v>81</v>
      </c>
      <c r="J26" s="29" t="b">
        <v>0</v>
      </c>
      <c r="M26" s="29" t="b">
        <v>0</v>
      </c>
      <c r="O26" s="29" t="b">
        <v>1</v>
      </c>
      <c r="Q26" s="29" t="str">
        <f t="shared" si="1"/>
        <v>1101228</v>
      </c>
      <c r="R26" s="30" t="str">
        <f t="shared" si="2"/>
        <v>2021/12/28</v>
      </c>
    </row>
    <row r="27" spans="1:18" x14ac:dyDescent="0.25">
      <c r="A27" s="39" t="str">
        <f>_xll.qlSchedule(B27,C27,D27,E27,F27,G27,H27,I27,J27,K27,L27,M27,N27,O27)</f>
        <v>110122802811N#0004</v>
      </c>
      <c r="B27" s="29" t="s">
        <v>175</v>
      </c>
      <c r="C27" s="30">
        <v>44558</v>
      </c>
      <c r="D27" s="30">
        <v>44586</v>
      </c>
      <c r="E27" s="29" t="str">
        <f t="shared" si="0"/>
        <v>28D</v>
      </c>
      <c r="F27" s="29" t="s">
        <v>50</v>
      </c>
      <c r="G27" s="29" t="s">
        <v>79</v>
      </c>
      <c r="H27" s="29" t="s">
        <v>80</v>
      </c>
      <c r="I27" s="29" t="s">
        <v>81</v>
      </c>
      <c r="J27" s="29" t="b">
        <v>0</v>
      </c>
      <c r="M27" s="29" t="b">
        <v>0</v>
      </c>
      <c r="O27" s="29" t="b">
        <v>1</v>
      </c>
      <c r="Q27" s="29" t="str">
        <f t="shared" si="1"/>
        <v>1101228</v>
      </c>
      <c r="R27" s="30" t="str">
        <f t="shared" si="2"/>
        <v>2021/12/28</v>
      </c>
    </row>
    <row r="28" spans="1:18" x14ac:dyDescent="0.25">
      <c r="A28" s="39" t="str">
        <f>_xll.qlSchedule(B28,C28,D28,E28,F28,G28,H28,I28,J28,K28,L28,M28,N28,O28)</f>
        <v>110122902811N#0004</v>
      </c>
      <c r="B28" s="29" t="s">
        <v>177</v>
      </c>
      <c r="C28" s="30">
        <v>44559</v>
      </c>
      <c r="D28" s="30">
        <v>44587</v>
      </c>
      <c r="E28" s="29" t="str">
        <f t="shared" si="0"/>
        <v>28D</v>
      </c>
      <c r="F28" s="29" t="s">
        <v>50</v>
      </c>
      <c r="G28" s="29" t="s">
        <v>79</v>
      </c>
      <c r="H28" s="29" t="s">
        <v>80</v>
      </c>
      <c r="I28" s="29" t="s">
        <v>81</v>
      </c>
      <c r="J28" s="29" t="b">
        <v>0</v>
      </c>
      <c r="M28" s="29" t="b">
        <v>0</v>
      </c>
      <c r="O28" s="29" t="b">
        <v>1</v>
      </c>
      <c r="Q28" s="29" t="str">
        <f t="shared" si="1"/>
        <v>1101229</v>
      </c>
      <c r="R28" s="30" t="str">
        <f t="shared" si="2"/>
        <v>2021/12/29</v>
      </c>
    </row>
    <row r="29" spans="1:18" x14ac:dyDescent="0.25">
      <c r="A29" s="39" t="str">
        <f>_xll.qlSchedule(B29,C29,D29,E29,F29,G29,H29,I29,J29,K29,L29,M29,N29,O29)</f>
        <v>1090416Y02AEN#0008</v>
      </c>
      <c r="B29" s="29" t="s">
        <v>136</v>
      </c>
      <c r="C29" s="58">
        <v>43937</v>
      </c>
      <c r="D29" s="58">
        <v>44667</v>
      </c>
      <c r="E29" s="29" t="s">
        <v>179</v>
      </c>
      <c r="F29" s="29" t="s">
        <v>50</v>
      </c>
      <c r="G29" s="29" t="s">
        <v>79</v>
      </c>
      <c r="H29" s="29" t="s">
        <v>80</v>
      </c>
      <c r="I29" s="29" t="s">
        <v>81</v>
      </c>
      <c r="J29" s="29" t="b">
        <v>0</v>
      </c>
      <c r="M29" s="29" t="b">
        <v>0</v>
      </c>
      <c r="O29" s="29" t="b">
        <v>1</v>
      </c>
      <c r="Q29" s="29" t="str">
        <f t="shared" si="1"/>
        <v>1090416</v>
      </c>
      <c r="R29" s="30" t="str">
        <f t="shared" si="2"/>
        <v>2020/04/16</v>
      </c>
    </row>
    <row r="30" spans="1:18" x14ac:dyDescent="0.25">
      <c r="A30" s="39" t="str">
        <f>_xll.qlSchedule(B30,C30,D30,E30,F30,G30,H30,I30,J30,K30,L30,M30,N30,O30)</f>
        <v>1100304364AJN#0004</v>
      </c>
      <c r="B30" s="29" t="s">
        <v>137</v>
      </c>
      <c r="C30" s="30">
        <v>44259</v>
      </c>
      <c r="D30" s="30">
        <v>44623</v>
      </c>
      <c r="E30" s="29" t="str">
        <f t="shared" si="0"/>
        <v>364D</v>
      </c>
      <c r="F30" s="29" t="s">
        <v>50</v>
      </c>
      <c r="G30" s="29" t="s">
        <v>79</v>
      </c>
      <c r="H30" s="29" t="s">
        <v>80</v>
      </c>
      <c r="I30" s="29" t="s">
        <v>81</v>
      </c>
      <c r="J30" s="29" t="b">
        <v>0</v>
      </c>
      <c r="M30" s="29" t="b">
        <v>0</v>
      </c>
      <c r="O30" s="29" t="b">
        <v>1</v>
      </c>
      <c r="Q30" s="29" t="str">
        <f t="shared" si="1"/>
        <v>1100304</v>
      </c>
      <c r="R30" s="30" t="str">
        <f t="shared" si="2"/>
        <v>2021/03/04</v>
      </c>
    </row>
    <row r="31" spans="1:18" x14ac:dyDescent="0.25">
      <c r="A31" s="39" t="str">
        <f>_xll.qlSchedule(B31,C31,D31,E31,F31,G31,H31,I31,J31,K31,L31,M31,N31,O31)</f>
        <v>1100304364AMN#0004</v>
      </c>
      <c r="B31" s="29" t="s">
        <v>138</v>
      </c>
      <c r="C31" s="30">
        <v>44259</v>
      </c>
      <c r="D31" s="30">
        <v>44623</v>
      </c>
      <c r="E31" s="29" t="str">
        <f t="shared" si="0"/>
        <v>364D</v>
      </c>
      <c r="F31" s="29" t="s">
        <v>50</v>
      </c>
      <c r="G31" s="29" t="s">
        <v>79</v>
      </c>
      <c r="H31" s="29" t="s">
        <v>80</v>
      </c>
      <c r="I31" s="29" t="s">
        <v>81</v>
      </c>
      <c r="J31" s="29" t="b">
        <v>0</v>
      </c>
      <c r="M31" s="29" t="b">
        <v>0</v>
      </c>
      <c r="O31" s="29" t="b">
        <v>1</v>
      </c>
      <c r="Q31" s="29" t="str">
        <f t="shared" si="1"/>
        <v>1100304</v>
      </c>
      <c r="R31" s="30" t="str">
        <f t="shared" si="2"/>
        <v>2021/03/04</v>
      </c>
    </row>
    <row r="32" spans="1:18" x14ac:dyDescent="0.25">
      <c r="A32" s="39" t="str">
        <f>_xll.qlSchedule(B32,C32,D32,E32,F32,G32,H32,I32,J32,K32,L32,M32,N32,O32)</f>
        <v>1100406364ADN#0005</v>
      </c>
      <c r="B32" s="29" t="s">
        <v>139</v>
      </c>
      <c r="C32" s="58">
        <v>44292</v>
      </c>
      <c r="D32" s="58">
        <v>44657</v>
      </c>
      <c r="E32" s="29" t="str">
        <f t="shared" si="0"/>
        <v>365D</v>
      </c>
      <c r="F32" s="29" t="s">
        <v>50</v>
      </c>
      <c r="G32" s="29" t="s">
        <v>79</v>
      </c>
      <c r="H32" s="29" t="s">
        <v>80</v>
      </c>
      <c r="I32" s="29" t="s">
        <v>81</v>
      </c>
      <c r="J32" s="29" t="b">
        <v>0</v>
      </c>
      <c r="M32" s="29" t="b">
        <v>0</v>
      </c>
      <c r="O32" s="29" t="b">
        <v>1</v>
      </c>
      <c r="Q32" s="29" t="str">
        <f t="shared" si="1"/>
        <v>1100406</v>
      </c>
      <c r="R32" s="30" t="str">
        <f t="shared" si="2"/>
        <v>2021/04/06</v>
      </c>
    </row>
    <row r="33" spans="1:18" x14ac:dyDescent="0.25">
      <c r="A33" s="39" t="str">
        <f>_xll.qlSchedule(B33,C33,D33,E33,F33,G33,H33,I33,J33,K33,L33,M33,N33,O33)</f>
        <v>1100406364AFN#0005</v>
      </c>
      <c r="B33" s="29" t="s">
        <v>140</v>
      </c>
      <c r="C33" s="58">
        <v>44292</v>
      </c>
      <c r="D33" s="58">
        <v>44657</v>
      </c>
      <c r="E33" s="29" t="str">
        <f t="shared" si="0"/>
        <v>365D</v>
      </c>
      <c r="F33" s="29" t="s">
        <v>50</v>
      </c>
      <c r="G33" s="29" t="s">
        <v>79</v>
      </c>
      <c r="H33" s="29" t="s">
        <v>80</v>
      </c>
      <c r="I33" s="29" t="s">
        <v>81</v>
      </c>
      <c r="J33" s="29" t="b">
        <v>0</v>
      </c>
      <c r="M33" s="29" t="b">
        <v>0</v>
      </c>
      <c r="O33" s="29" t="b">
        <v>1</v>
      </c>
      <c r="Q33" s="29" t="str">
        <f t="shared" si="1"/>
        <v>1100406</v>
      </c>
      <c r="R33" s="30" t="str">
        <f t="shared" si="2"/>
        <v>2021/04/06</v>
      </c>
    </row>
    <row r="34" spans="1:18" x14ac:dyDescent="0.25">
      <c r="A34" s="39" t="str">
        <f>_xll.qlSchedule(B34,C34,D34,E34,F34,G34,H34,I34,J34,K34,L34,M34,N34,O34)</f>
        <v>1100406364AIN#0005</v>
      </c>
      <c r="B34" s="29" t="s">
        <v>141</v>
      </c>
      <c r="C34" s="58">
        <v>44292</v>
      </c>
      <c r="D34" s="58">
        <v>44657</v>
      </c>
      <c r="E34" s="29" t="str">
        <f t="shared" si="0"/>
        <v>365D</v>
      </c>
      <c r="F34" s="29" t="s">
        <v>50</v>
      </c>
      <c r="G34" s="29" t="s">
        <v>79</v>
      </c>
      <c r="H34" s="29" t="s">
        <v>80</v>
      </c>
      <c r="I34" s="29" t="s">
        <v>81</v>
      </c>
      <c r="J34" s="29" t="b">
        <v>0</v>
      </c>
      <c r="M34" s="29" t="b">
        <v>0</v>
      </c>
      <c r="O34" s="29" t="b">
        <v>1</v>
      </c>
      <c r="Q34" s="29" t="str">
        <f t="shared" si="1"/>
        <v>1100406</v>
      </c>
      <c r="R34" s="30" t="str">
        <f t="shared" si="2"/>
        <v>2021/04/06</v>
      </c>
    </row>
    <row r="35" spans="1:18" x14ac:dyDescent="0.25">
      <c r="A35" s="39" t="str">
        <f>_xll.qlSchedule(B35,C35,D35,E35,F35,G35,H35,I35,J35,K35,L35,M35,N35,O35)</f>
        <v>1100415Y02ANN#0004</v>
      </c>
      <c r="B35" s="29" t="s">
        <v>142</v>
      </c>
      <c r="C35" s="30">
        <v>44301</v>
      </c>
      <c r="D35" s="30">
        <v>45031</v>
      </c>
      <c r="E35" s="29" t="str">
        <f t="shared" si="0"/>
        <v>2Y</v>
      </c>
      <c r="F35" s="29" t="s">
        <v>50</v>
      </c>
      <c r="G35" s="29" t="s">
        <v>79</v>
      </c>
      <c r="H35" s="29" t="s">
        <v>80</v>
      </c>
      <c r="I35" s="29" t="s">
        <v>81</v>
      </c>
      <c r="J35" s="29" t="b">
        <v>0</v>
      </c>
      <c r="M35" s="29" t="b">
        <v>0</v>
      </c>
      <c r="O35" s="29" t="b">
        <v>1</v>
      </c>
      <c r="Q35" s="29" t="str">
        <f t="shared" si="1"/>
        <v>1100415</v>
      </c>
      <c r="R35" s="30" t="str">
        <f t="shared" si="2"/>
        <v>2021/04/15</v>
      </c>
    </row>
    <row r="36" spans="1:18" x14ac:dyDescent="0.25">
      <c r="A36" s="39" t="str">
        <f>_xll.qlSchedule(B36,C36,D36,E36,F36,G36,H36,I36,J36,K36,L36,M36,N36,O36)</f>
        <v>1100504364A8N#0004</v>
      </c>
      <c r="B36" s="29" t="s">
        <v>143</v>
      </c>
      <c r="C36" s="30">
        <v>44320</v>
      </c>
      <c r="D36" s="30">
        <v>44684</v>
      </c>
      <c r="E36" s="29" t="str">
        <f t="shared" si="0"/>
        <v>364D</v>
      </c>
      <c r="F36" s="29" t="s">
        <v>50</v>
      </c>
      <c r="G36" s="29" t="s">
        <v>79</v>
      </c>
      <c r="H36" s="29" t="s">
        <v>80</v>
      </c>
      <c r="I36" s="29" t="s">
        <v>81</v>
      </c>
      <c r="J36" s="29" t="b">
        <v>0</v>
      </c>
      <c r="M36" s="29" t="b">
        <v>0</v>
      </c>
      <c r="O36" s="29" t="b">
        <v>1</v>
      </c>
      <c r="Q36" s="29" t="str">
        <f t="shared" si="1"/>
        <v>1100504</v>
      </c>
      <c r="R36" s="30" t="str">
        <f t="shared" si="2"/>
        <v>2021/05/04</v>
      </c>
    </row>
    <row r="37" spans="1:18" x14ac:dyDescent="0.25">
      <c r="A37" s="39" t="str">
        <f>_xll.qlSchedule(B37,C37,D37,E37,F37,G37,H37,I37,J37,K37,L37,M37,N37,O37)</f>
        <v>1100504364A9N#0004</v>
      </c>
      <c r="B37" s="29" t="s">
        <v>144</v>
      </c>
      <c r="C37" s="30">
        <v>44320</v>
      </c>
      <c r="D37" s="30">
        <v>44684</v>
      </c>
      <c r="E37" s="29" t="str">
        <f t="shared" si="0"/>
        <v>364D</v>
      </c>
      <c r="F37" s="29" t="s">
        <v>50</v>
      </c>
      <c r="G37" s="29" t="s">
        <v>79</v>
      </c>
      <c r="H37" s="29" t="s">
        <v>80</v>
      </c>
      <c r="I37" s="29" t="s">
        <v>81</v>
      </c>
      <c r="J37" s="29" t="b">
        <v>0</v>
      </c>
      <c r="M37" s="29" t="b">
        <v>0</v>
      </c>
      <c r="O37" s="29" t="b">
        <v>1</v>
      </c>
      <c r="Q37" s="29" t="str">
        <f t="shared" si="1"/>
        <v>1100504</v>
      </c>
      <c r="R37" s="30" t="str">
        <f t="shared" si="2"/>
        <v>2021/05/04</v>
      </c>
    </row>
    <row r="38" spans="1:18" x14ac:dyDescent="0.25">
      <c r="A38" s="39" t="str">
        <f>_xll.qlSchedule(B38,C38,D38,E38,F38,G38,H38,I38,J38,K38,L38,M38,N38,O38)</f>
        <v>1100504364ACN#0004</v>
      </c>
      <c r="B38" s="29" t="s">
        <v>145</v>
      </c>
      <c r="C38" s="30">
        <v>44320</v>
      </c>
      <c r="D38" s="30">
        <v>44684</v>
      </c>
      <c r="E38" s="29" t="str">
        <f t="shared" si="0"/>
        <v>364D</v>
      </c>
      <c r="F38" s="29" t="s">
        <v>50</v>
      </c>
      <c r="G38" s="29" t="s">
        <v>79</v>
      </c>
      <c r="H38" s="29" t="s">
        <v>80</v>
      </c>
      <c r="I38" s="29" t="s">
        <v>81</v>
      </c>
      <c r="J38" s="29" t="b">
        <v>0</v>
      </c>
      <c r="M38" s="29" t="b">
        <v>0</v>
      </c>
      <c r="O38" s="29" t="b">
        <v>1</v>
      </c>
      <c r="Q38" s="29" t="str">
        <f t="shared" si="1"/>
        <v>1100504</v>
      </c>
      <c r="R38" s="30" t="str">
        <f t="shared" si="2"/>
        <v>2021/05/04</v>
      </c>
    </row>
    <row r="39" spans="1:18" x14ac:dyDescent="0.25">
      <c r="A39" s="39" t="str">
        <f>_xll.qlSchedule(B39,C39,D39,E39,F39,G39,H39,I39,J39,K39,L39,M39,N39,O39)</f>
        <v>1100504364AFN#0004</v>
      </c>
      <c r="B39" s="29" t="s">
        <v>146</v>
      </c>
      <c r="C39" s="30">
        <v>44320</v>
      </c>
      <c r="D39" s="30">
        <v>44684</v>
      </c>
      <c r="E39" s="29" t="str">
        <f t="shared" si="0"/>
        <v>364D</v>
      </c>
      <c r="F39" s="29" t="s">
        <v>50</v>
      </c>
      <c r="G39" s="29" t="s">
        <v>79</v>
      </c>
      <c r="H39" s="29" t="s">
        <v>80</v>
      </c>
      <c r="I39" s="29" t="s">
        <v>81</v>
      </c>
      <c r="J39" s="29" t="b">
        <v>0</v>
      </c>
      <c r="M39" s="29" t="b">
        <v>0</v>
      </c>
      <c r="O39" s="29" t="b">
        <v>1</v>
      </c>
      <c r="Q39" s="29" t="str">
        <f t="shared" si="1"/>
        <v>1100504</v>
      </c>
      <c r="R39" s="30" t="str">
        <f t="shared" si="2"/>
        <v>2021/05/04</v>
      </c>
    </row>
    <row r="40" spans="1:18" x14ac:dyDescent="0.25">
      <c r="A40" s="39" t="str">
        <f>_xll.qlSchedule(B40,C40,D40,E40,F40,G40,H40,I40,J40,K40,L40,M40,N40,O40)</f>
        <v>1100513Y02ALN#0004</v>
      </c>
      <c r="B40" s="29" t="s">
        <v>147</v>
      </c>
      <c r="C40" s="30">
        <v>44329</v>
      </c>
      <c r="D40" s="30">
        <v>45059</v>
      </c>
      <c r="E40" s="29" t="str">
        <f t="shared" si="0"/>
        <v>2Y</v>
      </c>
      <c r="F40" s="29" t="s">
        <v>50</v>
      </c>
      <c r="G40" s="29" t="s">
        <v>79</v>
      </c>
      <c r="H40" s="29" t="s">
        <v>80</v>
      </c>
      <c r="I40" s="29" t="s">
        <v>81</v>
      </c>
      <c r="J40" s="29" t="b">
        <v>0</v>
      </c>
      <c r="M40" s="29" t="b">
        <v>0</v>
      </c>
      <c r="O40" s="29" t="b">
        <v>1</v>
      </c>
      <c r="Q40" s="29" t="str">
        <f t="shared" si="1"/>
        <v>1100513</v>
      </c>
      <c r="R40" s="30" t="str">
        <f t="shared" si="2"/>
        <v>2021/05/13</v>
      </c>
    </row>
    <row r="41" spans="1:18" x14ac:dyDescent="0.25">
      <c r="A41" s="39" t="str">
        <f>_xll.qlSchedule(B41,C41,D41,E41,F41,G41,H41,I41,J41,K41,L41,M41,N41,O41)</f>
        <v>1100604364AAN#0007</v>
      </c>
      <c r="B41" s="29" t="s">
        <v>148</v>
      </c>
      <c r="C41" s="58">
        <v>44351</v>
      </c>
      <c r="D41" s="58">
        <v>44718</v>
      </c>
      <c r="E41" s="29" t="s">
        <v>178</v>
      </c>
      <c r="F41" s="29" t="s">
        <v>50</v>
      </c>
      <c r="G41" s="29" t="s">
        <v>79</v>
      </c>
      <c r="H41" s="29" t="s">
        <v>80</v>
      </c>
      <c r="I41" s="29" t="s">
        <v>81</v>
      </c>
      <c r="J41" s="29" t="b">
        <v>0</v>
      </c>
      <c r="M41" s="29" t="b">
        <v>0</v>
      </c>
      <c r="O41" s="29" t="b">
        <v>1</v>
      </c>
      <c r="Q41" s="29" t="str">
        <f t="shared" si="1"/>
        <v>1100604</v>
      </c>
      <c r="R41" s="30" t="str">
        <f t="shared" si="2"/>
        <v>2021/06/04</v>
      </c>
    </row>
    <row r="42" spans="1:18" x14ac:dyDescent="0.25">
      <c r="A42" s="39" t="str">
        <f>_xll.qlSchedule(B42,C42,D42,E42,F42,G42,H42,I42,J42,K42,L42,M42,N42,O42)</f>
        <v>1100604364ACN#0008</v>
      </c>
      <c r="B42" s="29" t="s">
        <v>149</v>
      </c>
      <c r="C42" s="58">
        <v>44351</v>
      </c>
      <c r="D42" s="58">
        <v>44718</v>
      </c>
      <c r="E42" s="29" t="s">
        <v>178</v>
      </c>
      <c r="F42" s="29" t="s">
        <v>50</v>
      </c>
      <c r="G42" s="29" t="s">
        <v>79</v>
      </c>
      <c r="H42" s="29" t="s">
        <v>80</v>
      </c>
      <c r="I42" s="29" t="s">
        <v>81</v>
      </c>
      <c r="J42" s="29" t="b">
        <v>0</v>
      </c>
      <c r="M42" s="29" t="b">
        <v>0</v>
      </c>
      <c r="O42" s="29" t="b">
        <v>1</v>
      </c>
      <c r="Q42" s="29" t="str">
        <f t="shared" si="1"/>
        <v>1100604</v>
      </c>
      <c r="R42" s="30" t="str">
        <f t="shared" si="2"/>
        <v>2021/06/04</v>
      </c>
    </row>
    <row r="43" spans="1:18" x14ac:dyDescent="0.25">
      <c r="A43" s="39" t="str">
        <f>_xll.qlSchedule(B43,C43,D43,E43,F43,G43,H43,I43,J43,K43,L43,M43,N43,O43)</f>
        <v>1100604364AFN#0007</v>
      </c>
      <c r="B43" s="29" t="s">
        <v>150</v>
      </c>
      <c r="C43" s="58">
        <v>44351</v>
      </c>
      <c r="D43" s="58">
        <v>44718</v>
      </c>
      <c r="E43" s="29" t="s">
        <v>178</v>
      </c>
      <c r="F43" s="29" t="s">
        <v>50</v>
      </c>
      <c r="G43" s="29" t="s">
        <v>79</v>
      </c>
      <c r="H43" s="29" t="s">
        <v>80</v>
      </c>
      <c r="I43" s="29" t="s">
        <v>81</v>
      </c>
      <c r="J43" s="29" t="b">
        <v>0</v>
      </c>
      <c r="M43" s="29" t="b">
        <v>0</v>
      </c>
      <c r="O43" s="29" t="b">
        <v>1</v>
      </c>
      <c r="Q43" s="29" t="str">
        <f t="shared" si="1"/>
        <v>1100604</v>
      </c>
      <c r="R43" s="30" t="str">
        <f t="shared" si="2"/>
        <v>2021/06/04</v>
      </c>
    </row>
    <row r="44" spans="1:18" x14ac:dyDescent="0.25">
      <c r="A44" s="39" t="str">
        <f>_xll.qlSchedule(B44,C44,D44,E44,F44,G44,H44,I44,J44,K44,L44,M44,N44,O44)</f>
        <v>1100604364AKN#0007</v>
      </c>
      <c r="B44" s="29" t="s">
        <v>151</v>
      </c>
      <c r="C44" s="58">
        <v>44351</v>
      </c>
      <c r="D44" s="58">
        <v>44718</v>
      </c>
      <c r="E44" s="29" t="s">
        <v>178</v>
      </c>
      <c r="F44" s="29" t="s">
        <v>50</v>
      </c>
      <c r="G44" s="29" t="s">
        <v>79</v>
      </c>
      <c r="H44" s="29" t="s">
        <v>80</v>
      </c>
      <c r="I44" s="29" t="s">
        <v>81</v>
      </c>
      <c r="J44" s="29" t="b">
        <v>0</v>
      </c>
      <c r="M44" s="29" t="b">
        <v>0</v>
      </c>
      <c r="O44" s="29" t="b">
        <v>1</v>
      </c>
      <c r="Q44" s="29" t="str">
        <f t="shared" si="1"/>
        <v>1100604</v>
      </c>
      <c r="R44" s="30" t="str">
        <f t="shared" si="2"/>
        <v>2021/06/04</v>
      </c>
    </row>
    <row r="45" spans="1:18" x14ac:dyDescent="0.25">
      <c r="A45" s="39" t="str">
        <f>_xll.qlSchedule(B45,C45,D45,E45,F45,G45,H45,I45,J45,K45,L45,M45,N45,O45)</f>
        <v>1100617Y02AHN#0004</v>
      </c>
      <c r="B45" s="29" t="s">
        <v>152</v>
      </c>
      <c r="C45" s="30">
        <v>44364</v>
      </c>
      <c r="D45" s="30">
        <v>45094</v>
      </c>
      <c r="E45" s="29" t="str">
        <f t="shared" si="0"/>
        <v>2Y</v>
      </c>
      <c r="F45" s="29" t="s">
        <v>50</v>
      </c>
      <c r="G45" s="29" t="s">
        <v>79</v>
      </c>
      <c r="H45" s="29" t="s">
        <v>80</v>
      </c>
      <c r="I45" s="29" t="s">
        <v>81</v>
      </c>
      <c r="J45" s="29" t="b">
        <v>0</v>
      </c>
      <c r="M45" s="29" t="b">
        <v>0</v>
      </c>
      <c r="O45" s="29" t="b">
        <v>1</v>
      </c>
      <c r="Q45" s="29" t="str">
        <f t="shared" si="1"/>
        <v>1100617</v>
      </c>
      <c r="R45" s="30" t="str">
        <f t="shared" si="2"/>
        <v>2021/06/17</v>
      </c>
    </row>
    <row r="46" spans="1:18" x14ac:dyDescent="0.25">
      <c r="A46" s="39" t="str">
        <f>_xll.qlSchedule(B46,C46,D46,E46,F46,G46,H46,I46,J46,K46,L46,M46,N46,O46)</f>
        <v>1100705364A7N#0004</v>
      </c>
      <c r="B46" s="29" t="s">
        <v>153</v>
      </c>
      <c r="C46" s="30">
        <v>44382</v>
      </c>
      <c r="D46" s="30">
        <v>44746</v>
      </c>
      <c r="E46" s="29" t="str">
        <f t="shared" si="0"/>
        <v>364D</v>
      </c>
      <c r="F46" s="29" t="s">
        <v>50</v>
      </c>
      <c r="G46" s="29" t="s">
        <v>79</v>
      </c>
      <c r="H46" s="29" t="s">
        <v>80</v>
      </c>
      <c r="I46" s="29" t="s">
        <v>81</v>
      </c>
      <c r="J46" s="29" t="b">
        <v>0</v>
      </c>
      <c r="M46" s="29" t="b">
        <v>0</v>
      </c>
      <c r="O46" s="29" t="b">
        <v>1</v>
      </c>
      <c r="Q46" s="29" t="str">
        <f t="shared" si="1"/>
        <v>1100705</v>
      </c>
      <c r="R46" s="30" t="str">
        <f t="shared" si="2"/>
        <v>2021/07/05</v>
      </c>
    </row>
    <row r="47" spans="1:18" x14ac:dyDescent="0.25">
      <c r="A47" s="39" t="str">
        <f>_xll.qlSchedule(B47,C47,D47,E47,F47,G47,H47,I47,J47,K47,L47,M47,N47,O47)</f>
        <v>1100705364A9N#0004</v>
      </c>
      <c r="B47" s="29" t="s">
        <v>154</v>
      </c>
      <c r="C47" s="30">
        <v>44382</v>
      </c>
      <c r="D47" s="30">
        <v>44746</v>
      </c>
      <c r="E47" s="29" t="str">
        <f t="shared" si="0"/>
        <v>364D</v>
      </c>
      <c r="F47" s="29" t="s">
        <v>50</v>
      </c>
      <c r="G47" s="29" t="s">
        <v>79</v>
      </c>
      <c r="H47" s="29" t="s">
        <v>80</v>
      </c>
      <c r="I47" s="29" t="s">
        <v>81</v>
      </c>
      <c r="J47" s="29" t="b">
        <v>0</v>
      </c>
      <c r="M47" s="29" t="b">
        <v>0</v>
      </c>
      <c r="O47" s="29" t="b">
        <v>1</v>
      </c>
      <c r="Q47" s="29" t="str">
        <f t="shared" si="1"/>
        <v>1100705</v>
      </c>
      <c r="R47" s="30" t="str">
        <f t="shared" si="2"/>
        <v>2021/07/05</v>
      </c>
    </row>
    <row r="48" spans="1:18" x14ac:dyDescent="0.25">
      <c r="A48" s="39" t="str">
        <f>_xll.qlSchedule(B48,C48,D48,E48,F48,G48,H48,I48,J48,K48,L48,M48,N48,O48)</f>
        <v>1100705364ADN#0004</v>
      </c>
      <c r="B48" s="29" t="s">
        <v>155</v>
      </c>
      <c r="C48" s="30">
        <v>44382</v>
      </c>
      <c r="D48" s="30">
        <v>44746</v>
      </c>
      <c r="E48" s="29" t="str">
        <f t="shared" si="0"/>
        <v>364D</v>
      </c>
      <c r="F48" s="29" t="s">
        <v>50</v>
      </c>
      <c r="G48" s="29" t="s">
        <v>79</v>
      </c>
      <c r="H48" s="29" t="s">
        <v>80</v>
      </c>
      <c r="I48" s="29" t="s">
        <v>81</v>
      </c>
      <c r="J48" s="29" t="b">
        <v>0</v>
      </c>
      <c r="M48" s="29" t="b">
        <v>0</v>
      </c>
      <c r="O48" s="29" t="b">
        <v>1</v>
      </c>
      <c r="Q48" s="29" t="str">
        <f t="shared" si="1"/>
        <v>1100705</v>
      </c>
      <c r="R48" s="30" t="str">
        <f t="shared" si="2"/>
        <v>2021/07/05</v>
      </c>
    </row>
    <row r="49" spans="1:18" x14ac:dyDescent="0.25">
      <c r="A49" s="39" t="str">
        <f>_xll.qlSchedule(B49,C49,D49,E49,F49,G49,H49,I49,J49,K49,L49,M49,N49,O49)</f>
        <v>1100705364AFN#0004</v>
      </c>
      <c r="B49" s="29" t="s">
        <v>156</v>
      </c>
      <c r="C49" s="30">
        <v>44382</v>
      </c>
      <c r="D49" s="30">
        <v>44746</v>
      </c>
      <c r="E49" s="29" t="str">
        <f t="shared" si="0"/>
        <v>364D</v>
      </c>
      <c r="F49" s="29" t="s">
        <v>50</v>
      </c>
      <c r="G49" s="29" t="s">
        <v>79</v>
      </c>
      <c r="H49" s="29" t="s">
        <v>80</v>
      </c>
      <c r="I49" s="29" t="s">
        <v>81</v>
      </c>
      <c r="J49" s="29" t="b">
        <v>0</v>
      </c>
      <c r="M49" s="29" t="b">
        <v>0</v>
      </c>
      <c r="O49" s="29" t="b">
        <v>1</v>
      </c>
      <c r="Q49" s="29" t="str">
        <f t="shared" si="1"/>
        <v>1100705</v>
      </c>
      <c r="R49" s="30" t="str">
        <f t="shared" si="2"/>
        <v>2021/07/05</v>
      </c>
    </row>
    <row r="50" spans="1:18" x14ac:dyDescent="0.25">
      <c r="A50" s="39" t="str">
        <f>_xll.qlSchedule(B50,C50,D50,E50,F50,G50,H50,I50,J50,K50,L50,M50,N50,O50)</f>
        <v>1100705364AHN#0004</v>
      </c>
      <c r="B50" s="29" t="s">
        <v>157</v>
      </c>
      <c r="C50" s="30">
        <v>44382</v>
      </c>
      <c r="D50" s="30">
        <v>44746</v>
      </c>
      <c r="E50" s="29" t="str">
        <f t="shared" si="0"/>
        <v>364D</v>
      </c>
      <c r="F50" s="29" t="s">
        <v>50</v>
      </c>
      <c r="G50" s="29" t="s">
        <v>79</v>
      </c>
      <c r="H50" s="29" t="s">
        <v>80</v>
      </c>
      <c r="I50" s="29" t="s">
        <v>81</v>
      </c>
      <c r="J50" s="29" t="b">
        <v>0</v>
      </c>
      <c r="M50" s="29" t="b">
        <v>0</v>
      </c>
      <c r="O50" s="29" t="b">
        <v>1</v>
      </c>
      <c r="Q50" s="29" t="str">
        <f t="shared" si="1"/>
        <v>1100705</v>
      </c>
      <c r="R50" s="30" t="str">
        <f t="shared" si="2"/>
        <v>2021/07/05</v>
      </c>
    </row>
    <row r="51" spans="1:18" x14ac:dyDescent="0.25">
      <c r="A51" s="39" t="str">
        <f>_xll.qlSchedule(B51,C51,D51,E51,F51,G51,H51,I51,J51,K51,L51,M51,N51,O51)</f>
        <v>1100715Y02ACN#0004</v>
      </c>
      <c r="B51" s="29" t="s">
        <v>158</v>
      </c>
      <c r="C51" s="30">
        <v>44392</v>
      </c>
      <c r="D51" s="30">
        <v>45122</v>
      </c>
      <c r="E51" s="29" t="str">
        <f t="shared" si="0"/>
        <v>2Y</v>
      </c>
      <c r="F51" s="29" t="s">
        <v>50</v>
      </c>
      <c r="G51" s="29" t="s">
        <v>79</v>
      </c>
      <c r="H51" s="29" t="s">
        <v>80</v>
      </c>
      <c r="I51" s="29" t="s">
        <v>81</v>
      </c>
      <c r="J51" s="29" t="b">
        <v>0</v>
      </c>
      <c r="M51" s="29" t="b">
        <v>0</v>
      </c>
      <c r="O51" s="29" t="b">
        <v>1</v>
      </c>
      <c r="Q51" s="29" t="str">
        <f t="shared" si="1"/>
        <v>1100715</v>
      </c>
      <c r="R51" s="30" t="str">
        <f t="shared" si="2"/>
        <v>2021/07/15</v>
      </c>
    </row>
    <row r="52" spans="1:18" x14ac:dyDescent="0.25">
      <c r="A52" s="39" t="str">
        <f>_xll.qlSchedule(B52,C52,D52,E52,F52,G52,H52,I52,J52,K52,L52,M52,N52,O52)</f>
        <v>1100715Y02AHN#0004</v>
      </c>
      <c r="B52" s="29" t="s">
        <v>159</v>
      </c>
      <c r="C52" s="30">
        <v>44392</v>
      </c>
      <c r="D52" s="30">
        <v>45122</v>
      </c>
      <c r="E52" s="29" t="str">
        <f t="shared" si="0"/>
        <v>2Y</v>
      </c>
      <c r="F52" s="29" t="s">
        <v>50</v>
      </c>
      <c r="G52" s="29" t="s">
        <v>79</v>
      </c>
      <c r="H52" s="29" t="s">
        <v>80</v>
      </c>
      <c r="I52" s="29" t="s">
        <v>81</v>
      </c>
      <c r="J52" s="29" t="b">
        <v>0</v>
      </c>
      <c r="M52" s="29" t="b">
        <v>0</v>
      </c>
      <c r="O52" s="29" t="b">
        <v>1</v>
      </c>
      <c r="Q52" s="29" t="str">
        <f t="shared" si="1"/>
        <v>1100715</v>
      </c>
      <c r="R52" s="30" t="str">
        <f t="shared" si="2"/>
        <v>2021/07/15</v>
      </c>
    </row>
    <row r="53" spans="1:18" x14ac:dyDescent="0.25">
      <c r="A53" s="39" t="str">
        <f>_xll.qlSchedule(B53,C53,D53,E53,F53,G53,H53,I53,J53,K53,L53,M53,N53,O53)</f>
        <v>1100906364A8N#0004</v>
      </c>
      <c r="B53" s="29" t="s">
        <v>160</v>
      </c>
      <c r="C53" s="30">
        <v>44445</v>
      </c>
      <c r="D53" s="30">
        <v>44809</v>
      </c>
      <c r="E53" s="29" t="str">
        <f t="shared" si="0"/>
        <v>364D</v>
      </c>
      <c r="F53" s="29" t="s">
        <v>50</v>
      </c>
      <c r="G53" s="29" t="s">
        <v>79</v>
      </c>
      <c r="H53" s="29" t="s">
        <v>80</v>
      </c>
      <c r="I53" s="29" t="s">
        <v>81</v>
      </c>
      <c r="J53" s="29" t="b">
        <v>0</v>
      </c>
      <c r="M53" s="29" t="b">
        <v>0</v>
      </c>
      <c r="O53" s="29" t="b">
        <v>1</v>
      </c>
      <c r="Q53" s="29" t="str">
        <f t="shared" si="1"/>
        <v>1100906</v>
      </c>
      <c r="R53" s="30" t="str">
        <f t="shared" si="2"/>
        <v>2021/09/06</v>
      </c>
    </row>
    <row r="54" spans="1:18" x14ac:dyDescent="0.25">
      <c r="A54" s="39" t="str">
        <f>_xll.qlSchedule(B54,C54,D54,E54,F54,G54,H54,I54,J54,K54,L54,M54,N54,O54)</f>
        <v>1101004364AHN#0004</v>
      </c>
      <c r="B54" s="29" t="s">
        <v>161</v>
      </c>
      <c r="C54" s="30">
        <v>44473</v>
      </c>
      <c r="D54" s="30">
        <v>44837</v>
      </c>
      <c r="E54" s="29" t="str">
        <f t="shared" si="0"/>
        <v>364D</v>
      </c>
      <c r="F54" s="29" t="s">
        <v>50</v>
      </c>
      <c r="G54" s="29" t="s">
        <v>79</v>
      </c>
      <c r="H54" s="29" t="s">
        <v>80</v>
      </c>
      <c r="I54" s="29" t="s">
        <v>81</v>
      </c>
      <c r="J54" s="29" t="b">
        <v>0</v>
      </c>
      <c r="M54" s="29" t="b">
        <v>0</v>
      </c>
      <c r="O54" s="29" t="b">
        <v>1</v>
      </c>
      <c r="Q54" s="29" t="str">
        <f t="shared" si="1"/>
        <v>1101004</v>
      </c>
      <c r="R54" s="30" t="str">
        <f t="shared" si="2"/>
        <v>2021/10/04</v>
      </c>
    </row>
    <row r="55" spans="1:18" x14ac:dyDescent="0.25">
      <c r="A55" s="39" t="str">
        <f>_xll.qlSchedule(B55,C55,D55,E55,F55,G55,H55,I55,J55,K55,L55,M55,N55,O55)</f>
        <v>1101004364APN#0004</v>
      </c>
      <c r="B55" s="29" t="s">
        <v>162</v>
      </c>
      <c r="C55" s="30">
        <v>44473</v>
      </c>
      <c r="D55" s="30">
        <v>44837</v>
      </c>
      <c r="E55" s="29" t="str">
        <f t="shared" si="0"/>
        <v>364D</v>
      </c>
      <c r="F55" s="29" t="s">
        <v>50</v>
      </c>
      <c r="G55" s="29" t="s">
        <v>79</v>
      </c>
      <c r="H55" s="29" t="s">
        <v>80</v>
      </c>
      <c r="I55" s="29" t="s">
        <v>81</v>
      </c>
      <c r="J55" s="29" t="b">
        <v>0</v>
      </c>
      <c r="M55" s="29" t="b">
        <v>0</v>
      </c>
      <c r="O55" s="29" t="b">
        <v>1</v>
      </c>
      <c r="Q55" s="29" t="str">
        <f t="shared" si="1"/>
        <v>1101004</v>
      </c>
      <c r="R55" s="30" t="str">
        <f t="shared" si="2"/>
        <v>2021/10/04</v>
      </c>
    </row>
    <row r="56" spans="1:18" x14ac:dyDescent="0.25">
      <c r="A56" s="39" t="str">
        <f>_xll.qlSchedule(B56,C56,D56,E56,F56,G56,H56,I56,J56,K56,L56,M56,N56,O56)</f>
        <v>1101104364AGN#0004</v>
      </c>
      <c r="B56" s="29" t="s">
        <v>163</v>
      </c>
      <c r="C56" s="30">
        <v>44504</v>
      </c>
      <c r="D56" s="30">
        <v>44868</v>
      </c>
      <c r="E56" s="29" t="str">
        <f t="shared" si="0"/>
        <v>364D</v>
      </c>
      <c r="F56" s="29" t="s">
        <v>50</v>
      </c>
      <c r="G56" s="29" t="s">
        <v>79</v>
      </c>
      <c r="H56" s="29" t="s">
        <v>80</v>
      </c>
      <c r="I56" s="29" t="s">
        <v>81</v>
      </c>
      <c r="J56" s="29" t="b">
        <v>0</v>
      </c>
      <c r="M56" s="29" t="b">
        <v>0</v>
      </c>
      <c r="O56" s="29" t="b">
        <v>1</v>
      </c>
      <c r="Q56" s="29" t="str">
        <f t="shared" si="1"/>
        <v>1101104</v>
      </c>
      <c r="R56" s="30" t="str">
        <f t="shared" si="2"/>
        <v>2021/11/04</v>
      </c>
    </row>
    <row r="57" spans="1:18" x14ac:dyDescent="0.25">
      <c r="A57" s="39" t="str">
        <f>_xll.qlSchedule(B57,C57,D57,E57,F57,G57,H57,I57,J57,K57,L57,M57,N57,O57)</f>
        <v>1101104364ALN#0004</v>
      </c>
      <c r="B57" s="29" t="s">
        <v>164</v>
      </c>
      <c r="C57" s="30">
        <v>44504</v>
      </c>
      <c r="D57" s="30">
        <v>44868</v>
      </c>
      <c r="E57" s="29" t="str">
        <f t="shared" si="0"/>
        <v>364D</v>
      </c>
      <c r="F57" s="29" t="s">
        <v>50</v>
      </c>
      <c r="G57" s="29" t="s">
        <v>79</v>
      </c>
      <c r="H57" s="29" t="s">
        <v>80</v>
      </c>
      <c r="I57" s="29" t="s">
        <v>81</v>
      </c>
      <c r="J57" s="29" t="b">
        <v>0</v>
      </c>
      <c r="M57" s="29" t="b">
        <v>0</v>
      </c>
      <c r="O57" s="29" t="b">
        <v>1</v>
      </c>
      <c r="Q57" s="29" t="str">
        <f t="shared" si="1"/>
        <v>1101104</v>
      </c>
      <c r="R57" s="30" t="str">
        <f t="shared" si="2"/>
        <v>2021/11/04</v>
      </c>
    </row>
    <row r="58" spans="1:18" x14ac:dyDescent="0.25">
      <c r="A58" s="39" t="str">
        <f>_xll.qlSchedule(B58,C58,D58,E58,F58,G58,H58,I58,J58,K58,L58,M58,N58,O58)</f>
        <v>1101206364AGN#0004</v>
      </c>
      <c r="B58" s="29" t="s">
        <v>165</v>
      </c>
      <c r="C58" s="30">
        <v>44536</v>
      </c>
      <c r="D58" s="30">
        <v>44900</v>
      </c>
      <c r="E58" s="29" t="str">
        <f t="shared" si="0"/>
        <v>364D</v>
      </c>
      <c r="F58" s="29" t="s">
        <v>50</v>
      </c>
      <c r="G58" s="29" t="s">
        <v>79</v>
      </c>
      <c r="H58" s="29" t="s">
        <v>80</v>
      </c>
      <c r="I58" s="29" t="s">
        <v>81</v>
      </c>
      <c r="J58" s="29" t="b">
        <v>0</v>
      </c>
      <c r="M58" s="29" t="b">
        <v>0</v>
      </c>
      <c r="O58" s="29" t="b">
        <v>1</v>
      </c>
      <c r="Q58" s="29" t="str">
        <f t="shared" si="1"/>
        <v>1101206</v>
      </c>
      <c r="R58" s="30" t="str">
        <f t="shared" si="2"/>
        <v>2021/12/06</v>
      </c>
    </row>
    <row r="66" spans="2:5" x14ac:dyDescent="0.25">
      <c r="B66" s="35" t="s">
        <v>107</v>
      </c>
      <c r="C66" s="57">
        <v>500000000</v>
      </c>
      <c r="D66" s="29">
        <v>500163802.64819998</v>
      </c>
      <c r="E66" s="29">
        <v>500109008.13</v>
      </c>
    </row>
    <row r="67" spans="2:5" x14ac:dyDescent="0.25">
      <c r="B67" s="29" t="s">
        <v>106</v>
      </c>
      <c r="C67" s="57">
        <v>500000000</v>
      </c>
      <c r="D67" s="29">
        <v>500114281.47960001</v>
      </c>
      <c r="E67" s="29">
        <v>500060034.89999998</v>
      </c>
    </row>
    <row r="68" spans="2:5" x14ac:dyDescent="0.25">
      <c r="B68" s="29" t="s">
        <v>159</v>
      </c>
      <c r="C68" s="57">
        <v>500000000</v>
      </c>
      <c r="D68" s="29">
        <v>499064311.59100002</v>
      </c>
      <c r="E68" s="29">
        <v>498495818.44</v>
      </c>
    </row>
    <row r="69" spans="2:5" x14ac:dyDescent="0.25">
      <c r="B69" s="29" t="s">
        <v>158</v>
      </c>
      <c r="C69" s="57">
        <v>500000000</v>
      </c>
      <c r="D69" s="29">
        <v>499014518.06590003</v>
      </c>
      <c r="E69" s="29">
        <v>498457394.77999997</v>
      </c>
    </row>
    <row r="70" spans="2:5" x14ac:dyDescent="0.25">
      <c r="B70" s="29" t="s">
        <v>152</v>
      </c>
      <c r="C70" s="57">
        <v>500000000</v>
      </c>
      <c r="D70" s="29">
        <v>499111296.63020003</v>
      </c>
      <c r="E70" s="29">
        <v>498500063.75</v>
      </c>
    </row>
    <row r="71" spans="2:5" x14ac:dyDescent="0.25">
      <c r="B71" s="29" t="s">
        <v>147</v>
      </c>
      <c r="C71" s="57">
        <v>115000000</v>
      </c>
      <c r="D71" s="29">
        <v>114843477.5971</v>
      </c>
      <c r="E71" s="29">
        <v>114684746.09</v>
      </c>
    </row>
    <row r="72" spans="2:5" x14ac:dyDescent="0.25">
      <c r="B72" s="29" t="s">
        <v>142</v>
      </c>
      <c r="C72" s="57">
        <v>500000000</v>
      </c>
      <c r="D72" s="29">
        <v>499466105.20130002</v>
      </c>
      <c r="E72" s="29">
        <v>498726790.13</v>
      </c>
    </row>
    <row r="73" spans="2:5" x14ac:dyDescent="0.25">
      <c r="B73" s="29" t="s">
        <v>100</v>
      </c>
      <c r="C73" s="57">
        <v>500000000</v>
      </c>
      <c r="D73" s="29">
        <v>500078663.3768</v>
      </c>
      <c r="E73" s="29">
        <v>499976197.62</v>
      </c>
    </row>
    <row r="74" spans="2:5" x14ac:dyDescent="0.25">
      <c r="B74" s="29" t="s">
        <v>99</v>
      </c>
      <c r="C74" s="57">
        <v>500000000</v>
      </c>
      <c r="D74" s="29">
        <v>500053812.71530002</v>
      </c>
      <c r="E74" s="29">
        <v>499952853.81</v>
      </c>
    </row>
    <row r="75" spans="2:5" x14ac:dyDescent="0.25">
      <c r="B75" s="29" t="s">
        <v>98</v>
      </c>
      <c r="C75" s="57">
        <v>500000000</v>
      </c>
      <c r="D75" s="29">
        <v>500028961.05690002</v>
      </c>
      <c r="E75" s="29">
        <v>499929509</v>
      </c>
    </row>
    <row r="76" spans="2:5" x14ac:dyDescent="0.25">
      <c r="B76" s="29" t="s">
        <v>97</v>
      </c>
      <c r="C76" s="57">
        <v>500000000</v>
      </c>
      <c r="D76" s="29">
        <v>500019021.19099998</v>
      </c>
      <c r="E76" s="29">
        <v>499920171.88</v>
      </c>
    </row>
    <row r="77" spans="2:5" x14ac:dyDescent="0.25">
      <c r="B77" s="29" t="s">
        <v>165</v>
      </c>
      <c r="C77" s="57">
        <v>500000000</v>
      </c>
      <c r="D77" s="29">
        <v>500004110.39529997</v>
      </c>
      <c r="E77" s="29">
        <v>499906165.19</v>
      </c>
    </row>
    <row r="78" spans="2:5" x14ac:dyDescent="0.25">
      <c r="B78" s="29" t="s">
        <v>90</v>
      </c>
      <c r="C78" s="57">
        <v>500000000</v>
      </c>
      <c r="D78" s="29">
        <v>499993362.81889999</v>
      </c>
      <c r="E78" s="29">
        <v>499764047.75</v>
      </c>
    </row>
    <row r="79" spans="2:5" x14ac:dyDescent="0.25">
      <c r="B79" s="29" t="s">
        <v>89</v>
      </c>
      <c r="C79" s="57">
        <v>1000000000</v>
      </c>
      <c r="D79" s="29">
        <v>999937017.97130001</v>
      </c>
      <c r="E79" s="29">
        <v>999485785.09000003</v>
      </c>
    </row>
    <row r="80" spans="2:5" x14ac:dyDescent="0.25">
      <c r="B80" s="29" t="s">
        <v>164</v>
      </c>
      <c r="C80" s="57">
        <v>1000000000</v>
      </c>
      <c r="D80" s="29">
        <v>999867426.04190004</v>
      </c>
      <c r="E80" s="29">
        <v>999426549.33000004</v>
      </c>
    </row>
    <row r="81" spans="2:5" x14ac:dyDescent="0.25">
      <c r="B81" s="29" t="s">
        <v>163</v>
      </c>
      <c r="C81" s="57">
        <v>1000000000</v>
      </c>
      <c r="D81" s="29">
        <v>999807775.24689996</v>
      </c>
      <c r="E81" s="29">
        <v>999375775.25</v>
      </c>
    </row>
    <row r="82" spans="2:5" x14ac:dyDescent="0.25">
      <c r="B82" s="29" t="s">
        <v>162</v>
      </c>
      <c r="C82" s="57">
        <v>415000000</v>
      </c>
      <c r="D82" s="29">
        <v>414872496.52109998</v>
      </c>
      <c r="E82" s="29">
        <v>414613491.04000002</v>
      </c>
    </row>
    <row r="83" spans="2:5" x14ac:dyDescent="0.25">
      <c r="B83" s="29" t="s">
        <v>88</v>
      </c>
      <c r="C83" s="57">
        <v>500000000</v>
      </c>
      <c r="D83" s="29">
        <v>499831466.89219999</v>
      </c>
      <c r="E83" s="29">
        <v>499522905.25</v>
      </c>
    </row>
    <row r="84" spans="2:5" x14ac:dyDescent="0.25">
      <c r="B84" s="29" t="s">
        <v>161</v>
      </c>
      <c r="C84" s="57">
        <v>500000000</v>
      </c>
      <c r="D84" s="29">
        <v>499806608.98890001</v>
      </c>
      <c r="E84" s="29">
        <v>499503869.25999999</v>
      </c>
    </row>
    <row r="85" spans="2:5" x14ac:dyDescent="0.25">
      <c r="B85" s="29" t="s">
        <v>87</v>
      </c>
      <c r="C85" s="57">
        <v>440000000</v>
      </c>
      <c r="D85" s="29">
        <v>439813304.20590001</v>
      </c>
      <c r="E85" s="29">
        <v>439479567.22000003</v>
      </c>
    </row>
    <row r="86" spans="2:5" x14ac:dyDescent="0.25">
      <c r="B86" s="29" t="s">
        <v>86</v>
      </c>
      <c r="C86" s="57">
        <v>1000000000</v>
      </c>
      <c r="D86" s="29">
        <v>999545858.32620001</v>
      </c>
      <c r="E86" s="29">
        <v>998796652.85000002</v>
      </c>
    </row>
    <row r="87" spans="2:5" x14ac:dyDescent="0.25">
      <c r="B87" s="29" t="s">
        <v>85</v>
      </c>
      <c r="C87" s="57">
        <v>1000000000</v>
      </c>
      <c r="D87" s="29">
        <v>999506081.43869996</v>
      </c>
      <c r="E87" s="29">
        <v>998769259.51999998</v>
      </c>
    </row>
    <row r="88" spans="2:5" x14ac:dyDescent="0.25">
      <c r="B88" s="29" t="s">
        <v>160</v>
      </c>
      <c r="C88" s="57">
        <v>1000000000</v>
      </c>
      <c r="D88" s="29">
        <v>999476250.01950002</v>
      </c>
      <c r="E88" s="29">
        <v>998748715.76999998</v>
      </c>
    </row>
    <row r="89" spans="2:5" x14ac:dyDescent="0.25">
      <c r="B89" s="29" t="s">
        <v>84</v>
      </c>
      <c r="C89" s="57">
        <v>500000000</v>
      </c>
      <c r="D89" s="29">
        <v>499803900.29680002</v>
      </c>
      <c r="E89" s="29">
        <v>499333900.30000001</v>
      </c>
    </row>
    <row r="90" spans="2:5" x14ac:dyDescent="0.25">
      <c r="B90" s="29" t="s">
        <v>83</v>
      </c>
      <c r="C90" s="57">
        <v>500000000</v>
      </c>
      <c r="D90" s="29">
        <v>499779036.34530002</v>
      </c>
      <c r="E90" s="29">
        <v>499319036.35000002</v>
      </c>
    </row>
    <row r="91" spans="2:5" x14ac:dyDescent="0.25">
      <c r="B91" s="29" t="s">
        <v>157</v>
      </c>
      <c r="C91" s="57">
        <v>1000000000</v>
      </c>
      <c r="D91" s="29">
        <v>999478742.77129996</v>
      </c>
      <c r="E91" s="29">
        <v>998466140.02999997</v>
      </c>
    </row>
    <row r="92" spans="2:5" x14ac:dyDescent="0.25">
      <c r="B92" s="29" t="s">
        <v>156</v>
      </c>
      <c r="C92" s="57">
        <v>1000000000</v>
      </c>
      <c r="D92" s="29">
        <v>999458848.83109999</v>
      </c>
      <c r="E92" s="29">
        <v>998455889.92999995</v>
      </c>
    </row>
    <row r="93" spans="2:5" x14ac:dyDescent="0.25">
      <c r="B93" s="29" t="s">
        <v>155</v>
      </c>
      <c r="C93" s="57">
        <v>1000000000</v>
      </c>
      <c r="D93" s="29">
        <v>999438955.88839996</v>
      </c>
      <c r="E93" s="29">
        <v>998445640.82000005</v>
      </c>
    </row>
    <row r="94" spans="2:5" x14ac:dyDescent="0.25">
      <c r="B94" s="29" t="s">
        <v>154</v>
      </c>
      <c r="C94" s="57">
        <v>1000000000</v>
      </c>
      <c r="D94" s="29">
        <v>999399170.00279999</v>
      </c>
      <c r="E94" s="29">
        <v>998425142.61000001</v>
      </c>
    </row>
    <row r="95" spans="2:5" x14ac:dyDescent="0.25">
      <c r="B95" s="29" t="s">
        <v>153</v>
      </c>
      <c r="C95" s="57">
        <v>1000000000</v>
      </c>
      <c r="D95" s="29">
        <v>999379277.05999994</v>
      </c>
      <c r="E95" s="29">
        <v>998414893.5</v>
      </c>
    </row>
    <row r="96" spans="2:5" x14ac:dyDescent="0.25">
      <c r="B96" s="29" t="s">
        <v>151</v>
      </c>
      <c r="C96" s="57">
        <v>1000000000</v>
      </c>
      <c r="D96" s="29">
        <v>999804500.12730002</v>
      </c>
      <c r="E96" s="29">
        <v>998670253.54999995</v>
      </c>
    </row>
    <row r="97" spans="2:5" x14ac:dyDescent="0.25">
      <c r="B97" s="29" t="s">
        <v>150</v>
      </c>
      <c r="C97" s="57">
        <v>1000000000</v>
      </c>
      <c r="D97" s="29">
        <v>999754336.83220005</v>
      </c>
      <c r="E97" s="29">
        <v>998648446.41999996</v>
      </c>
    </row>
    <row r="98" spans="2:5" x14ac:dyDescent="0.25">
      <c r="B98" s="29" t="s">
        <v>149</v>
      </c>
      <c r="C98" s="57">
        <v>1000000000</v>
      </c>
      <c r="D98" s="29">
        <v>999724239.2543</v>
      </c>
      <c r="E98" s="29">
        <v>998635362.53999996</v>
      </c>
    </row>
    <row r="99" spans="2:5" x14ac:dyDescent="0.25">
      <c r="B99" s="29" t="s">
        <v>148</v>
      </c>
      <c r="C99" s="57">
        <v>1000000000</v>
      </c>
      <c r="D99" s="29">
        <v>999704173.53709996</v>
      </c>
      <c r="E99" s="29">
        <v>998626639.28999996</v>
      </c>
    </row>
    <row r="100" spans="2:5" x14ac:dyDescent="0.25">
      <c r="B100" s="29" t="s">
        <v>146</v>
      </c>
      <c r="C100" s="57">
        <v>2000000000</v>
      </c>
      <c r="D100" s="29">
        <v>2000527533.0014999</v>
      </c>
      <c r="E100" s="29">
        <v>1998075806.97</v>
      </c>
    </row>
    <row r="101" spans="2:5" x14ac:dyDescent="0.25">
      <c r="B101" s="29" t="s">
        <v>145</v>
      </c>
      <c r="C101" s="57">
        <v>2000000000</v>
      </c>
      <c r="D101" s="29">
        <v>2000467793.2219</v>
      </c>
      <c r="E101" s="29">
        <v>1998055190.48</v>
      </c>
    </row>
    <row r="102" spans="2:5" x14ac:dyDescent="0.25">
      <c r="B102" s="29" t="s">
        <v>144</v>
      </c>
      <c r="C102" s="57">
        <v>1000000000</v>
      </c>
      <c r="D102" s="29">
        <v>1000204027.2203</v>
      </c>
      <c r="E102" s="29">
        <v>999017287.49000001</v>
      </c>
    </row>
    <row r="103" spans="2:5" x14ac:dyDescent="0.25">
      <c r="B103" s="29" t="s">
        <v>143</v>
      </c>
      <c r="C103" s="57">
        <v>1000000000</v>
      </c>
      <c r="D103" s="29">
        <v>1000184113.2948999</v>
      </c>
      <c r="E103" s="29">
        <v>999010414.65999997</v>
      </c>
    </row>
    <row r="104" spans="2:5" x14ac:dyDescent="0.25">
      <c r="B104" s="29" t="s">
        <v>136</v>
      </c>
      <c r="C104" s="57">
        <v>845000000</v>
      </c>
      <c r="D104" s="29">
        <v>850547482.90359998</v>
      </c>
      <c r="E104" s="29">
        <v>844868735.63999999</v>
      </c>
    </row>
    <row r="105" spans="2:5" x14ac:dyDescent="0.25">
      <c r="B105" s="29" t="s">
        <v>141</v>
      </c>
      <c r="C105" s="57">
        <v>1000000000</v>
      </c>
      <c r="D105" s="29">
        <v>1000711758.0448999</v>
      </c>
      <c r="E105" s="29">
        <v>999363538.87</v>
      </c>
    </row>
    <row r="106" spans="2:5" x14ac:dyDescent="0.25">
      <c r="B106" s="29" t="s">
        <v>140</v>
      </c>
      <c r="C106" s="57">
        <v>1500000000</v>
      </c>
      <c r="D106" s="29">
        <v>1501022688.1937001</v>
      </c>
      <c r="E106" s="29">
        <v>1499033153.95</v>
      </c>
    </row>
    <row r="107" spans="2:5" x14ac:dyDescent="0.25">
      <c r="B107" s="29" t="s">
        <v>139</v>
      </c>
      <c r="C107" s="57">
        <v>1500000000</v>
      </c>
      <c r="D107" s="29">
        <v>1500992722.2779</v>
      </c>
      <c r="E107" s="29">
        <v>1499025051.05</v>
      </c>
    </row>
    <row r="108" spans="2:5" x14ac:dyDescent="0.25">
      <c r="B108" s="29" t="s">
        <v>138</v>
      </c>
      <c r="C108" s="57">
        <v>80000000</v>
      </c>
      <c r="D108" s="29">
        <v>80086488.628399998</v>
      </c>
      <c r="E108" s="29">
        <v>79969837.670000002</v>
      </c>
    </row>
    <row r="109" spans="2:5" x14ac:dyDescent="0.25">
      <c r="B109" s="29" t="s">
        <v>137</v>
      </c>
      <c r="C109" s="57">
        <v>3000000000</v>
      </c>
      <c r="D109" s="29">
        <v>3003153626.7507</v>
      </c>
      <c r="E109" s="29">
        <v>2998852941.8200002</v>
      </c>
    </row>
    <row r="110" spans="2:5" x14ac:dyDescent="0.25">
      <c r="B110" s="29" t="s">
        <v>175</v>
      </c>
      <c r="C110" s="57">
        <v>1400000000</v>
      </c>
      <c r="D110" s="29">
        <v>1400000000.3150001</v>
      </c>
      <c r="E110" s="29">
        <v>1400000000.3099999</v>
      </c>
    </row>
    <row r="111" spans="2:5" x14ac:dyDescent="0.25">
      <c r="B111" s="29" t="s">
        <v>174</v>
      </c>
      <c r="C111" s="57">
        <v>1300000000</v>
      </c>
      <c r="D111" s="29">
        <v>1300002731.7021</v>
      </c>
      <c r="E111" s="29">
        <v>1300002731.7</v>
      </c>
    </row>
    <row r="112" spans="2:5" x14ac:dyDescent="0.25">
      <c r="B112" s="29" t="s">
        <v>173</v>
      </c>
      <c r="C112" s="57">
        <v>1500000000</v>
      </c>
      <c r="D112" s="29">
        <v>1500068485.1842999</v>
      </c>
      <c r="E112" s="29">
        <v>1500012594.77</v>
      </c>
    </row>
    <row r="113" spans="2:5" x14ac:dyDescent="0.25">
      <c r="B113" s="29" t="s">
        <v>172</v>
      </c>
      <c r="C113" s="57">
        <v>1900000000</v>
      </c>
      <c r="D113" s="29">
        <v>1900108435.6549001</v>
      </c>
      <c r="E113" s="29">
        <v>1900019942.5</v>
      </c>
    </row>
    <row r="114" spans="2:5" x14ac:dyDescent="0.25">
      <c r="B114" s="29" t="s">
        <v>171</v>
      </c>
      <c r="C114" s="57">
        <v>2550000000</v>
      </c>
      <c r="D114" s="29">
        <v>2550174639.0085001</v>
      </c>
      <c r="E114" s="29">
        <v>2550032118.46</v>
      </c>
    </row>
    <row r="115" spans="2:5" x14ac:dyDescent="0.25">
      <c r="B115" s="29" t="s">
        <v>105</v>
      </c>
      <c r="C115" s="57">
        <v>1650000000</v>
      </c>
      <c r="D115" s="29">
        <v>1650207175.4215</v>
      </c>
      <c r="E115" s="29">
        <v>1650038106.9300001</v>
      </c>
    </row>
    <row r="116" spans="2:5" x14ac:dyDescent="0.25">
      <c r="B116" s="29" t="s">
        <v>104</v>
      </c>
      <c r="C116" s="57">
        <v>1600000000</v>
      </c>
      <c r="D116" s="29">
        <v>1600219162.1327</v>
      </c>
      <c r="E116" s="29">
        <v>1600040312.8199999</v>
      </c>
    </row>
    <row r="117" spans="2:5" x14ac:dyDescent="0.25">
      <c r="B117" s="29" t="s">
        <v>103</v>
      </c>
      <c r="C117" s="57">
        <v>1300000000</v>
      </c>
      <c r="D117" s="29">
        <v>1300192909.0037</v>
      </c>
      <c r="E117" s="29">
        <v>1300035484.3499999</v>
      </c>
    </row>
    <row r="118" spans="2:5" x14ac:dyDescent="0.25">
      <c r="B118" s="29" t="s">
        <v>102</v>
      </c>
      <c r="C118" s="57">
        <v>1300000000</v>
      </c>
      <c r="D118" s="29">
        <v>1300195641.6041999</v>
      </c>
      <c r="E118" s="29">
        <v>1300038216.95</v>
      </c>
    </row>
    <row r="119" spans="2:5" x14ac:dyDescent="0.25">
      <c r="B119" s="29" t="s">
        <v>101</v>
      </c>
      <c r="C119" s="57">
        <v>800000000</v>
      </c>
      <c r="D119" s="29">
        <v>800182643.97210002</v>
      </c>
      <c r="E119" s="29">
        <v>800033602.88</v>
      </c>
    </row>
    <row r="120" spans="2:5" x14ac:dyDescent="0.25">
      <c r="B120" s="29" t="s">
        <v>82</v>
      </c>
      <c r="C120" s="57">
        <v>2000000000</v>
      </c>
      <c r="D120" s="29">
        <v>2004152253.5892</v>
      </c>
      <c r="E120" s="29">
        <v>2000032801.53</v>
      </c>
    </row>
    <row r="121" spans="2:5" x14ac:dyDescent="0.25">
      <c r="B121" s="29" t="s">
        <v>96</v>
      </c>
      <c r="C121" s="57">
        <v>900000000</v>
      </c>
      <c r="D121" s="29">
        <v>900229314.00119996</v>
      </c>
      <c r="E121" s="29">
        <v>900011341.39999998</v>
      </c>
    </row>
    <row r="122" spans="2:5" x14ac:dyDescent="0.25">
      <c r="B122" s="29" t="s">
        <v>95</v>
      </c>
      <c r="C122" s="57">
        <v>500000000</v>
      </c>
      <c r="D122" s="29">
        <v>500128903.77579999</v>
      </c>
      <c r="E122" s="29">
        <v>500003150.35000002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0"/>
  <sheetViews>
    <sheetView workbookViewId="0">
      <selection activeCell="L12" sqref="L12"/>
    </sheetView>
  </sheetViews>
  <sheetFormatPr defaultRowHeight="15.75" x14ac:dyDescent="0.25"/>
  <cols>
    <col min="1" max="1" width="14.75" style="29" customWidth="1"/>
    <col min="2" max="2" width="11.375" style="29" customWidth="1"/>
    <col min="3" max="5" width="11.5" style="29" customWidth="1"/>
    <col min="6" max="6" width="12.25" style="29" customWidth="1"/>
    <col min="7" max="7" width="21" style="29" customWidth="1"/>
    <col min="8" max="11" width="9" style="29"/>
    <col min="12" max="12" width="12.625" style="29" customWidth="1"/>
    <col min="13" max="16384" width="9" style="29"/>
  </cols>
  <sheetData>
    <row r="1" spans="1:16" x14ac:dyDescent="0.25">
      <c r="B1" s="5" t="s">
        <v>2</v>
      </c>
      <c r="C1" s="5" t="s">
        <v>65</v>
      </c>
      <c r="D1" s="5" t="s">
        <v>3</v>
      </c>
      <c r="E1" s="5" t="s">
        <v>66</v>
      </c>
      <c r="F1" s="5" t="s">
        <v>67</v>
      </c>
      <c r="G1" s="5" t="s">
        <v>68</v>
      </c>
      <c r="H1" s="5" t="s">
        <v>69</v>
      </c>
      <c r="I1" s="5" t="s">
        <v>10</v>
      </c>
      <c r="J1" s="5" t="s">
        <v>70</v>
      </c>
      <c r="K1" s="5" t="s">
        <v>71</v>
      </c>
      <c r="L1" s="5" t="s">
        <v>72</v>
      </c>
      <c r="M1" s="5" t="s">
        <v>73</v>
      </c>
      <c r="N1" s="5" t="s">
        <v>5</v>
      </c>
      <c r="O1" s="5" t="s">
        <v>6</v>
      </c>
      <c r="P1" s="5" t="s">
        <v>7</v>
      </c>
    </row>
    <row r="2" spans="1:16" x14ac:dyDescent="0.25">
      <c r="A2" s="39" t="str">
        <f>_xll.qlFixedRateBond(B2,C2,D2,E2,F2,G2,H2,I2,J2,K2,L2,M2,N2,O2,P2)</f>
        <v>obj_00082#0006</v>
      </c>
      <c r="D2" s="29" t="s">
        <v>115</v>
      </c>
      <c r="E2" s="29">
        <v>0</v>
      </c>
      <c r="F2" s="29">
        <v>2000000000</v>
      </c>
      <c r="G2" s="39" t="str">
        <f>Schedule!A2</f>
        <v>1100104364AUN#0004</v>
      </c>
      <c r="H2" s="29">
        <v>2.0999999999999999E-3</v>
      </c>
      <c r="I2" s="29" t="s">
        <v>181</v>
      </c>
      <c r="K2" s="29">
        <v>100</v>
      </c>
      <c r="L2" s="30">
        <f>Schedule!C2</f>
        <v>44200</v>
      </c>
      <c r="M2" s="29" t="s">
        <v>50</v>
      </c>
      <c r="N2" s="29" t="b">
        <v>0</v>
      </c>
      <c r="P2" s="29" t="b">
        <v>1</v>
      </c>
    </row>
    <row r="3" spans="1:16" x14ac:dyDescent="0.25">
      <c r="A3" s="39" t="str">
        <f>_xll.qlFixedRateBond(B3,C3,D3,E3,F3,G3,H3,I3,J3,K3,L3,M3,N3,O3,P3)</f>
        <v>obj_0006a#0006</v>
      </c>
      <c r="D3" s="29" t="s">
        <v>115</v>
      </c>
      <c r="E3" s="29">
        <v>0</v>
      </c>
      <c r="F3" s="29">
        <v>500000000</v>
      </c>
      <c r="G3" s="39" t="str">
        <f>Schedule!A3</f>
        <v>1100804364AHN#0004</v>
      </c>
      <c r="H3" s="29">
        <v>2.3E-3</v>
      </c>
      <c r="I3" s="29" t="s">
        <v>181</v>
      </c>
      <c r="K3" s="29">
        <v>100</v>
      </c>
      <c r="L3" s="30">
        <f>Schedule!C3</f>
        <v>44412</v>
      </c>
      <c r="M3" s="29" t="s">
        <v>50</v>
      </c>
      <c r="N3" s="29" t="b">
        <v>0</v>
      </c>
      <c r="P3" s="29" t="b">
        <v>1</v>
      </c>
    </row>
    <row r="4" spans="1:16" x14ac:dyDescent="0.25">
      <c r="A4" s="39" t="str">
        <f>_xll.qlFixedRateBond(B4,C4,D4,E4,F4,G4,H4,I4,J4,K4,L4,M4,N4,O4,P4)</f>
        <v>obj_0006b#0006</v>
      </c>
      <c r="D4" s="29" t="s">
        <v>115</v>
      </c>
      <c r="E4" s="29">
        <v>0</v>
      </c>
      <c r="F4" s="29">
        <v>500000000</v>
      </c>
      <c r="G4" s="39" t="str">
        <f>Schedule!A4</f>
        <v>1100804364AMN#0004</v>
      </c>
      <c r="H4" s="29">
        <v>2.3500000000000001E-3</v>
      </c>
      <c r="I4" s="29" t="s">
        <v>180</v>
      </c>
      <c r="K4" s="29">
        <v>100</v>
      </c>
      <c r="L4" s="30">
        <f>Schedule!C4</f>
        <v>44412</v>
      </c>
      <c r="M4" s="29" t="s">
        <v>50</v>
      </c>
      <c r="N4" s="29" t="b">
        <v>0</v>
      </c>
      <c r="P4" s="29" t="b">
        <v>1</v>
      </c>
    </row>
    <row r="5" spans="1:16" x14ac:dyDescent="0.25">
      <c r="A5" s="39" t="str">
        <f>_xll.qlFixedRateBond(B5,C5,D5,E5,F5,G5,H5,I5,J5,K5,L5,M5,N5,O5,P5)</f>
        <v>obj_00076#0006</v>
      </c>
      <c r="D5" s="29" t="s">
        <v>115</v>
      </c>
      <c r="E5" s="29">
        <v>0</v>
      </c>
      <c r="F5" s="29">
        <v>1000000000</v>
      </c>
      <c r="G5" s="39" t="str">
        <f>Schedule!A5</f>
        <v>1100906364ABN#0004</v>
      </c>
      <c r="H5" s="29">
        <v>2.3800000000000002E-3</v>
      </c>
      <c r="I5" s="29" t="s">
        <v>180</v>
      </c>
      <c r="K5" s="29">
        <v>100</v>
      </c>
      <c r="L5" s="30">
        <f>Schedule!C5</f>
        <v>44445</v>
      </c>
      <c r="M5" s="29" t="s">
        <v>50</v>
      </c>
      <c r="N5" s="29" t="b">
        <v>0</v>
      </c>
      <c r="P5" s="29" t="b">
        <v>1</v>
      </c>
    </row>
    <row r="6" spans="1:16" x14ac:dyDescent="0.25">
      <c r="A6" s="39" t="str">
        <f>_xll.qlFixedRateBond(B6,C6,D6,E6,F6,G6,H6,I6,J6,K6,L6,M6,N6,O6,P6)</f>
        <v>obj_00075#0006</v>
      </c>
      <c r="D6" s="29" t="s">
        <v>115</v>
      </c>
      <c r="E6" s="29">
        <v>0</v>
      </c>
      <c r="F6" s="29">
        <v>1000000000</v>
      </c>
      <c r="G6" s="39" t="str">
        <f>Schedule!A6</f>
        <v>1100906364AFN#0004</v>
      </c>
      <c r="H6" s="29">
        <v>2.4199999999999998E-3</v>
      </c>
      <c r="I6" s="29" t="s">
        <v>180</v>
      </c>
      <c r="K6" s="29">
        <v>100</v>
      </c>
      <c r="L6" s="30">
        <f>Schedule!C6</f>
        <v>44445</v>
      </c>
      <c r="M6" s="29" t="s">
        <v>50</v>
      </c>
      <c r="N6" s="29" t="b">
        <v>0</v>
      </c>
      <c r="P6" s="29" t="b">
        <v>1</v>
      </c>
    </row>
    <row r="7" spans="1:16" x14ac:dyDescent="0.25">
      <c r="A7" s="39" t="str">
        <f>_xll.qlFixedRateBond(B7,C7,D7,E7,F7,G7,H7,I7,J7,K7,L7,M7,N7,O7,P7)</f>
        <v>obj_00070#0006</v>
      </c>
      <c r="D7" s="29" t="s">
        <v>115</v>
      </c>
      <c r="E7" s="29">
        <v>0</v>
      </c>
      <c r="F7" s="29">
        <v>440000000</v>
      </c>
      <c r="G7" s="39" t="str">
        <f>Schedule!A7</f>
        <v>1100906364AIN#0004</v>
      </c>
      <c r="H7" s="29">
        <v>2.4499999999999999E-3</v>
      </c>
      <c r="I7" s="29" t="s">
        <v>180</v>
      </c>
      <c r="K7" s="29">
        <v>100</v>
      </c>
      <c r="L7" s="30">
        <f>Schedule!C7</f>
        <v>44445</v>
      </c>
      <c r="M7" s="29" t="s">
        <v>50</v>
      </c>
      <c r="N7" s="29" t="b">
        <v>0</v>
      </c>
      <c r="P7" s="29" t="b">
        <v>1</v>
      </c>
    </row>
    <row r="8" spans="1:16" x14ac:dyDescent="0.25">
      <c r="A8" s="39" t="str">
        <f>_xll.qlFixedRateBond(B8,C8,D8,E8,F8,G8,H8,I8,J8,K8,L8,M8,N8,O8,P8)</f>
        <v>obj_0007a#0006</v>
      </c>
      <c r="D8" s="29" t="s">
        <v>115</v>
      </c>
      <c r="E8" s="29">
        <v>0</v>
      </c>
      <c r="F8" s="29">
        <v>500000000</v>
      </c>
      <c r="G8" s="39" t="str">
        <f>Schedule!A8</f>
        <v>1101004364AMN#0004</v>
      </c>
      <c r="H8" s="29">
        <v>2.65E-3</v>
      </c>
      <c r="I8" s="29" t="s">
        <v>180</v>
      </c>
      <c r="K8" s="29">
        <v>100</v>
      </c>
      <c r="L8" s="30">
        <f>Schedule!C8</f>
        <v>44473</v>
      </c>
      <c r="M8" s="29" t="s">
        <v>50</v>
      </c>
      <c r="N8" s="29" t="b">
        <v>0</v>
      </c>
      <c r="P8" s="29" t="b">
        <v>1</v>
      </c>
    </row>
    <row r="9" spans="1:16" x14ac:dyDescent="0.25">
      <c r="A9" s="39" t="str">
        <f>_xll.qlFixedRateBond(B9,C9,D9,E9,F9,G9,H9,I9,J9,K9,L9,M9,N9,O9,P9)</f>
        <v>obj_00071#0006</v>
      </c>
      <c r="D9" s="29" t="s">
        <v>115</v>
      </c>
      <c r="E9" s="29">
        <v>0</v>
      </c>
      <c r="F9" s="29">
        <v>1000000000</v>
      </c>
      <c r="G9" s="39" t="str">
        <f>Schedule!A9</f>
        <v>1101104364ARN#0004</v>
      </c>
      <c r="H9" s="29">
        <v>3.0500000000000002E-3</v>
      </c>
      <c r="I9" s="29" t="s">
        <v>180</v>
      </c>
      <c r="K9" s="29">
        <v>100</v>
      </c>
      <c r="L9" s="30">
        <f>Schedule!C9</f>
        <v>44504</v>
      </c>
      <c r="M9" s="29" t="s">
        <v>50</v>
      </c>
      <c r="N9" s="29" t="b">
        <v>0</v>
      </c>
      <c r="P9" s="29" t="b">
        <v>1</v>
      </c>
    </row>
    <row r="10" spans="1:16" x14ac:dyDescent="0.25">
      <c r="A10" s="39" t="str">
        <f>_xll.qlFixedRateBond(B10,C10,D10,E10,F10,G10,H10,I10,J10,K10,L10,M10,N10,O10,P10)</f>
        <v>obj_0007c#0006</v>
      </c>
      <c r="D10" s="29" t="s">
        <v>115</v>
      </c>
      <c r="E10" s="29">
        <v>0</v>
      </c>
      <c r="F10" s="29">
        <v>500000000</v>
      </c>
      <c r="G10" s="39" t="str">
        <f>Schedule!A10</f>
        <v>1101104364AWN#0004</v>
      </c>
      <c r="H10" s="29">
        <v>3.0999999999999999E-3</v>
      </c>
      <c r="I10" s="29" t="s">
        <v>180</v>
      </c>
      <c r="K10" s="29">
        <v>100</v>
      </c>
      <c r="L10" s="30">
        <f>Schedule!C10</f>
        <v>44504</v>
      </c>
      <c r="M10" s="29" t="s">
        <v>50</v>
      </c>
      <c r="N10" s="29" t="b">
        <v>0</v>
      </c>
      <c r="P10" s="29" t="b">
        <v>1</v>
      </c>
    </row>
    <row r="11" spans="1:16" x14ac:dyDescent="0.25">
      <c r="A11" s="39" t="str">
        <f>_xll.qlFixedRateBond(B11,C11,D11,E11,F11,G11,H11,I11,J11,K11,L11,M11,N11,O11,P11)</f>
        <v>obj_0007e#0006</v>
      </c>
      <c r="D11" s="29" t="s">
        <v>115</v>
      </c>
      <c r="E11" s="29">
        <v>0</v>
      </c>
      <c r="F11" s="29">
        <v>900000000</v>
      </c>
      <c r="G11" s="39" t="str">
        <f>Schedule!A11</f>
        <v>110120202811N#0004</v>
      </c>
      <c r="H11" s="29">
        <v>3.3999999999999998E-3</v>
      </c>
      <c r="I11" s="29" t="s">
        <v>180</v>
      </c>
      <c r="K11" s="29">
        <v>100</v>
      </c>
      <c r="L11" s="30">
        <f>Schedule!C11</f>
        <v>44532</v>
      </c>
      <c r="M11" s="29" t="s">
        <v>50</v>
      </c>
      <c r="N11" s="29" t="b">
        <v>0</v>
      </c>
      <c r="P11" s="29" t="b">
        <v>1</v>
      </c>
    </row>
    <row r="12" spans="1:16" x14ac:dyDescent="0.25">
      <c r="A12" s="39" t="str">
        <f>_xll.qlFixedRateBond(B12,C12,D12,E12,F12,G12,H12,I12,J12,K12,L12,M12,N12,O12,P12)</f>
        <v>obj_00073#0006</v>
      </c>
      <c r="D12" s="29" t="s">
        <v>115</v>
      </c>
      <c r="E12" s="29">
        <v>0</v>
      </c>
      <c r="F12" s="29">
        <v>500000000</v>
      </c>
      <c r="G12" s="39" t="str">
        <f>Schedule!A12</f>
        <v>1101206364AJN#0004</v>
      </c>
      <c r="H12" s="29">
        <v>3.2799999999999999E-3</v>
      </c>
      <c r="I12" s="29" t="s">
        <v>180</v>
      </c>
      <c r="K12" s="29">
        <v>100</v>
      </c>
      <c r="L12" s="30">
        <f>Schedule!C12</f>
        <v>44536</v>
      </c>
      <c r="M12" s="29" t="s">
        <v>50</v>
      </c>
      <c r="N12" s="29" t="b">
        <v>0</v>
      </c>
      <c r="P12" s="29" t="b">
        <v>1</v>
      </c>
    </row>
    <row r="13" spans="1:16" x14ac:dyDescent="0.25">
      <c r="A13" s="39" t="str">
        <f>_xll.qlFixedRateBond(B13,C13,D13,E13,F13,G13,H13,I13,J13,K13,L13,M13,N13,O13,P13)</f>
        <v>obj_00068#0006</v>
      </c>
      <c r="D13" s="29" t="s">
        <v>115</v>
      </c>
      <c r="E13" s="29">
        <v>0</v>
      </c>
      <c r="F13" s="29">
        <v>500000000</v>
      </c>
      <c r="G13" s="39" t="str">
        <f>Schedule!A13</f>
        <v>1101206364ALN#0004</v>
      </c>
      <c r="H13" s="29">
        <v>3.3E-3</v>
      </c>
      <c r="I13" s="29" t="s">
        <v>180</v>
      </c>
      <c r="K13" s="29">
        <v>100</v>
      </c>
      <c r="L13" s="30">
        <f>Schedule!C13</f>
        <v>44536</v>
      </c>
      <c r="M13" s="29" t="s">
        <v>50</v>
      </c>
      <c r="N13" s="29" t="b">
        <v>0</v>
      </c>
      <c r="P13" s="29" t="b">
        <v>1</v>
      </c>
    </row>
    <row r="14" spans="1:16" x14ac:dyDescent="0.25">
      <c r="A14" s="39" t="str">
        <f>_xll.qlFixedRateBond(B14,C14,D14,E14,F14,G14,H14,I14,J14,K14,L14,M14,N14,O14,P14)</f>
        <v>obj_00078#0006</v>
      </c>
      <c r="D14" s="29" t="s">
        <v>115</v>
      </c>
      <c r="E14" s="29">
        <v>0</v>
      </c>
      <c r="F14" s="29">
        <v>500000000</v>
      </c>
      <c r="G14" s="39" t="str">
        <f>Schedule!A14</f>
        <v>1101206364AQN#0004</v>
      </c>
      <c r="H14" s="29">
        <v>3.3500000000000001E-3</v>
      </c>
      <c r="I14" s="29" t="s">
        <v>180</v>
      </c>
      <c r="K14" s="29">
        <v>100</v>
      </c>
      <c r="L14" s="30">
        <f>Schedule!C14</f>
        <v>44536</v>
      </c>
      <c r="M14" s="29" t="s">
        <v>50</v>
      </c>
      <c r="N14" s="29" t="b">
        <v>0</v>
      </c>
      <c r="P14" s="29" t="b">
        <v>1</v>
      </c>
    </row>
    <row r="15" spans="1:16" x14ac:dyDescent="0.25">
      <c r="A15" s="39" t="str">
        <f>_xll.qlFixedRateBond(B15,C15,D15,E15,F15,G15,H15,I15,J15,K15,L15,M15,N15,O15,P15)</f>
        <v>obj_00081#0006</v>
      </c>
      <c r="D15" s="29" t="s">
        <v>115</v>
      </c>
      <c r="E15" s="29">
        <v>0</v>
      </c>
      <c r="F15" s="29">
        <v>500000000</v>
      </c>
      <c r="G15" s="39" t="str">
        <f>Schedule!A15</f>
        <v>1101206364AVN#0004</v>
      </c>
      <c r="H15" s="29">
        <v>3.3999999999999998E-3</v>
      </c>
      <c r="I15" s="29" t="s">
        <v>180</v>
      </c>
      <c r="K15" s="29">
        <v>100</v>
      </c>
      <c r="L15" s="30">
        <f>Schedule!C15</f>
        <v>44536</v>
      </c>
      <c r="M15" s="29" t="s">
        <v>50</v>
      </c>
      <c r="N15" s="29" t="b">
        <v>0</v>
      </c>
      <c r="P15" s="29" t="b">
        <v>1</v>
      </c>
    </row>
    <row r="16" spans="1:16" x14ac:dyDescent="0.25">
      <c r="A16" s="39" t="str">
        <f>_xll.qlFixedRateBond(B16,C16,D16,E16,F16,G16,H16,I16,J16,K16,L16,M16,N16,O16,P16)</f>
        <v>obj_00069#0006</v>
      </c>
      <c r="D16" s="29" t="s">
        <v>115</v>
      </c>
      <c r="E16" s="29">
        <v>0</v>
      </c>
      <c r="F16" s="29">
        <v>800000000</v>
      </c>
      <c r="G16" s="39" t="str">
        <f>Schedule!A16</f>
        <v>110120802811N#0004</v>
      </c>
      <c r="H16" s="29">
        <v>3.3999999999999998E-3</v>
      </c>
      <c r="I16" s="29" t="s">
        <v>180</v>
      </c>
      <c r="K16" s="29">
        <v>100</v>
      </c>
      <c r="L16" s="30">
        <f>Schedule!C16</f>
        <v>44538</v>
      </c>
      <c r="M16" s="29" t="s">
        <v>50</v>
      </c>
      <c r="N16" s="29" t="b">
        <v>0</v>
      </c>
      <c r="P16" s="29" t="b">
        <v>1</v>
      </c>
    </row>
    <row r="17" spans="1:16" x14ac:dyDescent="0.25">
      <c r="A17" s="39" t="str">
        <f>_xll.qlFixedRateBond(B17,C17,D17,E17,F17,G17,H17,I17,J17,K17,L17,M17,N17,O17,P17)</f>
        <v>obj_0006c#0006</v>
      </c>
      <c r="D17" s="29" t="s">
        <v>115</v>
      </c>
      <c r="E17" s="29">
        <v>0</v>
      </c>
      <c r="F17" s="29">
        <v>1300000000</v>
      </c>
      <c r="G17" s="39" t="str">
        <f>Schedule!A17</f>
        <v>110121502711N#0004</v>
      </c>
      <c r="H17" s="29">
        <v>3.3999999999999998E-3</v>
      </c>
      <c r="I17" s="29" t="s">
        <v>180</v>
      </c>
      <c r="K17" s="29">
        <v>100</v>
      </c>
      <c r="L17" s="30">
        <f>Schedule!C17</f>
        <v>44545</v>
      </c>
      <c r="M17" s="29" t="s">
        <v>50</v>
      </c>
      <c r="N17" s="29" t="b">
        <v>0</v>
      </c>
      <c r="P17" s="29" t="b">
        <v>1</v>
      </c>
    </row>
    <row r="18" spans="1:16" x14ac:dyDescent="0.25">
      <c r="A18" s="39" t="str">
        <f>_xll.qlFixedRateBond(B18,C18,D18,E18,F18,G18,H18,I18,J18,K18,L18,M18,N18,O18,P18)</f>
        <v>obj_0007d#0006</v>
      </c>
      <c r="D18" s="29" t="s">
        <v>115</v>
      </c>
      <c r="E18" s="29">
        <v>0</v>
      </c>
      <c r="F18" s="29">
        <v>1300000000</v>
      </c>
      <c r="G18" s="39" t="str">
        <f>Schedule!A18</f>
        <v>110121502811N#0004</v>
      </c>
      <c r="H18" s="29">
        <v>3.3999999999999998E-3</v>
      </c>
      <c r="I18" s="29" t="s">
        <v>180</v>
      </c>
      <c r="K18" s="29">
        <v>100</v>
      </c>
      <c r="L18" s="30">
        <f>Schedule!C18</f>
        <v>44545</v>
      </c>
      <c r="M18" s="29" t="s">
        <v>50</v>
      </c>
      <c r="N18" s="29" t="b">
        <v>0</v>
      </c>
      <c r="P18" s="29" t="b">
        <v>1</v>
      </c>
    </row>
    <row r="19" spans="1:16" x14ac:dyDescent="0.25">
      <c r="A19" s="39" t="str">
        <f>_xll.qlFixedRateBond(B19,C19,D19,E19,F19,G19,H19,I19,J19,K19,L19,M19,N19,O19,P19)</f>
        <v>obj_00079#0006</v>
      </c>
      <c r="D19" s="29" t="s">
        <v>115</v>
      </c>
      <c r="E19" s="29">
        <v>0</v>
      </c>
      <c r="F19" s="29">
        <v>1600000000</v>
      </c>
      <c r="G19" s="39" t="str">
        <f>Schedule!A19</f>
        <v>110121602811N#0004</v>
      </c>
      <c r="H19" s="29">
        <v>3.3999999999999998E-3</v>
      </c>
      <c r="I19" s="29" t="s">
        <v>180</v>
      </c>
      <c r="K19" s="29">
        <v>100</v>
      </c>
      <c r="L19" s="30">
        <f>Schedule!C19</f>
        <v>44546</v>
      </c>
      <c r="M19" s="29" t="s">
        <v>50</v>
      </c>
      <c r="N19" s="29" t="b">
        <v>0</v>
      </c>
      <c r="P19" s="29" t="b">
        <v>1</v>
      </c>
    </row>
    <row r="20" spans="1:16" x14ac:dyDescent="0.25">
      <c r="A20" s="39" t="str">
        <f>_xll.qlFixedRateBond(B20,C20,D20,E20,F20,G20,H20,I20,J20,K20,L20,M20,N20,O20,P20)</f>
        <v>obj_00077#0006</v>
      </c>
      <c r="D20" s="29" t="s">
        <v>115</v>
      </c>
      <c r="E20" s="29">
        <v>0</v>
      </c>
      <c r="F20" s="29">
        <v>1650000000</v>
      </c>
      <c r="G20" s="39" t="str">
        <f>Schedule!A20</f>
        <v>110121702811N#0004</v>
      </c>
      <c r="H20" s="29">
        <v>3.3999999999999998E-3</v>
      </c>
      <c r="I20" s="29" t="s">
        <v>180</v>
      </c>
      <c r="K20" s="29">
        <v>100</v>
      </c>
      <c r="L20" s="30">
        <f>Schedule!C20</f>
        <v>44547</v>
      </c>
      <c r="M20" s="29" t="s">
        <v>50</v>
      </c>
      <c r="N20" s="29" t="b">
        <v>0</v>
      </c>
      <c r="P20" s="29" t="b">
        <v>1</v>
      </c>
    </row>
    <row r="21" spans="1:16" x14ac:dyDescent="0.25">
      <c r="A21" s="39" t="str">
        <f>_xll.qlFixedRateBond(B21,C21,D21,E21,F21,G21,H21,I21,J21,K21,L21,M21,N21,O21,P21)</f>
        <v>obj_00072#0006</v>
      </c>
      <c r="D21" s="29" t="s">
        <v>115</v>
      </c>
      <c r="E21" s="29">
        <v>0</v>
      </c>
      <c r="F21" s="29">
        <v>500000000</v>
      </c>
      <c r="G21" s="39" t="str">
        <f>Schedule!A21</f>
        <v>1101220Y02ANN#0004</v>
      </c>
      <c r="H21" s="29">
        <v>4.9500000000000004E-3</v>
      </c>
      <c r="I21" s="29" t="s">
        <v>180</v>
      </c>
      <c r="K21" s="29">
        <v>100</v>
      </c>
      <c r="L21" s="30">
        <f>Schedule!C21</f>
        <v>44550</v>
      </c>
      <c r="M21" s="29" t="s">
        <v>50</v>
      </c>
      <c r="N21" s="29" t="b">
        <v>0</v>
      </c>
      <c r="P21" s="29" t="b">
        <v>1</v>
      </c>
    </row>
    <row r="22" spans="1:16" x14ac:dyDescent="0.25">
      <c r="A22" s="39" t="str">
        <f>_xll.qlFixedRateBond(B22,C22,D22,E22,F22,G22,H22,I22,J22,K22,L22,M22,N22,O22,P22)</f>
        <v>obj_00074#0006</v>
      </c>
      <c r="D22" s="29" t="s">
        <v>115</v>
      </c>
      <c r="E22" s="29">
        <v>0</v>
      </c>
      <c r="F22" s="29">
        <v>500000000</v>
      </c>
      <c r="G22" s="39" t="str">
        <f>Schedule!A22</f>
        <v>1101220Y02ARN#0004</v>
      </c>
      <c r="H22" s="29">
        <v>5.0000000000000001E-3</v>
      </c>
      <c r="I22" s="29" t="s">
        <v>180</v>
      </c>
      <c r="K22" s="29">
        <v>100</v>
      </c>
      <c r="L22" s="30">
        <f>Schedule!C22</f>
        <v>44550</v>
      </c>
      <c r="M22" s="29" t="s">
        <v>50</v>
      </c>
      <c r="N22" s="29" t="b">
        <v>0</v>
      </c>
      <c r="P22" s="29" t="b">
        <v>1</v>
      </c>
    </row>
    <row r="23" spans="1:16" x14ac:dyDescent="0.25">
      <c r="A23" s="39" t="str">
        <f>_xll.qlFixedRateBond(B23,C23,D23,E23,F23,G23,H23,I23,J23,K23,L23,M23,N23,O23,P23)</f>
        <v>obj_00080#0006</v>
      </c>
      <c r="D23" s="29" t="s">
        <v>115</v>
      </c>
      <c r="E23" s="29">
        <v>0</v>
      </c>
      <c r="F23" s="29">
        <v>2550000000</v>
      </c>
      <c r="G23" s="39" t="str">
        <f>Schedule!A23</f>
        <v>110122202811N#0004</v>
      </c>
      <c r="H23" s="29">
        <v>3.3999999999999998E-3</v>
      </c>
      <c r="I23" s="29" t="s">
        <v>180</v>
      </c>
      <c r="K23" s="29">
        <v>100</v>
      </c>
      <c r="L23" s="30">
        <f>Schedule!C23</f>
        <v>44552</v>
      </c>
      <c r="M23" s="29" t="s">
        <v>50</v>
      </c>
      <c r="N23" s="29" t="b">
        <v>0</v>
      </c>
      <c r="P23" s="29" t="b">
        <v>1</v>
      </c>
    </row>
    <row r="24" spans="1:16" x14ac:dyDescent="0.25">
      <c r="A24" s="39" t="str">
        <f>_xll.qlFixedRateBond(B24,C24,D24,E24,F24,G24,H24,I24,J24,K24,L24,M24,N24,O24,P24)</f>
        <v>obj_0006f#0006</v>
      </c>
      <c r="D24" s="29" t="s">
        <v>115</v>
      </c>
      <c r="E24" s="29">
        <v>0</v>
      </c>
      <c r="F24" s="29">
        <v>1900000000</v>
      </c>
      <c r="G24" s="39" t="str">
        <f>Schedule!A24</f>
        <v>110122302811N#0004</v>
      </c>
      <c r="H24" s="29">
        <v>3.3999999999999998E-3</v>
      </c>
      <c r="I24" s="29" t="s">
        <v>180</v>
      </c>
      <c r="K24" s="29">
        <v>100</v>
      </c>
      <c r="L24" s="30">
        <f>Schedule!C24</f>
        <v>44553</v>
      </c>
      <c r="M24" s="29" t="s">
        <v>50</v>
      </c>
      <c r="N24" s="29" t="b">
        <v>0</v>
      </c>
      <c r="P24" s="29" t="b">
        <v>1</v>
      </c>
    </row>
    <row r="25" spans="1:16" x14ac:dyDescent="0.25">
      <c r="A25" s="39" t="str">
        <f>_xll.qlFixedRateBond(B25,C25,D25,E25,F25,G25,H25,I25,J25,K25,L25,M25,N25,O25,P25)</f>
        <v>obj_0006e#0006</v>
      </c>
      <c r="D25" s="29" t="s">
        <v>115</v>
      </c>
      <c r="E25" s="29">
        <v>0</v>
      </c>
      <c r="F25" s="29">
        <v>1500000000</v>
      </c>
      <c r="G25" s="39" t="str">
        <f>Schedule!A25</f>
        <v>110122402811N#0004</v>
      </c>
      <c r="H25" s="29">
        <v>3.3999999999999998E-3</v>
      </c>
      <c r="I25" s="29" t="s">
        <v>180</v>
      </c>
      <c r="K25" s="29">
        <v>100</v>
      </c>
      <c r="L25" s="30">
        <f>Schedule!C25</f>
        <v>44554</v>
      </c>
      <c r="M25" s="29" t="s">
        <v>50</v>
      </c>
      <c r="N25" s="29" t="b">
        <v>0</v>
      </c>
      <c r="P25" s="29" t="b">
        <v>1</v>
      </c>
    </row>
    <row r="26" spans="1:16" x14ac:dyDescent="0.25">
      <c r="A26" s="39" t="str">
        <f>_xll.qlFixedRateBond(B26,C26,D26,E26,F26,G26,H26,I26,J26,K26,L26,M26,N26,O26,P26)</f>
        <v>obj_0007f#0006</v>
      </c>
      <c r="D26" s="29" t="s">
        <v>115</v>
      </c>
      <c r="E26" s="29">
        <v>0</v>
      </c>
      <c r="F26" s="29">
        <v>1300000000</v>
      </c>
      <c r="G26" s="39" t="str">
        <f>Schedule!A26</f>
        <v>110122802711N#0004</v>
      </c>
      <c r="H26" s="29">
        <v>3.3999999999999998E-3</v>
      </c>
      <c r="I26" s="29" t="s">
        <v>180</v>
      </c>
      <c r="K26" s="29">
        <v>100</v>
      </c>
      <c r="L26" s="30">
        <f>Schedule!C26</f>
        <v>44558</v>
      </c>
      <c r="M26" s="29" t="s">
        <v>50</v>
      </c>
      <c r="N26" s="29" t="b">
        <v>0</v>
      </c>
      <c r="P26" s="29" t="b">
        <v>1</v>
      </c>
    </row>
    <row r="27" spans="1:16" x14ac:dyDescent="0.25">
      <c r="A27" s="39" t="str">
        <f>_xll.qlFixedRateBond(B27,C27,D27,E27,F27,G27,H27,I27,J27,K27,L27,M27,N27,O27,P27)</f>
        <v>obj_0007b#0006</v>
      </c>
      <c r="D27" s="29" t="s">
        <v>115</v>
      </c>
      <c r="E27" s="29">
        <v>0</v>
      </c>
      <c r="F27" s="29">
        <v>1400000000</v>
      </c>
      <c r="G27" s="39" t="str">
        <f>Schedule!A27</f>
        <v>110122802811N#0004</v>
      </c>
      <c r="H27" s="29">
        <v>3.3999999999999998E-3</v>
      </c>
      <c r="I27" s="29" t="s">
        <v>180</v>
      </c>
      <c r="K27" s="29">
        <v>100</v>
      </c>
      <c r="L27" s="30">
        <f>Schedule!C27</f>
        <v>44558</v>
      </c>
      <c r="M27" s="29" t="s">
        <v>50</v>
      </c>
      <c r="N27" s="29" t="b">
        <v>0</v>
      </c>
      <c r="P27" s="29" t="b">
        <v>1</v>
      </c>
    </row>
    <row r="28" spans="1:16" x14ac:dyDescent="0.25">
      <c r="A28" s="39" t="str">
        <f>_xll.qlFixedRateBond(B28,C28,D28,E28,F28,G28,H28,I28,J28,K28,L28,M28,N28,O28,P28)</f>
        <v>obj_00044#0006</v>
      </c>
      <c r="D28" s="29" t="s">
        <v>115</v>
      </c>
      <c r="E28" s="29">
        <v>0</v>
      </c>
      <c r="F28" s="29">
        <v>500000000</v>
      </c>
      <c r="G28" s="39" t="str">
        <f>Schedule!A28</f>
        <v>110122902811N#0004</v>
      </c>
      <c r="H28" s="29">
        <v>3.3999999999999998E-3</v>
      </c>
      <c r="I28" s="29" t="s">
        <v>180</v>
      </c>
      <c r="K28" s="29">
        <v>100</v>
      </c>
      <c r="L28" s="30">
        <f>Schedule!C28</f>
        <v>44559</v>
      </c>
      <c r="M28" s="29" t="s">
        <v>50</v>
      </c>
      <c r="N28" s="29" t="b">
        <v>0</v>
      </c>
      <c r="P28" s="29" t="b">
        <v>1</v>
      </c>
    </row>
    <row r="29" spans="1:16" x14ac:dyDescent="0.25">
      <c r="A29" s="39" t="str">
        <f>_xll.qlFixedRateBond(B29,C29,D29,E29,F29,G29,H29,I29,J29,K29,L29,M29,N29,O29,P29)</f>
        <v>obj_0003e#0010</v>
      </c>
      <c r="D29" s="29" t="s">
        <v>115</v>
      </c>
      <c r="E29" s="29">
        <v>0</v>
      </c>
      <c r="F29" s="29">
        <v>845000000</v>
      </c>
      <c r="G29" s="39" t="str">
        <f>Schedule!A29</f>
        <v>1090416Y02AEN#0008</v>
      </c>
      <c r="H29" s="29">
        <v>3.9500000000000004E-3</v>
      </c>
      <c r="I29" s="29" t="s">
        <v>180</v>
      </c>
      <c r="K29" s="29">
        <v>100</v>
      </c>
      <c r="L29" s="30">
        <f>Schedule!C29</f>
        <v>43937</v>
      </c>
      <c r="M29" s="29" t="s">
        <v>50</v>
      </c>
      <c r="N29" s="29" t="b">
        <v>0</v>
      </c>
      <c r="P29" s="29" t="b">
        <v>1</v>
      </c>
    </row>
    <row r="30" spans="1:16" x14ac:dyDescent="0.25">
      <c r="A30" s="39" t="str">
        <f>_xll.qlFixedRateBond(B30,C30,D30,E30,F30,G30,H30,I30,J30,K30,L30,M30,N30,O30,P30)</f>
        <v>obj_00042#0006</v>
      </c>
      <c r="D30" s="29" t="s">
        <v>115</v>
      </c>
      <c r="E30" s="29">
        <v>0</v>
      </c>
      <c r="F30" s="29">
        <v>3000000000</v>
      </c>
      <c r="G30" s="39" t="str">
        <f>Schedule!A30</f>
        <v>1100304364AJN#0004</v>
      </c>
      <c r="H30" s="29">
        <v>1.75E-3</v>
      </c>
      <c r="I30" s="29" t="s">
        <v>180</v>
      </c>
      <c r="K30" s="29">
        <v>100</v>
      </c>
      <c r="L30" s="30">
        <f>Schedule!C30</f>
        <v>44259</v>
      </c>
      <c r="M30" s="29" t="s">
        <v>50</v>
      </c>
      <c r="N30" s="29" t="b">
        <v>0</v>
      </c>
      <c r="P30" s="29" t="b">
        <v>1</v>
      </c>
    </row>
    <row r="31" spans="1:16" x14ac:dyDescent="0.25">
      <c r="A31" s="39" t="str">
        <f>_xll.qlFixedRateBond(B31,C31,D31,E31,F31,G31,H31,I31,J31,K31,L31,M31,N31,O31,P31)</f>
        <v>obj_00034#0006</v>
      </c>
      <c r="D31" s="29" t="s">
        <v>115</v>
      </c>
      <c r="E31" s="29">
        <v>0</v>
      </c>
      <c r="F31" s="29">
        <v>80000000</v>
      </c>
      <c r="G31" s="39" t="str">
        <f>Schedule!A31</f>
        <v>1100304364AMN#0004</v>
      </c>
      <c r="H31" s="29">
        <v>1.7799999999999999E-3</v>
      </c>
      <c r="I31" s="29" t="s">
        <v>180</v>
      </c>
      <c r="K31" s="29">
        <v>100</v>
      </c>
      <c r="L31" s="30">
        <f>Schedule!C31</f>
        <v>44259</v>
      </c>
      <c r="M31" s="29" t="s">
        <v>50</v>
      </c>
      <c r="N31" s="29" t="b">
        <v>0</v>
      </c>
      <c r="P31" s="29" t="b">
        <v>1</v>
      </c>
    </row>
    <row r="32" spans="1:16" x14ac:dyDescent="0.25">
      <c r="A32" s="39" t="str">
        <f>_xll.qlFixedRateBond(B32,C32,D32,E32,F32,G32,H32,I32,J32,K32,L32,M32,N32,O32,P32)</f>
        <v>obj_0003a#0007</v>
      </c>
      <c r="D32" s="29" t="s">
        <v>115</v>
      </c>
      <c r="E32" s="29">
        <v>0</v>
      </c>
      <c r="F32" s="29">
        <v>1500000000</v>
      </c>
      <c r="G32" s="39" t="str">
        <f>Schedule!A32</f>
        <v>1100406364ADN#0005</v>
      </c>
      <c r="H32" s="29">
        <v>1.8E-3</v>
      </c>
      <c r="I32" s="29" t="s">
        <v>180</v>
      </c>
      <c r="K32" s="29">
        <v>100</v>
      </c>
      <c r="L32" s="30">
        <f>Schedule!C32</f>
        <v>44292</v>
      </c>
      <c r="M32" s="29" t="s">
        <v>50</v>
      </c>
      <c r="N32" s="29" t="b">
        <v>0</v>
      </c>
      <c r="P32" s="29" t="b">
        <v>1</v>
      </c>
    </row>
    <row r="33" spans="1:16" x14ac:dyDescent="0.25">
      <c r="A33" s="39" t="str">
        <f>_xll.qlFixedRateBond(B33,C33,D33,E33,F33,G33,H33,I33,J33,K33,L33,M33,N33,O33,P33)</f>
        <v>obj_0003f#0007</v>
      </c>
      <c r="D33" s="29" t="s">
        <v>115</v>
      </c>
      <c r="E33" s="29">
        <v>0</v>
      </c>
      <c r="F33" s="29">
        <v>1500000000</v>
      </c>
      <c r="G33" s="39" t="str">
        <f>Schedule!A33</f>
        <v>1100406364AFN#0005</v>
      </c>
      <c r="H33" s="29">
        <v>1.82E-3</v>
      </c>
      <c r="I33" s="29" t="s">
        <v>180</v>
      </c>
      <c r="K33" s="29">
        <v>100</v>
      </c>
      <c r="L33" s="30">
        <f>Schedule!C33</f>
        <v>44292</v>
      </c>
      <c r="M33" s="29" t="s">
        <v>50</v>
      </c>
      <c r="N33" s="29" t="b">
        <v>0</v>
      </c>
      <c r="P33" s="29" t="b">
        <v>1</v>
      </c>
    </row>
    <row r="34" spans="1:16" x14ac:dyDescent="0.25">
      <c r="A34" s="39" t="str">
        <f>_xll.qlFixedRateBond(B34,C34,D34,E34,F34,G34,H34,I34,J34,K34,L34,M34,N34,O34,P34)</f>
        <v>obj_00045#0007</v>
      </c>
      <c r="D34" s="29" t="s">
        <v>115</v>
      </c>
      <c r="E34" s="29">
        <v>0</v>
      </c>
      <c r="F34" s="29">
        <v>1000000000</v>
      </c>
      <c r="G34" s="39" t="str">
        <f>Schedule!A34</f>
        <v>1100406364AIN#0005</v>
      </c>
      <c r="H34" s="29">
        <v>1.8500000000000001E-3</v>
      </c>
      <c r="I34" s="29" t="s">
        <v>180</v>
      </c>
      <c r="K34" s="29">
        <v>100</v>
      </c>
      <c r="L34" s="30">
        <f>Schedule!C34</f>
        <v>44292</v>
      </c>
      <c r="M34" s="29" t="s">
        <v>50</v>
      </c>
      <c r="N34" s="29" t="b">
        <v>0</v>
      </c>
      <c r="P34" s="29" t="b">
        <v>1</v>
      </c>
    </row>
    <row r="35" spans="1:16" x14ac:dyDescent="0.25">
      <c r="A35" s="39" t="str">
        <f>_xll.qlFixedRateBond(B35,C35,D35,E35,F35,G35,H35,I35,J35,K35,L35,M35,N35,O35,P35)</f>
        <v>obj_0004d#0006</v>
      </c>
      <c r="D35" s="29" t="s">
        <v>115</v>
      </c>
      <c r="E35" s="29">
        <v>0</v>
      </c>
      <c r="F35" s="29">
        <v>500000000</v>
      </c>
      <c r="G35" s="39" t="str">
        <f>Schedule!A35</f>
        <v>1100415Y02ANN#0004</v>
      </c>
      <c r="H35" s="29">
        <v>2.0999999999999999E-3</v>
      </c>
      <c r="I35" s="29" t="s">
        <v>180</v>
      </c>
      <c r="K35" s="29">
        <v>100</v>
      </c>
      <c r="L35" s="30">
        <f>Schedule!C35</f>
        <v>44301</v>
      </c>
      <c r="M35" s="29" t="s">
        <v>50</v>
      </c>
      <c r="N35" s="29" t="b">
        <v>0</v>
      </c>
      <c r="P35" s="29" t="b">
        <v>1</v>
      </c>
    </row>
    <row r="36" spans="1:16" x14ac:dyDescent="0.25">
      <c r="A36" s="39" t="str">
        <f>_xll.qlFixedRateBond(B36,C36,D36,E36,F36,G36,H36,I36,J36,K36,L36,M36,N36,O36,P36)</f>
        <v>obj_00035#0006</v>
      </c>
      <c r="D36" s="29" t="s">
        <v>115</v>
      </c>
      <c r="E36" s="29">
        <v>0</v>
      </c>
      <c r="F36" s="29">
        <v>1000000000</v>
      </c>
      <c r="G36" s="39" t="str">
        <f>Schedule!A36</f>
        <v>1100504364A8N#0004</v>
      </c>
      <c r="H36" s="29">
        <v>1.8E-3</v>
      </c>
      <c r="I36" s="29" t="s">
        <v>180</v>
      </c>
      <c r="K36" s="29">
        <v>100</v>
      </c>
      <c r="L36" s="30">
        <f>Schedule!C36</f>
        <v>44320</v>
      </c>
      <c r="M36" s="29" t="s">
        <v>50</v>
      </c>
      <c r="N36" s="29" t="b">
        <v>0</v>
      </c>
      <c r="P36" s="29" t="b">
        <v>1</v>
      </c>
    </row>
    <row r="37" spans="1:16" x14ac:dyDescent="0.25">
      <c r="A37" s="39" t="str">
        <f>_xll.qlFixedRateBond(B37,C37,D37,E37,F37,G37,H37,I37,J37,K37,L37,M37,N37,O37,P37)</f>
        <v>obj_00032#0006</v>
      </c>
      <c r="D37" s="29" t="s">
        <v>115</v>
      </c>
      <c r="E37" s="29">
        <v>0</v>
      </c>
      <c r="F37" s="29">
        <v>1000000000</v>
      </c>
      <c r="G37" s="39" t="str">
        <f>Schedule!A37</f>
        <v>1100504364A9N#0004</v>
      </c>
      <c r="H37" s="29">
        <v>1.82E-3</v>
      </c>
      <c r="I37" s="29" t="s">
        <v>180</v>
      </c>
      <c r="K37" s="29">
        <v>100</v>
      </c>
      <c r="L37" s="30">
        <f>Schedule!C37</f>
        <v>44320</v>
      </c>
      <c r="M37" s="29" t="s">
        <v>50</v>
      </c>
      <c r="N37" s="29" t="b">
        <v>0</v>
      </c>
      <c r="P37" s="29" t="b">
        <v>1</v>
      </c>
    </row>
    <row r="38" spans="1:16" x14ac:dyDescent="0.25">
      <c r="A38" s="39" t="str">
        <f>_xll.qlFixedRateBond(B38,C38,D38,E38,F38,G38,H38,I38,J38,K38,L38,M38,N38,O38,P38)</f>
        <v>obj_00049#0006</v>
      </c>
      <c r="D38" s="29" t="s">
        <v>115</v>
      </c>
      <c r="E38" s="29">
        <v>0</v>
      </c>
      <c r="F38" s="29">
        <v>2000000000</v>
      </c>
      <c r="G38" s="39" t="str">
        <f>Schedule!A38</f>
        <v>1100504364ACN#0004</v>
      </c>
      <c r="H38" s="29">
        <v>1.8500000000000001E-3</v>
      </c>
      <c r="I38" s="29" t="s">
        <v>180</v>
      </c>
      <c r="K38" s="29">
        <v>100</v>
      </c>
      <c r="L38" s="30">
        <f>Schedule!C38</f>
        <v>44320</v>
      </c>
      <c r="M38" s="29" t="s">
        <v>50</v>
      </c>
      <c r="N38" s="29" t="b">
        <v>0</v>
      </c>
      <c r="P38" s="29" t="b">
        <v>1</v>
      </c>
    </row>
    <row r="39" spans="1:16" x14ac:dyDescent="0.25">
      <c r="A39" s="39" t="str">
        <f>_xll.qlFixedRateBond(B39,C39,D39,E39,F39,G39,H39,I39,J39,K39,L39,M39,N39,O39,P39)</f>
        <v>obj_0003c#0006</v>
      </c>
      <c r="D39" s="29" t="s">
        <v>115</v>
      </c>
      <c r="E39" s="29">
        <v>0</v>
      </c>
      <c r="F39" s="29">
        <v>2000000000</v>
      </c>
      <c r="G39" s="39" t="str">
        <f>Schedule!A39</f>
        <v>1100504364AFN#0004</v>
      </c>
      <c r="H39" s="29">
        <v>1.8799999999999999E-3</v>
      </c>
      <c r="I39" s="29" t="s">
        <v>180</v>
      </c>
      <c r="K39" s="29">
        <v>100</v>
      </c>
      <c r="L39" s="30">
        <f>Schedule!C39</f>
        <v>44320</v>
      </c>
      <c r="M39" s="29" t="s">
        <v>50</v>
      </c>
      <c r="N39" s="29" t="b">
        <v>0</v>
      </c>
      <c r="P39" s="29" t="b">
        <v>1</v>
      </c>
    </row>
    <row r="40" spans="1:16" x14ac:dyDescent="0.25">
      <c r="A40" s="39" t="str">
        <f>_xll.qlFixedRateBond(B40,C40,D40,E40,F40,G40,H40,I40,J40,K40,L40,M40,N40,O40,P40)</f>
        <v>obj_00040#0006</v>
      </c>
      <c r="D40" s="29" t="s">
        <v>115</v>
      </c>
      <c r="E40" s="29">
        <v>0</v>
      </c>
      <c r="F40" s="29">
        <v>115000000</v>
      </c>
      <c r="G40" s="39" t="str">
        <f>Schedule!A40</f>
        <v>1100513Y02ALN#0004</v>
      </c>
      <c r="H40" s="29">
        <v>2.2000000000000001E-3</v>
      </c>
      <c r="I40" s="29" t="s">
        <v>180</v>
      </c>
      <c r="K40" s="29">
        <v>100</v>
      </c>
      <c r="L40" s="30">
        <f>Schedule!C40</f>
        <v>44329</v>
      </c>
      <c r="M40" s="29" t="s">
        <v>50</v>
      </c>
      <c r="N40" s="29" t="b">
        <v>0</v>
      </c>
      <c r="P40" s="29" t="b">
        <v>1</v>
      </c>
    </row>
    <row r="41" spans="1:16" x14ac:dyDescent="0.25">
      <c r="A41" s="39" t="str">
        <f>_xll.qlFixedRateBond(B41,C41,D41,E41,F41,G41,H41,I41,J41,K41,L41,M41,N41,O41,P41)</f>
        <v>obj_00031#0009</v>
      </c>
      <c r="D41" s="29" t="s">
        <v>115</v>
      </c>
      <c r="E41" s="29">
        <v>0</v>
      </c>
      <c r="F41" s="29">
        <v>1000000000</v>
      </c>
      <c r="G41" s="39" t="str">
        <f>Schedule!A41</f>
        <v>1100604364AAN#0007</v>
      </c>
      <c r="H41" s="29">
        <v>1.9E-3</v>
      </c>
      <c r="I41" s="29" t="s">
        <v>180</v>
      </c>
      <c r="K41" s="29">
        <v>100</v>
      </c>
      <c r="L41" s="30">
        <f>Schedule!C41</f>
        <v>44351</v>
      </c>
      <c r="M41" s="29" t="s">
        <v>50</v>
      </c>
      <c r="N41" s="29" t="b">
        <v>0</v>
      </c>
      <c r="P41" s="29" t="b">
        <v>1</v>
      </c>
    </row>
    <row r="42" spans="1:16" x14ac:dyDescent="0.25">
      <c r="A42" s="39" t="str">
        <f>_xll.qlFixedRateBond(B42,C42,D42,E42,F42,G42,H42,I42,J42,K42,L42,M42,N42,O42,P42)</f>
        <v>obj_00048#0010</v>
      </c>
      <c r="D42" s="29" t="s">
        <v>115</v>
      </c>
      <c r="E42" s="29">
        <v>0</v>
      </c>
      <c r="F42" s="29">
        <v>1000000000</v>
      </c>
      <c r="G42" s="39" t="str">
        <f>Schedule!A42</f>
        <v>1100604364ACN#0008</v>
      </c>
      <c r="H42" s="29">
        <v>1.92E-3</v>
      </c>
      <c r="I42" s="29" t="s">
        <v>180</v>
      </c>
      <c r="K42" s="29">
        <v>100</v>
      </c>
      <c r="L42" s="30">
        <f>Schedule!C42</f>
        <v>44351</v>
      </c>
      <c r="M42" s="29" t="s">
        <v>50</v>
      </c>
      <c r="N42" s="29" t="b">
        <v>0</v>
      </c>
      <c r="P42" s="29" t="b">
        <v>1</v>
      </c>
    </row>
    <row r="43" spans="1:16" x14ac:dyDescent="0.25">
      <c r="A43" s="39" t="str">
        <f>_xll.qlFixedRateBond(B43,C43,D43,E43,F43,G43,H43,I43,J43,K43,L43,M43,N43,O43,P43)</f>
        <v>obj_00038#0009</v>
      </c>
      <c r="D43" s="29" t="s">
        <v>115</v>
      </c>
      <c r="E43" s="29">
        <v>0</v>
      </c>
      <c r="F43" s="29">
        <v>1000000000</v>
      </c>
      <c r="G43" s="39" t="str">
        <f>Schedule!A43</f>
        <v>1100604364AFN#0007</v>
      </c>
      <c r="H43" s="29">
        <v>1.9499999999999999E-3</v>
      </c>
      <c r="I43" s="29" t="s">
        <v>180</v>
      </c>
      <c r="K43" s="29">
        <v>100</v>
      </c>
      <c r="L43" s="30">
        <f>Schedule!C43</f>
        <v>44351</v>
      </c>
      <c r="M43" s="29" t="s">
        <v>50</v>
      </c>
      <c r="N43" s="29" t="b">
        <v>0</v>
      </c>
      <c r="P43" s="29" t="b">
        <v>1</v>
      </c>
    </row>
    <row r="44" spans="1:16" x14ac:dyDescent="0.25">
      <c r="A44" s="39" t="str">
        <f>_xll.qlFixedRateBond(B44,C44,D44,E44,F44,G44,H44,I44,J44,K44,L44,M44,N44,O44,P44)</f>
        <v>obj_00039#0009</v>
      </c>
      <c r="D44" s="29" t="s">
        <v>115</v>
      </c>
      <c r="E44" s="29">
        <v>0</v>
      </c>
      <c r="F44" s="29">
        <v>1000000000</v>
      </c>
      <c r="G44" s="39" t="str">
        <f>Schedule!A44</f>
        <v>1100604364AKN#0007</v>
      </c>
      <c r="H44" s="29">
        <v>2E-3</v>
      </c>
      <c r="I44" s="29" t="s">
        <v>180</v>
      </c>
      <c r="K44" s="29">
        <v>100</v>
      </c>
      <c r="L44" s="30">
        <f>Schedule!C44</f>
        <v>44351</v>
      </c>
      <c r="M44" s="29" t="s">
        <v>50</v>
      </c>
      <c r="N44" s="29" t="b">
        <v>0</v>
      </c>
      <c r="P44" s="29" t="b">
        <v>1</v>
      </c>
    </row>
    <row r="45" spans="1:16" x14ac:dyDescent="0.25">
      <c r="A45" s="39" t="str">
        <f>_xll.qlFixedRateBond(B45,C45,D45,E45,F45,G45,H45,I45,J45,K45,L45,M45,N45,O45,P45)</f>
        <v>obj_00043#0006</v>
      </c>
      <c r="D45" s="29" t="s">
        <v>115</v>
      </c>
      <c r="E45" s="29">
        <v>0</v>
      </c>
      <c r="F45" s="29">
        <v>500000000</v>
      </c>
      <c r="G45" s="39" t="str">
        <f>Schedule!A45</f>
        <v>1100617Y02AHN#0004</v>
      </c>
      <c r="H45" s="29">
        <v>2.3E-3</v>
      </c>
      <c r="I45" s="29" t="s">
        <v>180</v>
      </c>
      <c r="K45" s="29">
        <v>100</v>
      </c>
      <c r="L45" s="30">
        <f>Schedule!C45</f>
        <v>44364</v>
      </c>
      <c r="M45" s="29" t="s">
        <v>50</v>
      </c>
      <c r="N45" s="29" t="b">
        <v>0</v>
      </c>
      <c r="P45" s="29" t="b">
        <v>1</v>
      </c>
    </row>
    <row r="46" spans="1:16" x14ac:dyDescent="0.25">
      <c r="A46" s="39" t="str">
        <f>_xll.qlFixedRateBond(B46,C46,D46,E46,F46,G46,H46,I46,J46,K46,L46,M46,N46,O46,P46)</f>
        <v>obj_00037#0006</v>
      </c>
      <c r="D46" s="29" t="s">
        <v>115</v>
      </c>
      <c r="E46" s="29">
        <v>0</v>
      </c>
      <c r="F46" s="29">
        <v>1000000000</v>
      </c>
      <c r="G46" s="39" t="str">
        <f>Schedule!A46</f>
        <v>1100705364A7N#0004</v>
      </c>
      <c r="H46" s="29">
        <v>2E-3</v>
      </c>
      <c r="I46" s="29" t="s">
        <v>180</v>
      </c>
      <c r="K46" s="29">
        <v>100</v>
      </c>
      <c r="L46" s="30">
        <f>Schedule!C46</f>
        <v>44382</v>
      </c>
      <c r="M46" s="29" t="s">
        <v>50</v>
      </c>
      <c r="N46" s="29" t="b">
        <v>0</v>
      </c>
      <c r="P46" s="29" t="b">
        <v>1</v>
      </c>
    </row>
    <row r="47" spans="1:16" x14ac:dyDescent="0.25">
      <c r="A47" s="39" t="str">
        <f>_xll.qlFixedRateBond(B47,C47,D47,E47,F47,G47,H47,I47,J47,K47,L47,M47,N47,O47,P47)</f>
        <v>obj_0003d#0006</v>
      </c>
      <c r="D47" s="29" t="s">
        <v>115</v>
      </c>
      <c r="E47" s="29">
        <v>0</v>
      </c>
      <c r="F47" s="29">
        <v>1000000000</v>
      </c>
      <c r="G47" s="39" t="str">
        <f>Schedule!A47</f>
        <v>1100705364A9N#0004</v>
      </c>
      <c r="H47" s="29">
        <v>2.0200000000000001E-3</v>
      </c>
      <c r="I47" s="29" t="s">
        <v>180</v>
      </c>
      <c r="K47" s="29">
        <v>100</v>
      </c>
      <c r="L47" s="30">
        <f>Schedule!C47</f>
        <v>44382</v>
      </c>
      <c r="M47" s="29" t="s">
        <v>50</v>
      </c>
      <c r="N47" s="29" t="b">
        <v>0</v>
      </c>
      <c r="P47" s="29" t="b">
        <v>1</v>
      </c>
    </row>
    <row r="48" spans="1:16" x14ac:dyDescent="0.25">
      <c r="A48" s="39" t="str">
        <f>_xll.qlFixedRateBond(B48,C48,D48,E48,F48,G48,H48,I48,J48,K48,L48,M48,N48,O48,P48)</f>
        <v>obj_00041#0006</v>
      </c>
      <c r="D48" s="29" t="s">
        <v>115</v>
      </c>
      <c r="E48" s="29">
        <v>0</v>
      </c>
      <c r="F48" s="29">
        <v>1000000000</v>
      </c>
      <c r="G48" s="39" t="str">
        <f>Schedule!A48</f>
        <v>1100705364ADN#0004</v>
      </c>
      <c r="H48" s="29">
        <v>2.0600000000000002E-3</v>
      </c>
      <c r="I48" s="29" t="s">
        <v>180</v>
      </c>
      <c r="K48" s="29">
        <v>100</v>
      </c>
      <c r="L48" s="30">
        <f>Schedule!C48</f>
        <v>44382</v>
      </c>
      <c r="M48" s="29" t="s">
        <v>50</v>
      </c>
      <c r="N48" s="29" t="b">
        <v>0</v>
      </c>
      <c r="P48" s="29" t="b">
        <v>1</v>
      </c>
    </row>
    <row r="49" spans="1:16" x14ac:dyDescent="0.25">
      <c r="A49" s="39" t="str">
        <f>_xll.qlFixedRateBond(B49,C49,D49,E49,F49,G49,H49,I49,J49,K49,L49,M49,N49,O49,P49)</f>
        <v>obj_0004a#0006</v>
      </c>
      <c r="D49" s="29" t="s">
        <v>115</v>
      </c>
      <c r="E49" s="29">
        <v>0</v>
      </c>
      <c r="F49" s="29">
        <v>1000000000</v>
      </c>
      <c r="G49" s="39" t="str">
        <f>Schedule!A49</f>
        <v>1100705364AFN#0004</v>
      </c>
      <c r="H49" s="29">
        <v>2.0799999999999998E-3</v>
      </c>
      <c r="I49" s="29" t="s">
        <v>180</v>
      </c>
      <c r="K49" s="29">
        <v>100</v>
      </c>
      <c r="L49" s="30">
        <f>Schedule!C49</f>
        <v>44382</v>
      </c>
      <c r="M49" s="29" t="s">
        <v>50</v>
      </c>
      <c r="N49" s="29" t="b">
        <v>0</v>
      </c>
      <c r="P49" s="29" t="b">
        <v>1</v>
      </c>
    </row>
    <row r="50" spans="1:16" x14ac:dyDescent="0.25">
      <c r="A50" s="39" t="str">
        <f>_xll.qlFixedRateBond(B50,C50,D50,E50,F50,G50,H50,I50,J50,K50,L50,M50,N50,O50,P50)</f>
        <v>obj_00036#0006</v>
      </c>
      <c r="D50" s="29" t="s">
        <v>115</v>
      </c>
      <c r="E50" s="29">
        <v>0</v>
      </c>
      <c r="F50" s="29">
        <v>1000000000</v>
      </c>
      <c r="G50" s="39" t="str">
        <f>Schedule!A50</f>
        <v>1100705364AHN#0004</v>
      </c>
      <c r="H50" s="29">
        <v>2.0999999999999999E-3</v>
      </c>
      <c r="I50" s="29" t="s">
        <v>180</v>
      </c>
      <c r="K50" s="29">
        <v>100</v>
      </c>
      <c r="L50" s="30">
        <f>Schedule!C50</f>
        <v>44382</v>
      </c>
      <c r="M50" s="29" t="s">
        <v>50</v>
      </c>
      <c r="N50" s="29" t="b">
        <v>0</v>
      </c>
      <c r="P50" s="29" t="b">
        <v>1</v>
      </c>
    </row>
    <row r="51" spans="1:16" x14ac:dyDescent="0.25">
      <c r="A51" s="39" t="str">
        <f>_xll.qlFixedRateBond(B51,C51,D51,E51,F51,G51,H51,I51,J51,K51,L51,M51,N51,O51,P51)</f>
        <v>obj_0004e#0006</v>
      </c>
      <c r="D51" s="29" t="s">
        <v>115</v>
      </c>
      <c r="E51" s="29">
        <v>0</v>
      </c>
      <c r="F51" s="29">
        <v>500000000</v>
      </c>
      <c r="G51" s="39" t="str">
        <f>Schedule!A51</f>
        <v>1100715Y02ACN#0004</v>
      </c>
      <c r="H51" s="29">
        <v>2.4499999999999999E-3</v>
      </c>
      <c r="I51" s="29" t="s">
        <v>180</v>
      </c>
      <c r="K51" s="29">
        <v>100</v>
      </c>
      <c r="L51" s="30">
        <f>Schedule!C51</f>
        <v>44392</v>
      </c>
      <c r="M51" s="29" t="s">
        <v>50</v>
      </c>
      <c r="N51" s="29" t="b">
        <v>0</v>
      </c>
      <c r="P51" s="29" t="b">
        <v>1</v>
      </c>
    </row>
    <row r="52" spans="1:16" x14ac:dyDescent="0.25">
      <c r="A52" s="39" t="str">
        <f>_xll.qlFixedRateBond(B52,C52,D52,E52,F52,G52,H52,I52,J52,K52,L52,M52,N52,O52,P52)</f>
        <v>obj_0004c#0006</v>
      </c>
      <c r="D52" s="29" t="s">
        <v>115</v>
      </c>
      <c r="E52" s="29">
        <v>0</v>
      </c>
      <c r="F52" s="29">
        <v>500000000</v>
      </c>
      <c r="G52" s="39" t="str">
        <f>Schedule!A52</f>
        <v>1100715Y02AHN#0004</v>
      </c>
      <c r="H52" s="29">
        <v>2.5000000000000001E-3</v>
      </c>
      <c r="I52" s="29" t="s">
        <v>180</v>
      </c>
      <c r="K52" s="29">
        <v>100</v>
      </c>
      <c r="L52" s="30">
        <f>Schedule!C52</f>
        <v>44392</v>
      </c>
      <c r="M52" s="29" t="s">
        <v>50</v>
      </c>
      <c r="N52" s="29" t="b">
        <v>0</v>
      </c>
      <c r="P52" s="29" t="b">
        <v>1</v>
      </c>
    </row>
    <row r="53" spans="1:16" x14ac:dyDescent="0.25">
      <c r="A53" s="39" t="str">
        <f>_xll.qlFixedRateBond(B53,C53,D53,E53,F53,G53,H53,I53,J53,K53,L53,M53,N53,O53,P53)</f>
        <v>obj_0004b#0006</v>
      </c>
      <c r="D53" s="29" t="s">
        <v>115</v>
      </c>
      <c r="E53" s="29">
        <v>0</v>
      </c>
      <c r="F53" s="29">
        <v>1000000000</v>
      </c>
      <c r="G53" s="39" t="str">
        <f>Schedule!A53</f>
        <v>1100906364A8N#0004</v>
      </c>
      <c r="H53" s="29">
        <v>2.3500000000000001E-3</v>
      </c>
      <c r="I53" s="29" t="s">
        <v>180</v>
      </c>
      <c r="K53" s="29">
        <v>100</v>
      </c>
      <c r="L53" s="30">
        <f>Schedule!C53</f>
        <v>44445</v>
      </c>
      <c r="M53" s="29" t="s">
        <v>50</v>
      </c>
      <c r="N53" s="29" t="b">
        <v>0</v>
      </c>
      <c r="P53" s="29" t="b">
        <v>1</v>
      </c>
    </row>
    <row r="54" spans="1:16" x14ac:dyDescent="0.25">
      <c r="A54" s="39" t="str">
        <f>_xll.qlFixedRateBond(B54,C54,D54,E54,F54,G54,H54,I54,J54,K54,L54,M54,N54,O54,P54)</f>
        <v>obj_00033#0006</v>
      </c>
      <c r="D54" s="29" t="s">
        <v>115</v>
      </c>
      <c r="E54" s="29">
        <v>0</v>
      </c>
      <c r="F54" s="29">
        <v>500000000</v>
      </c>
      <c r="G54" s="39" t="str">
        <f>Schedule!A54</f>
        <v>1101004364AHN#0004</v>
      </c>
      <c r="H54" s="29">
        <v>2.5999999999999999E-3</v>
      </c>
      <c r="I54" s="29" t="s">
        <v>180</v>
      </c>
      <c r="K54" s="29">
        <v>100</v>
      </c>
      <c r="L54" s="30">
        <f>Schedule!C54</f>
        <v>44473</v>
      </c>
      <c r="M54" s="29" t="s">
        <v>50</v>
      </c>
      <c r="N54" s="29" t="b">
        <v>0</v>
      </c>
      <c r="P54" s="29" t="b">
        <v>1</v>
      </c>
    </row>
    <row r="55" spans="1:16" x14ac:dyDescent="0.25">
      <c r="A55" s="39" t="str">
        <f>_xll.qlFixedRateBond(B55,C55,D55,E55,F55,G55,H55,I55,J55,K55,L55,M55,N55,O55,P55)</f>
        <v>obj_00047#0006</v>
      </c>
      <c r="D55" s="29" t="s">
        <v>115</v>
      </c>
      <c r="E55" s="29">
        <v>0</v>
      </c>
      <c r="F55" s="29">
        <v>415000000</v>
      </c>
      <c r="G55" s="39" t="str">
        <f>Schedule!A55</f>
        <v>1101004364APN#0004</v>
      </c>
      <c r="H55" s="29">
        <v>2.6800000000000001E-3</v>
      </c>
      <c r="I55" s="29" t="s">
        <v>180</v>
      </c>
      <c r="K55" s="29">
        <v>100</v>
      </c>
      <c r="L55" s="30">
        <f>Schedule!C55</f>
        <v>44473</v>
      </c>
      <c r="M55" s="29" t="s">
        <v>50</v>
      </c>
      <c r="N55" s="29" t="b">
        <v>0</v>
      </c>
      <c r="P55" s="29" t="b">
        <v>1</v>
      </c>
    </row>
    <row r="56" spans="1:16" x14ac:dyDescent="0.25">
      <c r="A56" s="39" t="str">
        <f>_xll.qlFixedRateBond(B56,C56,D56,E56,F56,G56,H56,I56,J56,K56,L56,M56,N56,O56,P56)</f>
        <v>obj_0003b#0006</v>
      </c>
      <c r="D56" s="29" t="s">
        <v>115</v>
      </c>
      <c r="E56" s="29">
        <v>0</v>
      </c>
      <c r="F56" s="29">
        <v>1000000000</v>
      </c>
      <c r="G56" s="39" t="str">
        <f>Schedule!A56</f>
        <v>1101104364AGN#0004</v>
      </c>
      <c r="H56" s="29">
        <v>2.9199999999999999E-3</v>
      </c>
      <c r="I56" s="29" t="s">
        <v>180</v>
      </c>
      <c r="K56" s="29">
        <v>100</v>
      </c>
      <c r="L56" s="30">
        <f>Schedule!C56</f>
        <v>44504</v>
      </c>
      <c r="M56" s="29" t="s">
        <v>50</v>
      </c>
      <c r="N56" s="29" t="b">
        <v>0</v>
      </c>
      <c r="P56" s="29" t="b">
        <v>1</v>
      </c>
    </row>
    <row r="57" spans="1:16" x14ac:dyDescent="0.25">
      <c r="A57" s="39" t="str">
        <f>_xll.qlFixedRateBond(B57,C57,D57,E57,F57,G57,H57,I57,J57,K57,L57,M57,N57,O57,P57)</f>
        <v>obj_00046#0006</v>
      </c>
      <c r="D57" s="29" t="s">
        <v>115</v>
      </c>
      <c r="E57" s="29">
        <v>0</v>
      </c>
      <c r="F57" s="29">
        <v>1000000000</v>
      </c>
      <c r="G57" s="39" t="str">
        <f>Schedule!A57</f>
        <v>1101104364ALN#0004</v>
      </c>
      <c r="H57" s="29">
        <v>2.98E-3</v>
      </c>
      <c r="I57" s="29" t="s">
        <v>180</v>
      </c>
      <c r="K57" s="29">
        <v>100</v>
      </c>
      <c r="L57" s="30">
        <f>Schedule!C57</f>
        <v>44504</v>
      </c>
      <c r="M57" s="29" t="s">
        <v>50</v>
      </c>
      <c r="N57" s="29" t="b">
        <v>0</v>
      </c>
      <c r="P57" s="29" t="b">
        <v>1</v>
      </c>
    </row>
    <row r="58" spans="1:16" x14ac:dyDescent="0.25">
      <c r="A58" s="39" t="str">
        <f>_xll.qlFixedRateBond(B58,C58,D58,E58,F58,G58,H58,I58,J58,K58,L58,M58,N58,O58,P58)</f>
        <v>obj_00012#0006</v>
      </c>
      <c r="D58" s="29" t="s">
        <v>115</v>
      </c>
      <c r="E58" s="29">
        <v>0</v>
      </c>
      <c r="F58" s="29">
        <v>500000000</v>
      </c>
      <c r="G58" s="39" t="str">
        <f>Schedule!A58</f>
        <v>1101206364AGN#0004</v>
      </c>
      <c r="H58" s="29">
        <v>3.2499999999999999E-3</v>
      </c>
      <c r="I58" s="29" t="s">
        <v>180</v>
      </c>
      <c r="K58" s="29">
        <v>100</v>
      </c>
      <c r="L58" s="30">
        <f>Schedule!C58</f>
        <v>44536</v>
      </c>
      <c r="M58" s="29" t="s">
        <v>50</v>
      </c>
      <c r="N58" s="29" t="b">
        <v>0</v>
      </c>
      <c r="P58" s="29" t="b">
        <v>1</v>
      </c>
    </row>
    <row r="59" spans="1:16" x14ac:dyDescent="0.25">
      <c r="G59" s="39"/>
    </row>
    <row r="60" spans="1:16" x14ac:dyDescent="0.25">
      <c r="G60" s="39"/>
    </row>
    <row r="61" spans="1:16" x14ac:dyDescent="0.25">
      <c r="G61" s="39"/>
    </row>
    <row r="62" spans="1:16" x14ac:dyDescent="0.25">
      <c r="G62" s="39"/>
    </row>
    <row r="63" spans="1:16" x14ac:dyDescent="0.25">
      <c r="G63" s="39"/>
    </row>
    <row r="64" spans="1:16" x14ac:dyDescent="0.25">
      <c r="G64" s="39"/>
    </row>
    <row r="65" spans="7:7" x14ac:dyDescent="0.25">
      <c r="G65" s="39"/>
    </row>
    <row r="66" spans="7:7" x14ac:dyDescent="0.25">
      <c r="G66" s="39"/>
    </row>
    <row r="67" spans="7:7" x14ac:dyDescent="0.25">
      <c r="G67" s="39"/>
    </row>
    <row r="68" spans="7:7" x14ac:dyDescent="0.25">
      <c r="G68" s="39"/>
    </row>
    <row r="69" spans="7:7" x14ac:dyDescent="0.25">
      <c r="G69" s="39"/>
    </row>
    <row r="70" spans="7:7" x14ac:dyDescent="0.25">
      <c r="G70" s="39"/>
    </row>
    <row r="71" spans="7:7" x14ac:dyDescent="0.25">
      <c r="G71" s="39"/>
    </row>
    <row r="72" spans="7:7" x14ac:dyDescent="0.25">
      <c r="G72" s="39"/>
    </row>
    <row r="73" spans="7:7" x14ac:dyDescent="0.25">
      <c r="G73" s="39"/>
    </row>
    <row r="74" spans="7:7" x14ac:dyDescent="0.25">
      <c r="G74" s="39"/>
    </row>
    <row r="75" spans="7:7" x14ac:dyDescent="0.25">
      <c r="G75" s="39"/>
    </row>
    <row r="76" spans="7:7" x14ac:dyDescent="0.25">
      <c r="G76" s="39"/>
    </row>
    <row r="77" spans="7:7" x14ac:dyDescent="0.25">
      <c r="G77" s="39"/>
    </row>
    <row r="78" spans="7:7" x14ac:dyDescent="0.25">
      <c r="G78" s="39"/>
    </row>
    <row r="79" spans="7:7" x14ac:dyDescent="0.25">
      <c r="G79" s="39"/>
    </row>
    <row r="80" spans="7:7" x14ac:dyDescent="0.25">
      <c r="G80" s="39"/>
    </row>
    <row r="81" spans="7:7" x14ac:dyDescent="0.25">
      <c r="G81" s="39"/>
    </row>
    <row r="82" spans="7:7" x14ac:dyDescent="0.25">
      <c r="G82" s="39"/>
    </row>
    <row r="83" spans="7:7" x14ac:dyDescent="0.25">
      <c r="G83" s="39"/>
    </row>
    <row r="84" spans="7:7" x14ac:dyDescent="0.25">
      <c r="G84" s="39"/>
    </row>
    <row r="85" spans="7:7" x14ac:dyDescent="0.25">
      <c r="G85" s="39"/>
    </row>
    <row r="86" spans="7:7" x14ac:dyDescent="0.25">
      <c r="G86" s="39"/>
    </row>
    <row r="87" spans="7:7" x14ac:dyDescent="0.25">
      <c r="G87" s="39"/>
    </row>
    <row r="88" spans="7:7" x14ac:dyDescent="0.25">
      <c r="G88" s="39"/>
    </row>
    <row r="89" spans="7:7" x14ac:dyDescent="0.25">
      <c r="G89" s="39"/>
    </row>
    <row r="90" spans="7:7" x14ac:dyDescent="0.25">
      <c r="G90" s="39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8"/>
  <sheetViews>
    <sheetView workbookViewId="0">
      <selection activeCell="F17" sqref="F17"/>
    </sheetView>
  </sheetViews>
  <sheetFormatPr defaultRowHeight="15.75" x14ac:dyDescent="0.25"/>
  <cols>
    <col min="1" max="1" width="18.625" style="29" customWidth="1"/>
    <col min="2" max="2" width="13.5" style="29" customWidth="1"/>
    <col min="3" max="4" width="21.25" style="29" customWidth="1"/>
    <col min="5" max="5" width="16.5" style="29" customWidth="1"/>
    <col min="6" max="7" width="16.75" style="29" customWidth="1"/>
    <col min="8" max="13" width="12.875" style="29" customWidth="1"/>
    <col min="14" max="14" width="13.875" style="29" customWidth="1"/>
    <col min="15" max="18" width="9" style="29"/>
    <col min="19" max="19" width="13.125" style="29" customWidth="1"/>
    <col min="20" max="16384" width="9" style="29"/>
  </cols>
  <sheetData>
    <row r="1" spans="1:13" x14ac:dyDescent="0.25">
      <c r="A1" s="30">
        <f>NCD!B1</f>
        <v>44565</v>
      </c>
      <c r="B1" s="53" t="s">
        <v>169</v>
      </c>
      <c r="C1" s="53">
        <v>1</v>
      </c>
      <c r="E1" s="4" t="s">
        <v>76</v>
      </c>
      <c r="F1" s="4" t="s">
        <v>77</v>
      </c>
      <c r="G1" s="4" t="s">
        <v>78</v>
      </c>
      <c r="H1" s="5" t="s">
        <v>74</v>
      </c>
      <c r="I1" s="5" t="s">
        <v>11</v>
      </c>
      <c r="J1" s="5" t="s">
        <v>75</v>
      </c>
      <c r="K1" s="5" t="s">
        <v>5</v>
      </c>
      <c r="L1" s="5" t="s">
        <v>6</v>
      </c>
      <c r="M1" s="5" t="s">
        <v>7</v>
      </c>
    </row>
    <row r="2" spans="1:13" x14ac:dyDescent="0.25">
      <c r="A2" s="35" t="str">
        <f>BulletBond!A2</f>
        <v>obj_00082#0006</v>
      </c>
      <c r="B2" s="29" t="s">
        <v>113</v>
      </c>
      <c r="C2" s="31">
        <v>2004158293.4454999</v>
      </c>
      <c r="D2" s="31">
        <f>C2-F2</f>
        <v>-0.15067696571350098</v>
      </c>
      <c r="E2" s="42">
        <f>_xll.qlBondCleanPrice(BulletBond!A2,PricingEng!$C$1)</f>
        <v>100.00136673460337</v>
      </c>
      <c r="F2" s="31">
        <f>_xll.qlInstrumentNPV(BulletBond!A2, $C$1)</f>
        <v>2004158293.5961769</v>
      </c>
      <c r="G2" s="29" t="e">
        <f>_xll.qlInstrumentSetPricingEngine(BulletBond!A2,$H$2,$L$2)</f>
        <v>#NUM!</v>
      </c>
      <c r="H2" s="55" t="str">
        <f>_xll.qlBondEngine(I2,J2,K2,L2,M2)</f>
        <v>NCDEng#0000</v>
      </c>
      <c r="I2" s="29" t="s">
        <v>170</v>
      </c>
      <c r="J2" s="54" t="str">
        <f>NCD!$D$25</f>
        <v>TWNCDDF#0000</v>
      </c>
      <c r="K2" s="29" t="b">
        <v>0</v>
      </c>
      <c r="L2" s="56">
        <f>_xll.ohTrigger(NCD!E2)</f>
        <v>0</v>
      </c>
      <c r="M2" s="29" t="b">
        <v>1</v>
      </c>
    </row>
    <row r="3" spans="1:13" x14ac:dyDescent="0.25">
      <c r="A3" s="35" t="str">
        <f>BulletBond!A3</f>
        <v>obj_0006a#0006</v>
      </c>
      <c r="B3" s="29" t="s">
        <v>113</v>
      </c>
      <c r="C3" s="31">
        <v>499781029.57179999</v>
      </c>
      <c r="D3" s="31">
        <f t="shared" ref="D3:D56" si="0">C3-F3</f>
        <v>-0.31425052881240845</v>
      </c>
      <c r="E3" s="42">
        <f>_xll.qlBondCleanPrice(BulletBond!A3,PricingEng!$C$1)</f>
        <v>99.863575840223803</v>
      </c>
      <c r="F3" s="31">
        <f>_xll.qlInstrumentNPV(BulletBond!A3, $C$1)</f>
        <v>499781029.88605052</v>
      </c>
      <c r="G3" s="29" t="e">
        <f>_xll.qlInstrumentSetPricingEngine(BulletBond!A3,$H$2,$L$2)</f>
        <v>#NUM!</v>
      </c>
      <c r="H3" s="41"/>
    </row>
    <row r="4" spans="1:13" x14ac:dyDescent="0.25">
      <c r="A4" s="35" t="str">
        <f>BulletBond!A4</f>
        <v>obj_0006b#0006</v>
      </c>
      <c r="B4" s="29" t="s">
        <v>113</v>
      </c>
      <c r="C4" s="31">
        <v>499805893.6225</v>
      </c>
      <c r="D4" s="31">
        <f t="shared" si="0"/>
        <v>0.17762070894241333</v>
      </c>
      <c r="E4" s="42">
        <f>_xll.qlBondCleanPrice(BulletBond!A4,PricingEng!$C$1)</f>
        <v>99.866534853359425</v>
      </c>
      <c r="F4" s="31">
        <f>_xll.qlInstrumentNPV(BulletBond!A4, $C$1)</f>
        <v>499805893.44487929</v>
      </c>
      <c r="G4" s="29" t="e">
        <f>_xll.qlInstrumentSetPricingEngine(BulletBond!A4,$H$2,$L$2)</f>
        <v>#NUM!</v>
      </c>
      <c r="H4" s="41"/>
    </row>
    <row r="5" spans="1:13" x14ac:dyDescent="0.25">
      <c r="A5" s="35" t="str">
        <f>BulletBond!A5</f>
        <v>obj_00076#0006</v>
      </c>
      <c r="B5" s="29" t="s">
        <v>113</v>
      </c>
      <c r="C5" s="31">
        <v>999510067.68429995</v>
      </c>
      <c r="D5" s="31">
        <f t="shared" si="0"/>
        <v>-0.45081257820129395</v>
      </c>
      <c r="E5" s="42">
        <f>_xll.qlBondCleanPrice(BulletBond!A5,PricingEng!$C$1)</f>
        <v>99.876672566935895</v>
      </c>
      <c r="F5" s="31">
        <f>_xll.qlInstrumentNPV(BulletBond!A5, $C$1)</f>
        <v>999510068.13511252</v>
      </c>
      <c r="G5" s="29" t="e">
        <f>_xll.qlInstrumentSetPricingEngine(BulletBond!A5,$H$2,$L$2)</f>
        <v>#NUM!</v>
      </c>
      <c r="H5" s="41"/>
      <c r="I5" s="30"/>
      <c r="L5" s="30"/>
      <c r="M5" s="30"/>
    </row>
    <row r="6" spans="1:13" x14ac:dyDescent="0.25">
      <c r="A6" s="35" t="str">
        <f>BulletBond!A6</f>
        <v>obj_00075#0006</v>
      </c>
      <c r="B6" s="29" t="s">
        <v>113</v>
      </c>
      <c r="C6" s="31">
        <v>999549844.73049998</v>
      </c>
      <c r="D6" s="31">
        <f t="shared" si="0"/>
        <v>0.13661956787109375</v>
      </c>
      <c r="E6" s="42">
        <f>_xll.qlBondCleanPrice(BulletBond!A6,PricingEng!$C$1)</f>
        <v>99.879400897744205</v>
      </c>
      <c r="F6" s="31">
        <f>_xll.qlInstrumentNPV(BulletBond!A6, $C$1)</f>
        <v>999549844.59388041</v>
      </c>
      <c r="G6" s="29" t="e">
        <f>_xll.qlInstrumentSetPricingEngine(BulletBond!A6,$H$2,$L$2)</f>
        <v>#NUM!</v>
      </c>
      <c r="H6" s="41"/>
      <c r="I6" s="30"/>
    </row>
    <row r="7" spans="1:13" x14ac:dyDescent="0.25">
      <c r="A7" s="35" t="str">
        <f>BulletBond!A7</f>
        <v>obj_00070#0006</v>
      </c>
      <c r="B7" s="29" t="s">
        <v>113</v>
      </c>
      <c r="C7" s="31">
        <v>439815058.27609998</v>
      </c>
      <c r="D7" s="31">
        <f t="shared" si="0"/>
        <v>0.42339926958084106</v>
      </c>
      <c r="E7" s="42">
        <f>_xll.qlBondCleanPrice(BulletBond!A7,PricingEng!$C$1)</f>
        <v>99.881447145850416</v>
      </c>
      <c r="F7" s="31">
        <f>_xll.qlInstrumentNPV(BulletBond!A7, $C$1)</f>
        <v>439815057.85270071</v>
      </c>
      <c r="G7" s="29" t="e">
        <f>_xll.qlInstrumentSetPricingEngine(BulletBond!A7,$H$2,$L$2)</f>
        <v>#NUM!</v>
      </c>
      <c r="H7" s="41"/>
    </row>
    <row r="8" spans="1:13" x14ac:dyDescent="0.25">
      <c r="A8" s="35" t="str">
        <f>BulletBond!A8</f>
        <v>obj_0007a#0006</v>
      </c>
      <c r="B8" s="29" t="s">
        <v>113</v>
      </c>
      <c r="C8" s="31">
        <v>499833460.32779998</v>
      </c>
      <c r="D8" s="31">
        <f t="shared" si="0"/>
        <v>0.13657552003860474</v>
      </c>
      <c r="E8" s="42">
        <f>_xll.qlBondCleanPrice(BulletBond!A8,PricingEng!$C$1)</f>
        <v>99.904253682080508</v>
      </c>
      <c r="F8" s="31">
        <f>_xll.qlInstrumentNPV(BulletBond!A8, $C$1)</f>
        <v>499833460.19122446</v>
      </c>
      <c r="G8" s="29" t="e">
        <f>_xll.qlInstrumentSetPricingEngine(BulletBond!A8,$H$2,$L$2)</f>
        <v>#NUM!</v>
      </c>
      <c r="H8" s="41"/>
    </row>
    <row r="9" spans="1:13" x14ac:dyDescent="0.25">
      <c r="A9" s="35" t="str">
        <f>BulletBond!A9</f>
        <v>obj_00071#0006</v>
      </c>
      <c r="B9" s="29" t="s">
        <v>113</v>
      </c>
      <c r="C9" s="31">
        <v>999941005.93560004</v>
      </c>
      <c r="D9" s="31">
        <f t="shared" si="0"/>
        <v>0.16384041309356689</v>
      </c>
      <c r="E9" s="42">
        <f>_xll.qlBondCleanPrice(BulletBond!A9,PricingEng!$C$1)</f>
        <v>99.948141673066388</v>
      </c>
      <c r="F9" s="31">
        <f>_xll.qlInstrumentNPV(BulletBond!A9, $C$1)</f>
        <v>999941005.77175963</v>
      </c>
      <c r="G9" s="29" t="e">
        <f>_xll.qlInstrumentSetPricingEngine(BulletBond!A9,$H$2,$L$2)</f>
        <v>#NUM!</v>
      </c>
      <c r="H9" s="41"/>
    </row>
    <row r="10" spans="1:13" x14ac:dyDescent="0.25">
      <c r="A10" s="35" t="str">
        <f>BulletBond!A10</f>
        <v>obj_0007c#0006</v>
      </c>
      <c r="B10" s="29" t="s">
        <v>113</v>
      </c>
      <c r="C10" s="31">
        <v>499995356.90020001</v>
      </c>
      <c r="D10" s="31">
        <f t="shared" si="0"/>
        <v>-0.4233669638633728</v>
      </c>
      <c r="E10" s="42">
        <f>_xll.qlBondCleanPrice(BulletBond!A10,PricingEng!$C$1)</f>
        <v>99.952359135946281</v>
      </c>
      <c r="F10" s="31">
        <f>_xll.qlInstrumentNPV(BulletBond!A10, $C$1)</f>
        <v>499995357.32356697</v>
      </c>
      <c r="G10" s="29" t="e">
        <f>_xll.qlInstrumentSetPricingEngine(BulletBond!A10,$H$2,$L$2)</f>
        <v>#NUM!</v>
      </c>
      <c r="H10" s="41"/>
    </row>
    <row r="11" spans="1:13" x14ac:dyDescent="0.25">
      <c r="A11" s="35" t="str">
        <f>BulletBond!A11</f>
        <v>obj_0007e#0006</v>
      </c>
      <c r="B11" s="29" t="s">
        <v>111</v>
      </c>
      <c r="C11" s="31">
        <v>900232026.99650002</v>
      </c>
      <c r="D11" s="31">
        <f t="shared" si="0"/>
        <v>0.27397000789642334</v>
      </c>
      <c r="E11" s="42">
        <f>_xll.qlBondCleanPrice(BulletBond!A11,PricingEng!$C$1)</f>
        <v>100.00063006201628</v>
      </c>
      <c r="F11" s="31">
        <f>_xll.qlInstrumentNPV(BulletBond!A11, $C$1)</f>
        <v>900232026.72253001</v>
      </c>
      <c r="G11" s="29" t="e">
        <f>_xll.qlInstrumentSetPricingEngine(BulletBond!A11,$H$2,$L$2)</f>
        <v>#NUM!</v>
      </c>
      <c r="H11" s="41"/>
    </row>
    <row r="12" spans="1:13" x14ac:dyDescent="0.25">
      <c r="A12" s="35" t="str">
        <f>BulletBond!A12</f>
        <v>obj_00073#0006</v>
      </c>
      <c r="B12" s="29" t="s">
        <v>113</v>
      </c>
      <c r="C12" s="31">
        <v>500021015.37459999</v>
      </c>
      <c r="D12" s="31">
        <f t="shared" si="0"/>
        <v>0.15021049976348877</v>
      </c>
      <c r="E12" s="42">
        <f>_xll.qlBondCleanPrice(BulletBond!A12,PricingEng!$C$1)</f>
        <v>99.983534551727217</v>
      </c>
      <c r="F12" s="31">
        <f>_xll.qlInstrumentNPV(BulletBond!A12, $C$1)</f>
        <v>500021015.22438949</v>
      </c>
      <c r="G12" s="29" t="e">
        <f>_xll.qlInstrumentSetPricingEngine(BulletBond!A12,$H$2,$L$2)</f>
        <v>#NUM!</v>
      </c>
      <c r="H12" s="41"/>
    </row>
    <row r="13" spans="1:13" x14ac:dyDescent="0.25">
      <c r="A13" s="35" t="str">
        <f>BulletBond!A13</f>
        <v>obj_00068#0006</v>
      </c>
      <c r="B13" s="29" t="s">
        <v>113</v>
      </c>
      <c r="C13" s="31">
        <v>500030955.28009999</v>
      </c>
      <c r="D13" s="31">
        <f t="shared" si="0"/>
        <v>-0.45064985752105713</v>
      </c>
      <c r="E13" s="42">
        <f>_xll.qlBondCleanPrice(BulletBond!A13,PricingEng!$C$1)</f>
        <v>99.985396625602007</v>
      </c>
      <c r="F13" s="31">
        <f>_xll.qlInstrumentNPV(BulletBond!A13, $C$1)</f>
        <v>500030955.73074985</v>
      </c>
      <c r="G13" s="29" t="e">
        <f>_xll.qlInstrumentSetPricingEngine(BulletBond!A13,$H$2,$L$2)</f>
        <v>#NUM!</v>
      </c>
      <c r="H13" s="41"/>
    </row>
    <row r="14" spans="1:13" x14ac:dyDescent="0.25">
      <c r="A14" s="35" t="str">
        <f>BulletBond!A14</f>
        <v>obj_00078#0006</v>
      </c>
      <c r="B14" s="29" t="s">
        <v>113</v>
      </c>
      <c r="C14" s="31">
        <v>500055807.03759998</v>
      </c>
      <c r="D14" s="31">
        <f t="shared" si="0"/>
        <v>4.0949702262878418E-2</v>
      </c>
      <c r="E14" s="42">
        <f>_xll.qlBondCleanPrice(BulletBond!A14,PricingEng!$C$1)</f>
        <v>99.990051810288975</v>
      </c>
      <c r="F14" s="31">
        <f>_xll.qlInstrumentNPV(BulletBond!A14, $C$1)</f>
        <v>500055806.99665028</v>
      </c>
      <c r="G14" s="29" t="e">
        <f>_xll.qlInstrumentSetPricingEngine(BulletBond!A14,$H$2,$L$2)</f>
        <v>#NUM!</v>
      </c>
      <c r="H14" s="41"/>
    </row>
    <row r="15" spans="1:13" x14ac:dyDescent="0.25">
      <c r="A15" s="35" t="str">
        <f>BulletBond!A15</f>
        <v>obj_00081#0006</v>
      </c>
      <c r="B15" s="29" t="s">
        <v>113</v>
      </c>
      <c r="C15" s="31">
        <v>500080657.79830003</v>
      </c>
      <c r="D15" s="31">
        <f t="shared" si="0"/>
        <v>-0.46425086259841919</v>
      </c>
      <c r="E15" s="42">
        <f>_xll.qlBondCleanPrice(BulletBond!A15,PricingEng!$C$1)</f>
        <v>99.994706994975928</v>
      </c>
      <c r="F15" s="31">
        <f>_xll.qlInstrumentNPV(BulletBond!A15, $C$1)</f>
        <v>500080658.26255089</v>
      </c>
      <c r="G15" s="29" t="e">
        <f>_xll.qlInstrumentSetPricingEngine(BulletBond!A15,$H$2,$L$2)</f>
        <v>#NUM!</v>
      </c>
      <c r="H15" s="41"/>
    </row>
    <row r="16" spans="1:13" x14ac:dyDescent="0.25">
      <c r="A16" s="35" t="str">
        <f>BulletBond!A16</f>
        <v>obj_00069#0006</v>
      </c>
      <c r="B16" s="29" t="s">
        <v>111</v>
      </c>
      <c r="C16" s="31">
        <v>800191777.24199998</v>
      </c>
      <c r="D16" s="31">
        <f t="shared" si="0"/>
        <v>0.46578395366668701</v>
      </c>
      <c r="E16" s="42">
        <f>_xll.qlBondCleanPrice(BulletBond!A16,PricingEng!$C$1)</f>
        <v>100.00441045319138</v>
      </c>
      <c r="F16" s="31">
        <f>_xll.qlInstrumentNPV(BulletBond!A16, $C$1)</f>
        <v>800191776.77621603</v>
      </c>
      <c r="G16" s="29" t="e">
        <f>_xll.qlInstrumentSetPricingEngine(BulletBond!A16,$H$2,$L$2)</f>
        <v>#NUM!</v>
      </c>
      <c r="H16" s="41"/>
    </row>
    <row r="17" spans="1:14" x14ac:dyDescent="0.25">
      <c r="A17" s="35" t="str">
        <f>BulletBond!A17</f>
        <v>obj_0006c#0006</v>
      </c>
      <c r="B17" s="29" t="s">
        <v>114</v>
      </c>
      <c r="C17" s="31">
        <v>1300210482.0130999</v>
      </c>
      <c r="D17" s="31">
        <f t="shared" si="0"/>
        <v>9.5877408981323242E-2</v>
      </c>
      <c r="E17" s="42">
        <f>_xll.qlBondCleanPrice(BulletBond!A17,PricingEng!$C$1)</f>
        <v>100.003149820819</v>
      </c>
      <c r="F17" s="31">
        <f>_xll.qlInstrumentNPV(BulletBond!A17, $C$1)</f>
        <v>1300210481.9172225</v>
      </c>
      <c r="G17" s="29" t="e">
        <f>_xll.qlInstrumentSetPricingEngine(BulletBond!A17,$H$2,$L$2)</f>
        <v>#NUM!</v>
      </c>
      <c r="H17" s="41"/>
    </row>
    <row r="18" spans="1:14" x14ac:dyDescent="0.25">
      <c r="A18" s="35" t="str">
        <f>BulletBond!A18</f>
        <v>obj_0007d#0006</v>
      </c>
      <c r="B18" s="29" t="s">
        <v>111</v>
      </c>
      <c r="C18" s="31">
        <v>1300207749.3814001</v>
      </c>
      <c r="D18" s="31">
        <f t="shared" si="0"/>
        <v>-0.49305295944213867</v>
      </c>
      <c r="E18" s="42">
        <f>_xll.qlBondCleanPrice(BulletBond!A18,PricingEng!$C$1)</f>
        <v>100.00293966368291</v>
      </c>
      <c r="F18" s="31">
        <f>_xll.qlInstrumentNPV(BulletBond!A18, $C$1)</f>
        <v>1300207749.8744531</v>
      </c>
      <c r="G18" s="29" t="e">
        <f>_xll.qlInstrumentSetPricingEngine(BulletBond!A18,$H$2,$L$2)</f>
        <v>#NUM!</v>
      </c>
      <c r="H18" s="41"/>
    </row>
    <row r="19" spans="1:14" x14ac:dyDescent="0.25">
      <c r="A19" s="35" t="str">
        <f>BulletBond!A19</f>
        <v>obj_00079#0006</v>
      </c>
      <c r="B19" s="29" t="s">
        <v>111</v>
      </c>
      <c r="C19" s="31">
        <v>1600237427.0044</v>
      </c>
      <c r="D19" s="31">
        <f t="shared" si="0"/>
        <v>-6.8521499633789063E-2</v>
      </c>
      <c r="E19" s="42">
        <f>_xll.qlBondCleanPrice(BulletBond!A19,PricingEng!$C$1)</f>
        <v>100.00272960301649</v>
      </c>
      <c r="F19" s="31">
        <f>_xll.qlInstrumentNPV(BulletBond!A19, $C$1)</f>
        <v>1600237427.0729215</v>
      </c>
      <c r="G19" s="29" t="e">
        <f>_xll.qlInstrumentSetPricingEngine(BulletBond!A19,$H$2,$L$2)</f>
        <v>#NUM!</v>
      </c>
      <c r="H19" s="41"/>
    </row>
    <row r="20" spans="1:14" x14ac:dyDescent="0.25">
      <c r="A20" s="35" t="str">
        <f>BulletBond!A20</f>
        <v>obj_00077#0006</v>
      </c>
      <c r="B20" s="29" t="s">
        <v>111</v>
      </c>
      <c r="C20" s="31">
        <v>1650226010.8556001</v>
      </c>
      <c r="D20" s="31">
        <f t="shared" si="0"/>
        <v>-0.16433024406433105</v>
      </c>
      <c r="E20" s="42">
        <f>_xll.qlBondCleanPrice(BulletBond!A20,PricingEng!$C$1)</f>
        <v>100.00251955537976</v>
      </c>
      <c r="F20" s="31">
        <f>_xll.qlInstrumentNPV(BulletBond!A20, $C$1)</f>
        <v>1650226011.0199304</v>
      </c>
      <c r="G20" s="29" t="e">
        <f>_xll.qlInstrumentSetPricingEngine(BulletBond!A20,$H$2,$L$2)</f>
        <v>#NUM!</v>
      </c>
      <c r="H20" s="41"/>
    </row>
    <row r="21" spans="1:14" x14ac:dyDescent="0.25">
      <c r="A21" s="35" t="str">
        <f>BulletBond!A21</f>
        <v>obj_00072#0006</v>
      </c>
      <c r="B21" s="29" t="s">
        <v>112</v>
      </c>
      <c r="C21" s="31">
        <v>500123092.79470003</v>
      </c>
      <c r="D21" s="31">
        <f t="shared" si="0"/>
        <v>10.230749130249023</v>
      </c>
      <c r="E21" s="42">
        <f>_xll.qlBondCleanPrice(BulletBond!A21,PricingEng!$C$1)</f>
        <v>100.01241103333811</v>
      </c>
      <c r="F21" s="31">
        <f>_xll.qlInstrumentNPV(BulletBond!A21, $C$1)</f>
        <v>500123082.5639509</v>
      </c>
      <c r="G21" s="29" t="e">
        <f>_xll.qlInstrumentSetPricingEngine(BulletBond!A21,$H$2,$L$2)</f>
        <v>#NUM!</v>
      </c>
      <c r="H21" s="41"/>
    </row>
    <row r="22" spans="1:14" x14ac:dyDescent="0.25">
      <c r="A22" s="35" t="str">
        <f>BulletBond!A22</f>
        <v>obj_00074#0006</v>
      </c>
      <c r="B22" s="29" t="s">
        <v>112</v>
      </c>
      <c r="C22" s="31">
        <v>500172614.83579999</v>
      </c>
      <c r="D22" s="31">
        <f t="shared" si="0"/>
        <v>10.231789290904999</v>
      </c>
      <c r="E22" s="42">
        <f>_xll.qlBondCleanPrice(BulletBond!A22,PricingEng!$C$1)</f>
        <v>100.02219215367884</v>
      </c>
      <c r="F22" s="31">
        <f>_xll.qlInstrumentNPV(BulletBond!A22, $C$1)</f>
        <v>500172604.6040107</v>
      </c>
      <c r="G22" s="29" t="e">
        <f>_xll.qlInstrumentSetPricingEngine(BulletBond!A22,$H$2,$L$2)</f>
        <v>#NUM!</v>
      </c>
      <c r="H22" s="41"/>
    </row>
    <row r="23" spans="1:14" x14ac:dyDescent="0.25">
      <c r="A23" s="35" t="str">
        <f>BulletBond!A23</f>
        <v>obj_00080#0006</v>
      </c>
      <c r="B23" s="29" t="s">
        <v>111</v>
      </c>
      <c r="C23" s="31">
        <v>2550203746.6543999</v>
      </c>
      <c r="D23" s="31">
        <f t="shared" si="0"/>
        <v>0.10957622528076172</v>
      </c>
      <c r="E23" s="42">
        <f>_xll.qlBondCleanPrice(BulletBond!A23,PricingEng!$C$1)</f>
        <v>100.00146951263611</v>
      </c>
      <c r="F23" s="31">
        <f>_xll.qlInstrumentNPV(BulletBond!A23, $C$1)</f>
        <v>2550203746.5448236</v>
      </c>
      <c r="G23" s="29" t="e">
        <f>_xll.qlInstrumentSetPricingEngine(BulletBond!A23,$H$2,$L$2)</f>
        <v>#NUM!</v>
      </c>
      <c r="H23" s="41"/>
    </row>
    <row r="24" spans="1:14" x14ac:dyDescent="0.25">
      <c r="A24" s="35" t="str">
        <f>BulletBond!A24</f>
        <v>obj_0006f#0006</v>
      </c>
      <c r="B24" s="29" t="s">
        <v>111</v>
      </c>
      <c r="C24" s="31">
        <v>1900130123.4572001</v>
      </c>
      <c r="D24" s="31">
        <f t="shared" si="0"/>
        <v>0.35606551170349121</v>
      </c>
      <c r="E24" s="42">
        <f>_xll.qlBondCleanPrice(BulletBond!A24,PricingEng!$C$1)</f>
        <v>100.00125954317436</v>
      </c>
      <c r="F24" s="31">
        <f>_xll.qlInstrumentNPV(BulletBond!A24, $C$1)</f>
        <v>1900130123.1011345</v>
      </c>
      <c r="G24" s="29" t="e">
        <f>_xll.qlInstrumentSetPricingEngine(BulletBond!A24,$H$2,$L$2)</f>
        <v>#NUM!</v>
      </c>
      <c r="H24" s="41"/>
    </row>
    <row r="25" spans="1:14" x14ac:dyDescent="0.25">
      <c r="A25" s="35" t="str">
        <f>BulletBond!A25</f>
        <v>obj_0006e#0006</v>
      </c>
      <c r="B25" s="29" t="s">
        <v>111</v>
      </c>
      <c r="C25" s="31">
        <v>1500085606.9381001</v>
      </c>
      <c r="D25" s="31">
        <f t="shared" si="0"/>
        <v>0.12328314781188965</v>
      </c>
      <c r="E25" s="42">
        <f>_xll.qlBondCleanPrice(BulletBond!A25,PricingEng!$C$1)</f>
        <v>100.00104958674123</v>
      </c>
      <c r="F25" s="31">
        <f>_xll.qlInstrumentNPV(BulletBond!A25, $C$1)</f>
        <v>1500085606.814817</v>
      </c>
      <c r="G25" s="29" t="e">
        <f>_xll.qlInstrumentSetPricingEngine(BulletBond!A25,$H$2,$L$2)</f>
        <v>#NUM!</v>
      </c>
      <c r="H25" s="41"/>
    </row>
    <row r="26" spans="1:14" x14ac:dyDescent="0.25">
      <c r="A26" s="35" t="str">
        <f>BulletBond!A26</f>
        <v>obj_0007f#0006</v>
      </c>
      <c r="B26" s="29" t="s">
        <v>114</v>
      </c>
      <c r="C26" s="31">
        <v>1300017569.9091001</v>
      </c>
      <c r="D26" s="31">
        <f t="shared" si="0"/>
        <v>9.5844507217407227E-2</v>
      </c>
      <c r="E26" s="42">
        <f>_xll.qlBondCleanPrice(BulletBond!A26,PricingEng!$C$1)</f>
        <v>100.00042001724727</v>
      </c>
      <c r="F26" s="31">
        <f>_xll.qlInstrumentNPV(BulletBond!A26, $C$1)</f>
        <v>1300017569.8132555</v>
      </c>
      <c r="G26" s="29" t="e">
        <f>_xll.qlInstrumentSetPricingEngine(BulletBond!A26,$H$2,$L$2)</f>
        <v>#NUM!</v>
      </c>
      <c r="H26" s="41"/>
    </row>
    <row r="27" spans="1:14" x14ac:dyDescent="0.25">
      <c r="A27" s="35" t="str">
        <f>BulletBond!A27</f>
        <v>obj_0007b#0006</v>
      </c>
      <c r="B27" s="29" t="s">
        <v>111</v>
      </c>
      <c r="C27" s="31">
        <v>1400015979.8889999</v>
      </c>
      <c r="D27" s="31">
        <f t="shared" si="0"/>
        <v>0.31501936912536621</v>
      </c>
      <c r="E27" s="42">
        <f>_xll.qlBondCleanPrice(BulletBond!A27,PricingEng!$C$1)</f>
        <v>100.00020989129216</v>
      </c>
      <c r="F27" s="31">
        <f>_xll.qlInstrumentNPV(BulletBond!A27, $C$1)</f>
        <v>1400015979.5739806</v>
      </c>
      <c r="G27" s="29" t="e">
        <f>_xll.qlInstrumentSetPricingEngine(BulletBond!A27,$H$2,$L$2)</f>
        <v>#NUM!</v>
      </c>
      <c r="H27" s="41"/>
    </row>
    <row r="28" spans="1:14" x14ac:dyDescent="0.25">
      <c r="A28" s="35" t="str">
        <f>BulletBond!A28</f>
        <v>obj_00044#0006</v>
      </c>
      <c r="B28" s="29" t="s">
        <v>111</v>
      </c>
      <c r="C28" s="31">
        <v>500000000.04110003</v>
      </c>
      <c r="D28" s="31">
        <f t="shared" si="0"/>
        <v>4.1100025177001953E-2</v>
      </c>
      <c r="E28" s="42">
        <f>_xll.qlBondCleanPrice(BulletBond!A28,PricingEng!$C$1)</f>
        <v>100</v>
      </c>
      <c r="F28" s="31">
        <f>_xll.qlInstrumentNPV(BulletBond!A28, $C$1)</f>
        <v>500000000</v>
      </c>
      <c r="G28" s="29" t="e">
        <f>_xll.qlInstrumentSetPricingEngine(BulletBond!A28,$H$2,$L$2)</f>
        <v>#NUM!</v>
      </c>
      <c r="H28" s="41"/>
    </row>
    <row r="29" spans="1:14" x14ac:dyDescent="0.25">
      <c r="A29" s="35" t="str">
        <f>BulletBond!A29</f>
        <v>obj_0003e#0010</v>
      </c>
      <c r="B29" s="29" t="s">
        <v>112</v>
      </c>
      <c r="C29" s="31">
        <v>850562370.02320004</v>
      </c>
      <c r="D29" s="31">
        <f t="shared" si="0"/>
        <v>-4.1020393371582031E-2</v>
      </c>
      <c r="E29" s="42">
        <f>_xll.qlBondCleanPrice(BulletBond!A29,PricingEng!$C$1)</f>
        <v>99.985145358982066</v>
      </c>
      <c r="F29" s="31">
        <f>_xll.qlInstrumentNPV(BulletBond!A29, $C$1)</f>
        <v>850562370.06422043</v>
      </c>
      <c r="G29" s="29" t="e">
        <f>_xll.qlInstrumentSetPricingEngine(BulletBond!A29,$H$2,$L$2)</f>
        <v>#NUM!</v>
      </c>
      <c r="H29" s="41"/>
    </row>
    <row r="30" spans="1:14" x14ac:dyDescent="0.25">
      <c r="A30" s="35" t="str">
        <f>BulletBond!A30</f>
        <v>obj_00042#0006</v>
      </c>
      <c r="B30" s="29" t="s">
        <v>113</v>
      </c>
      <c r="C30" s="31">
        <v>3003188710.2458</v>
      </c>
      <c r="D30" s="31">
        <f t="shared" si="0"/>
        <v>-0.43805074691772461</v>
      </c>
      <c r="E30" s="42">
        <f>_xll.qlBondCleanPrice(BulletBond!A30,PricingEng!$C$1)</f>
        <v>99.962454739690003</v>
      </c>
      <c r="F30" s="31">
        <f>_xll.qlInstrumentNPV(BulletBond!A30, $C$1)</f>
        <v>3003188710.6838508</v>
      </c>
      <c r="G30" s="29" t="e">
        <f>_xll.qlInstrumentSetPricingEngine(BulletBond!A30,$H$2,$L$2)</f>
        <v>#NUM!</v>
      </c>
      <c r="H30" s="41"/>
      <c r="J30" s="30"/>
      <c r="M30" s="30"/>
      <c r="N30" s="30"/>
    </row>
    <row r="31" spans="1:14" x14ac:dyDescent="0.25">
      <c r="A31" s="35" t="str">
        <f>BulletBond!A31</f>
        <v>obj_00034#0006</v>
      </c>
      <c r="B31" s="29" t="s">
        <v>113</v>
      </c>
      <c r="C31" s="31">
        <v>80087424.216299996</v>
      </c>
      <c r="D31" s="31">
        <f t="shared" si="0"/>
        <v>0.13693296909332275</v>
      </c>
      <c r="E31" s="42">
        <f>_xll.qlBondCleanPrice(BulletBond!A31,PricingEng!$C$1)</f>
        <v>99.962978729345764</v>
      </c>
      <c r="F31" s="31">
        <f>_xll.qlInstrumentNPV(BulletBond!A31, $C$1)</f>
        <v>80087424.079367027</v>
      </c>
      <c r="G31" s="29" t="e">
        <f>_xll.qlInstrumentSetPricingEngine(BulletBond!A31,$H$2,$L$2)</f>
        <v>#NUM!</v>
      </c>
      <c r="H31" s="41"/>
      <c r="J31" s="30"/>
      <c r="M31" s="30"/>
      <c r="N31" s="30"/>
    </row>
    <row r="32" spans="1:14" x14ac:dyDescent="0.25">
      <c r="A32" s="35" t="str">
        <f>BulletBond!A32</f>
        <v>obj_0003a#0007</v>
      </c>
      <c r="B32" s="29" t="s">
        <v>113</v>
      </c>
      <c r="C32" s="31">
        <v>1501018994.1305001</v>
      </c>
      <c r="D32" s="31">
        <f t="shared" si="0"/>
        <v>-1.3589859008789063E-5</v>
      </c>
      <c r="E32" s="42">
        <f>_xll.qlBondCleanPrice(BulletBond!A32,PricingEng!$C$1)</f>
        <v>99.936261709157534</v>
      </c>
      <c r="F32" s="31">
        <f>_xll.qlInstrumentNPV(BulletBond!A32, $C$1)</f>
        <v>1501018994.1305137</v>
      </c>
      <c r="G32" s="29" t="e">
        <f>_xll.qlInstrumentSetPricingEngine(BulletBond!A32,$H$2,$L$2)</f>
        <v>#NUM!</v>
      </c>
      <c r="H32" s="41"/>
      <c r="J32" s="30"/>
    </row>
    <row r="33" spans="1:8" x14ac:dyDescent="0.25">
      <c r="A33" s="35" t="str">
        <f>BulletBond!A33</f>
        <v>obj_0003f#0007</v>
      </c>
      <c r="B33" s="29" t="s">
        <v>113</v>
      </c>
      <c r="C33" s="31">
        <v>1501048960.5708001</v>
      </c>
      <c r="D33" s="31">
        <f t="shared" si="0"/>
        <v>-3.5762786865234375E-6</v>
      </c>
      <c r="E33" s="42">
        <f>_xll.qlBondCleanPrice(BulletBond!A33,PricingEng!$C$1)</f>
        <v>99.936796458144883</v>
      </c>
      <c r="F33" s="31">
        <f>_xll.qlInstrumentNPV(BulletBond!A33, $C$1)</f>
        <v>1501048960.5708036</v>
      </c>
      <c r="G33" s="29" t="e">
        <f>_xll.qlInstrumentSetPricingEngine(BulletBond!A33,$H$2,$L$2)</f>
        <v>#NUM!</v>
      </c>
      <c r="H33" s="41"/>
    </row>
    <row r="34" spans="1:8" x14ac:dyDescent="0.25">
      <c r="A34" s="35" t="str">
        <f>BulletBond!A34</f>
        <v>obj_00045#0007</v>
      </c>
      <c r="B34" s="29" t="s">
        <v>113</v>
      </c>
      <c r="C34" s="31">
        <v>1000729273.4875</v>
      </c>
      <c r="D34" s="31">
        <f t="shared" si="0"/>
        <v>7.3909759521484375E-6</v>
      </c>
      <c r="E34" s="42">
        <f>_xll.qlBondCleanPrice(BulletBond!A34,PricingEng!$C$1)</f>
        <v>99.937598581625963</v>
      </c>
      <c r="F34" s="31">
        <f>_xll.qlInstrumentNPV(BulletBond!A34, $C$1)</f>
        <v>1000729273.4874926</v>
      </c>
      <c r="G34" s="29" t="e">
        <f>_xll.qlInstrumentSetPricingEngine(BulletBond!A34,$H$2,$L$2)</f>
        <v>#NUM!</v>
      </c>
      <c r="H34" s="41"/>
    </row>
    <row r="35" spans="1:8" x14ac:dyDescent="0.25">
      <c r="A35" s="35" t="str">
        <f>BulletBond!A35</f>
        <v>obj_0004d#0006</v>
      </c>
      <c r="B35" s="29" t="s">
        <v>112</v>
      </c>
      <c r="C35" s="31">
        <v>499474905.09640002</v>
      </c>
      <c r="D35" s="31">
        <f t="shared" si="0"/>
        <v>2.7257762551307678</v>
      </c>
      <c r="E35" s="42">
        <f>_xll.qlBondCleanPrice(BulletBond!A35,PricingEng!$C$1)</f>
        <v>99.746542117960374</v>
      </c>
      <c r="F35" s="31">
        <f>_xll.qlInstrumentNPV(BulletBond!A35, $C$1)</f>
        <v>499474902.37062377</v>
      </c>
      <c r="G35" s="29" t="e">
        <f>_xll.qlInstrumentSetPricingEngine(BulletBond!A35,$H$2,$L$2)</f>
        <v>#NUM!</v>
      </c>
    </row>
    <row r="36" spans="1:8" x14ac:dyDescent="0.25">
      <c r="A36" s="35" t="str">
        <f>BulletBond!A36</f>
        <v>obj_00035#0006</v>
      </c>
      <c r="B36" s="29" t="s">
        <v>113</v>
      </c>
      <c r="C36" s="31">
        <v>1000201619.5021</v>
      </c>
      <c r="D36" s="31">
        <f t="shared" si="0"/>
        <v>-0.4923241138458252</v>
      </c>
      <c r="E36" s="42">
        <f>_xll.qlBondCleanPrice(BulletBond!A36,PricingEng!$C$1)</f>
        <v>99.902298985743784</v>
      </c>
      <c r="F36" s="31">
        <f>_xll.qlInstrumentNPV(BulletBond!A36, $C$1)</f>
        <v>1000201619.9944241</v>
      </c>
      <c r="G36" s="29" t="e">
        <f>_xll.qlInstrumentSetPricingEngine(BulletBond!A36,$H$2,$L$2)</f>
        <v>#NUM!</v>
      </c>
    </row>
    <row r="37" spans="1:8" x14ac:dyDescent="0.25">
      <c r="A37" s="35" t="str">
        <f>BulletBond!A37</f>
        <v>obj_00032#0006</v>
      </c>
      <c r="B37" s="29" t="s">
        <v>113</v>
      </c>
      <c r="C37" s="31">
        <v>1000221533.7761</v>
      </c>
      <c r="D37" s="31">
        <f t="shared" si="0"/>
        <v>0.30090618133544922</v>
      </c>
      <c r="E37" s="42">
        <f>_xll.qlBondCleanPrice(BulletBond!A37,PricingEng!$C$1)</f>
        <v>99.902980744779654</v>
      </c>
      <c r="F37" s="31">
        <f>_xll.qlInstrumentNPV(BulletBond!A37, $C$1)</f>
        <v>1000221533.4751939</v>
      </c>
      <c r="G37" s="29" t="e">
        <f>_xll.qlInstrumentSetPricingEngine(BulletBond!A37,$H$2,$L$2)</f>
        <v>#NUM!</v>
      </c>
    </row>
    <row r="38" spans="1:8" x14ac:dyDescent="0.25">
      <c r="A38" s="35" t="str">
        <f>BulletBond!A38</f>
        <v>obj_00049#0006</v>
      </c>
      <c r="B38" s="29" t="s">
        <v>113</v>
      </c>
      <c r="C38" s="31">
        <v>2000502807.3789999</v>
      </c>
      <c r="D38" s="31">
        <f t="shared" si="0"/>
        <v>-1.3697147369384766E-2</v>
      </c>
      <c r="E38" s="42">
        <f>_xll.qlBondCleanPrice(BulletBond!A38,PricingEng!$C$1)</f>
        <v>99.904003383333489</v>
      </c>
      <c r="F38" s="31">
        <f>_xll.qlInstrumentNPV(BulletBond!A38, $C$1)</f>
        <v>2000502807.3926971</v>
      </c>
      <c r="G38" s="29" t="e">
        <f>_xll.qlInstrumentSetPricingEngine(BulletBond!A38,$H$2,$L$2)</f>
        <v>#NUM!</v>
      </c>
    </row>
    <row r="39" spans="1:8" x14ac:dyDescent="0.25">
      <c r="A39" s="35" t="str">
        <f>BulletBond!A39</f>
        <v>obj_0003c#0006</v>
      </c>
      <c r="B39" s="29" t="s">
        <v>113</v>
      </c>
      <c r="C39" s="31">
        <v>2000562548.2042999</v>
      </c>
      <c r="D39" s="31">
        <f t="shared" si="0"/>
        <v>0.3692939281463623</v>
      </c>
      <c r="E39" s="42">
        <f>_xll.qlBondCleanPrice(BulletBond!A39,PricingEng!$C$1)</f>
        <v>99.905026021887281</v>
      </c>
      <c r="F39" s="31">
        <f>_xll.qlInstrumentNPV(BulletBond!A39, $C$1)</f>
        <v>2000562547.835006</v>
      </c>
      <c r="G39" s="29" t="e">
        <f>_xll.qlInstrumentSetPricingEngine(BulletBond!A39,$H$2,$L$2)</f>
        <v>#NUM!</v>
      </c>
      <c r="H39" s="41"/>
    </row>
    <row r="40" spans="1:8" x14ac:dyDescent="0.25">
      <c r="A40" s="35" t="str">
        <f>BulletBond!A40</f>
        <v>obj_00040#0006</v>
      </c>
      <c r="B40" s="29" t="s">
        <v>112</v>
      </c>
      <c r="C40" s="31">
        <v>114845500.9788</v>
      </c>
      <c r="D40" s="31">
        <f t="shared" si="0"/>
        <v>0.6085020899772644</v>
      </c>
      <c r="E40" s="42">
        <f>_xll.qlBondCleanPrice(BulletBond!A40,PricingEng!$C$1)</f>
        <v>99.727022358924927</v>
      </c>
      <c r="F40" s="31">
        <f>_xll.qlInstrumentNPV(BulletBond!A40, $C$1)</f>
        <v>114845500.37029791</v>
      </c>
      <c r="G40" s="29" t="e">
        <f>_xll.qlInstrumentSetPricingEngine(BulletBond!A40,$H$2,$L$2)</f>
        <v>#NUM!</v>
      </c>
      <c r="H40" s="41"/>
    </row>
    <row r="41" spans="1:8" x14ac:dyDescent="0.25">
      <c r="A41" s="35" t="str">
        <f>BulletBond!A41</f>
        <v>obj_00031#0009</v>
      </c>
      <c r="B41" s="29" t="s">
        <v>113</v>
      </c>
      <c r="C41" s="31">
        <v>999721671.34399998</v>
      </c>
      <c r="D41" s="31">
        <f t="shared" si="0"/>
        <v>4.1040539741516113E-2</v>
      </c>
      <c r="E41" s="42">
        <f>_xll.qlBondCleanPrice(BulletBond!A41,PricingEng!$C$1)</f>
        <v>99.863893157693212</v>
      </c>
      <c r="F41" s="31">
        <f>_xll.qlInstrumentNPV(BulletBond!A41, $C$1)</f>
        <v>999721671.30295944</v>
      </c>
      <c r="G41" s="29" t="e">
        <f>_xll.qlInstrumentSetPricingEngine(BulletBond!A41,$H$2,$L$2)</f>
        <v>#NUM!</v>
      </c>
      <c r="H41" s="41"/>
    </row>
    <row r="42" spans="1:8" x14ac:dyDescent="0.25">
      <c r="A42" s="35" t="str">
        <f>BulletBond!A42</f>
        <v>obj_00048#0010</v>
      </c>
      <c r="B42" s="29" t="s">
        <v>113</v>
      </c>
      <c r="C42" s="31">
        <v>999741737.41229999</v>
      </c>
      <c r="D42" s="31">
        <f t="shared" si="0"/>
        <v>0.45102882385253906</v>
      </c>
      <c r="E42" s="42">
        <f>_xll.qlBondCleanPrice(BulletBond!A42,PricingEng!$C$1)</f>
        <v>99.864759997496989</v>
      </c>
      <c r="F42" s="31">
        <f>_xll.qlInstrumentNPV(BulletBond!A42, $C$1)</f>
        <v>999741736.96127117</v>
      </c>
      <c r="G42" s="29" t="e">
        <f>_xll.qlInstrumentSetPricingEngine(BulletBond!A42,$H$2,$L$2)</f>
        <v>#NUM!</v>
      </c>
      <c r="H42" s="41"/>
    </row>
    <row r="43" spans="1:8" x14ac:dyDescent="0.25">
      <c r="A43" s="35" t="str">
        <f>BulletBond!A43</f>
        <v>obj_00038#0009</v>
      </c>
      <c r="B43" s="29" t="s">
        <v>113</v>
      </c>
      <c r="C43" s="31">
        <v>999771835.51709998</v>
      </c>
      <c r="D43" s="31">
        <f t="shared" si="0"/>
        <v>6.8361043930053711E-2</v>
      </c>
      <c r="E43" s="42">
        <f>_xll.qlBondCleanPrice(BulletBond!A43,PricingEng!$C$1)</f>
        <v>99.866060257202662</v>
      </c>
      <c r="F43" s="31">
        <f>_xll.qlInstrumentNPV(BulletBond!A43, $C$1)</f>
        <v>999771835.44873893</v>
      </c>
      <c r="G43" s="29" t="e">
        <f>_xll.qlInstrumentSetPricingEngine(BulletBond!A43,$H$2,$L$2)</f>
        <v>#NUM!</v>
      </c>
      <c r="H43" s="41"/>
    </row>
    <row r="44" spans="1:8" x14ac:dyDescent="0.25">
      <c r="A44" s="35" t="str">
        <f>BulletBond!A44</f>
        <v>obj_00039#0009</v>
      </c>
      <c r="B44" s="29" t="s">
        <v>113</v>
      </c>
      <c r="C44" s="31">
        <v>999821999.69019997</v>
      </c>
      <c r="D44" s="31">
        <f t="shared" si="0"/>
        <v>9.5681428909301758E-2</v>
      </c>
      <c r="E44" s="42">
        <f>_xll.qlBondCleanPrice(BulletBond!A44,PricingEng!$C$1)</f>
        <v>99.868227356712126</v>
      </c>
      <c r="F44" s="31">
        <f>_xll.qlInstrumentNPV(BulletBond!A44, $C$1)</f>
        <v>999821999.59451854</v>
      </c>
      <c r="G44" s="29" t="e">
        <f>_xll.qlInstrumentSetPricingEngine(BulletBond!A44,$H$2,$L$2)</f>
        <v>#NUM!</v>
      </c>
      <c r="H44" s="41"/>
    </row>
    <row r="45" spans="1:8" x14ac:dyDescent="0.25">
      <c r="A45" s="35" t="str">
        <f>BulletBond!A45</f>
        <v>obj_00043#0006</v>
      </c>
      <c r="B45" s="29" t="s">
        <v>112</v>
      </c>
      <c r="C45" s="31">
        <v>499120090.27410001</v>
      </c>
      <c r="D45" s="31">
        <f t="shared" si="0"/>
        <v>4.5802924036979675</v>
      </c>
      <c r="E45" s="42">
        <f>_xll.qlBondCleanPrice(BulletBond!A45,PricingEng!$C$1)</f>
        <v>99.701140426432758</v>
      </c>
      <c r="F45" s="31">
        <f>_xll.qlInstrumentNPV(BulletBond!A45, $C$1)</f>
        <v>499120085.6938076</v>
      </c>
      <c r="G45" s="29" t="e">
        <f>_xll.qlInstrumentSetPricingEngine(BulletBond!A45,$H$2,$L$2)</f>
        <v>#NUM!</v>
      </c>
    </row>
    <row r="46" spans="1:8" x14ac:dyDescent="0.25">
      <c r="A46" s="35" t="str">
        <f>BulletBond!A46</f>
        <v>obj_00037#0006</v>
      </c>
      <c r="B46" s="29" t="s">
        <v>113</v>
      </c>
      <c r="C46" s="31">
        <v>999383262.79990005</v>
      </c>
      <c r="D46" s="31">
        <f t="shared" si="0"/>
        <v>0.45085406303405762</v>
      </c>
      <c r="E46" s="42">
        <f>_xll.qlBondCleanPrice(BulletBond!A46,PricingEng!$C$1)</f>
        <v>99.841339933534741</v>
      </c>
      <c r="F46" s="31">
        <f>_xll.qlInstrumentNPV(BulletBond!A46, $C$1)</f>
        <v>999383262.34904599</v>
      </c>
      <c r="G46" s="29" t="e">
        <f>_xll.qlInstrumentSetPricingEngine(BulletBond!A46,$H$2,$L$2)</f>
        <v>#NUM!</v>
      </c>
    </row>
    <row r="47" spans="1:8" x14ac:dyDescent="0.25">
      <c r="A47" s="35" t="str">
        <f>BulletBond!A47</f>
        <v>obj_0003d#0006</v>
      </c>
      <c r="B47" s="29" t="s">
        <v>113</v>
      </c>
      <c r="C47" s="31">
        <v>999403155.82200003</v>
      </c>
      <c r="D47" s="31">
        <f t="shared" si="0"/>
        <v>0.24588394165039063</v>
      </c>
      <c r="E47" s="42">
        <f>_xll.qlBondCleanPrice(BulletBond!A47,PricingEng!$C$1)</f>
        <v>99.842359393228023</v>
      </c>
      <c r="F47" s="31">
        <f>_xll.qlInstrumentNPV(BulletBond!A47, $C$1)</f>
        <v>999403155.57611609</v>
      </c>
      <c r="G47" s="29" t="e">
        <f>_xll.qlInstrumentSetPricingEngine(BulletBond!A47,$H$2,$L$2)</f>
        <v>#NUM!</v>
      </c>
    </row>
    <row r="48" spans="1:8" x14ac:dyDescent="0.25">
      <c r="A48" s="35" t="str">
        <f>BulletBond!A48</f>
        <v>obj_00041#0006</v>
      </c>
      <c r="B48" s="29" t="s">
        <v>113</v>
      </c>
      <c r="C48" s="31">
        <v>999442941.86629999</v>
      </c>
      <c r="D48" s="31">
        <f t="shared" si="0"/>
        <v>-0.1639564037322998</v>
      </c>
      <c r="E48" s="42">
        <f>_xll.qlBondCleanPrice(BulletBond!A48,PricingEng!$C$1)</f>
        <v>99.844398312614686</v>
      </c>
      <c r="F48" s="31">
        <f>_xll.qlInstrumentNPV(BulletBond!A48, $C$1)</f>
        <v>999442942.03025639</v>
      </c>
      <c r="G48" s="29" t="e">
        <f>_xll.qlInstrumentSetPricingEngine(BulletBond!A48,$H$2,$L$2)</f>
        <v>#NUM!</v>
      </c>
    </row>
    <row r="49" spans="1:8" x14ac:dyDescent="0.25">
      <c r="A49" s="35" t="str">
        <f>BulletBond!A49</f>
        <v>obj_0004a#0006</v>
      </c>
      <c r="B49" s="29" t="s">
        <v>113</v>
      </c>
      <c r="C49" s="31">
        <v>999462834.88839996</v>
      </c>
      <c r="D49" s="31">
        <f t="shared" si="0"/>
        <v>-0.3689265251159668</v>
      </c>
      <c r="E49" s="42">
        <f>_xll.qlBondCleanPrice(BulletBond!A49,PricingEng!$C$1)</f>
        <v>99.845417772307997</v>
      </c>
      <c r="F49" s="31">
        <f>_xll.qlInstrumentNPV(BulletBond!A49, $C$1)</f>
        <v>999462835.25732648</v>
      </c>
      <c r="G49" s="29" t="e">
        <f>_xll.qlInstrumentSetPricingEngine(BulletBond!A49,$H$2,$L$2)</f>
        <v>#NUM!</v>
      </c>
    </row>
    <row r="50" spans="1:8" x14ac:dyDescent="0.25">
      <c r="A50" s="35" t="str">
        <f>BulletBond!A50</f>
        <v>obj_00036#0006</v>
      </c>
      <c r="B50" s="29" t="s">
        <v>113</v>
      </c>
      <c r="C50" s="31">
        <v>999482728.90789998</v>
      </c>
      <c r="D50" s="31">
        <f t="shared" si="0"/>
        <v>0.42350339889526367</v>
      </c>
      <c r="E50" s="42">
        <f>_xll.qlBondCleanPrice(BulletBond!A50,PricingEng!$C$1)</f>
        <v>99.846437232001307</v>
      </c>
      <c r="F50" s="31">
        <f>_xll.qlInstrumentNPV(BulletBond!A50, $C$1)</f>
        <v>999482728.48439658</v>
      </c>
      <c r="G50" s="29" t="e">
        <f>_xll.qlInstrumentSetPricingEngine(BulletBond!A50,$H$2,$L$2)</f>
        <v>#NUM!</v>
      </c>
      <c r="H50" s="41"/>
    </row>
    <row r="51" spans="1:8" x14ac:dyDescent="0.25">
      <c r="A51" s="35" t="str">
        <f>BulletBond!A51</f>
        <v>obj_0004e#0006</v>
      </c>
      <c r="B51" s="29" t="s">
        <v>112</v>
      </c>
      <c r="C51" s="31">
        <v>499023310.00480002</v>
      </c>
      <c r="D51" s="31">
        <f t="shared" si="0"/>
        <v>5.4210336804389954</v>
      </c>
      <c r="E51" s="42">
        <f>_xll.qlBondCleanPrice(BulletBond!A51,PricingEng!$C$1)</f>
        <v>99.692565026342294</v>
      </c>
      <c r="F51" s="31">
        <f>_xll.qlInstrumentNPV(BulletBond!A51, $C$1)</f>
        <v>499023304.58376634</v>
      </c>
      <c r="G51" s="29" t="e">
        <f>_xll.qlInstrumentSetPricingEngine(BulletBond!A51,$H$2,$L$2)</f>
        <v>#NUM!</v>
      </c>
      <c r="H51" s="41"/>
    </row>
    <row r="52" spans="1:8" x14ac:dyDescent="0.25">
      <c r="A52" s="35" t="str">
        <f>BulletBond!A52</f>
        <v>obj_0004c#0006</v>
      </c>
      <c r="B52" s="29" t="s">
        <v>112</v>
      </c>
      <c r="C52" s="31">
        <v>499073104.40710002</v>
      </c>
      <c r="D52" s="31">
        <f t="shared" si="0"/>
        <v>5.4351364970207214</v>
      </c>
      <c r="E52" s="42">
        <f>_xll.qlBondCleanPrice(BulletBond!A52,PricingEng!$C$1)</f>
        <v>99.700236232748864</v>
      </c>
      <c r="F52" s="31">
        <f>_xll.qlInstrumentNPV(BulletBond!A52, $C$1)</f>
        <v>499073098.97196352</v>
      </c>
      <c r="G52" s="29" t="e">
        <f>_xll.qlInstrumentSetPricingEngine(BulletBond!A52,$H$2,$L$2)</f>
        <v>#NUM!</v>
      </c>
    </row>
    <row r="53" spans="1:8" x14ac:dyDescent="0.25">
      <c r="A53" s="35" t="str">
        <f>BulletBond!A53</f>
        <v>obj_0004b#0006</v>
      </c>
      <c r="B53" s="29" t="s">
        <v>113</v>
      </c>
      <c r="C53" s="31">
        <v>999480236.14619994</v>
      </c>
      <c r="D53" s="31">
        <f t="shared" si="0"/>
        <v>0.35516345500946045</v>
      </c>
      <c r="E53" s="42">
        <f>_xll.qlBondCleanPrice(BulletBond!A53,PricingEng!$C$1)</f>
        <v>99.874626318829669</v>
      </c>
      <c r="F53" s="31">
        <f>_xll.qlInstrumentNPV(BulletBond!A53, $C$1)</f>
        <v>999480235.79103649</v>
      </c>
      <c r="G53" s="29" t="e">
        <f>_xll.qlInstrumentSetPricingEngine(BulletBond!A53,$H$2,$L$2)</f>
        <v>#NUM!</v>
      </c>
    </row>
    <row r="54" spans="1:8" x14ac:dyDescent="0.25">
      <c r="A54" s="35" t="str">
        <f>BulletBond!A54</f>
        <v>obj_00033#0006</v>
      </c>
      <c r="B54" s="29" t="s">
        <v>113</v>
      </c>
      <c r="C54" s="31">
        <v>499808602.32539999</v>
      </c>
      <c r="D54" s="31">
        <f t="shared" si="0"/>
        <v>-0.35508298873901367</v>
      </c>
      <c r="E54" s="42">
        <f>_xll.qlBondCleanPrice(BulletBond!A54,PricingEng!$C$1)</f>
        <v>99.900460262124014</v>
      </c>
      <c r="F54" s="31">
        <f>_xll.qlInstrumentNPV(BulletBond!A54, $C$1)</f>
        <v>499808602.68048298</v>
      </c>
      <c r="G54" s="29" t="e">
        <f>_xll.qlInstrumentSetPricingEngine(BulletBond!A54,$H$2,$L$2)</f>
        <v>#NUM!</v>
      </c>
    </row>
    <row r="55" spans="1:8" x14ac:dyDescent="0.25">
      <c r="A55" s="35" t="str">
        <f>BulletBond!A55</f>
        <v>obj_00047#0006</v>
      </c>
      <c r="B55" s="29" t="s">
        <v>113</v>
      </c>
      <c r="C55" s="31">
        <v>414874151.12199998</v>
      </c>
      <c r="D55" s="31">
        <f t="shared" si="0"/>
        <v>0.12293440103530884</v>
      </c>
      <c r="E55" s="42">
        <f>_xll.qlBondCleanPrice(BulletBond!A55,PricingEng!$C$1)</f>
        <v>99.906529734054416</v>
      </c>
      <c r="F55" s="31">
        <f>_xll.qlInstrumentNPV(BulletBond!A55, $C$1)</f>
        <v>414874150.99906558</v>
      </c>
      <c r="G55" s="29" t="e">
        <f>_xll.qlInstrumentSetPricingEngine(BulletBond!A55,$H$2,$L$2)</f>
        <v>#NUM!</v>
      </c>
    </row>
    <row r="56" spans="1:8" x14ac:dyDescent="0.25">
      <c r="A56" s="35" t="str">
        <f>BulletBond!A56</f>
        <v>obj_0003b#0006</v>
      </c>
      <c r="B56" s="29" t="s">
        <v>113</v>
      </c>
      <c r="C56" s="31">
        <v>999811762.69579995</v>
      </c>
      <c r="D56" s="31">
        <f t="shared" si="0"/>
        <v>1.3470649719238281E-5</v>
      </c>
      <c r="E56" s="42">
        <f>_xll.qlBondCleanPrice(BulletBond!A56,PricingEng!$C$1)</f>
        <v>99.937176269578643</v>
      </c>
      <c r="F56" s="31">
        <f>_xll.qlInstrumentNPV(BulletBond!A56, $C$1)</f>
        <v>999811762.69578648</v>
      </c>
      <c r="G56" s="29" t="e">
        <f>_xll.qlInstrumentSetPricingEngine(BulletBond!A56,$H$2,$L$2)</f>
        <v>#NUM!</v>
      </c>
    </row>
    <row r="57" spans="1:8" x14ac:dyDescent="0.25">
      <c r="A57" s="35" t="str">
        <f>BulletBond!A57</f>
        <v>obj_00046#0006</v>
      </c>
      <c r="B57" s="29" t="s">
        <v>113</v>
      </c>
      <c r="C57" s="31">
        <v>999871413.72860003</v>
      </c>
      <c r="D57" s="31">
        <f t="shared" ref="D57" si="1">C57-F57</f>
        <v>0.38236439228057861</v>
      </c>
      <c r="E57" s="42">
        <f>_xll.qlBondCleanPrice(BulletBond!A57,PricingEng!$C$1)</f>
        <v>99.942237225034532</v>
      </c>
      <c r="F57" s="31">
        <f>_xll.qlInstrumentNPV(BulletBond!A57, $C$1)</f>
        <v>999871413.34623563</v>
      </c>
      <c r="G57" s="29" t="e">
        <f>_xll.qlInstrumentSetPricingEngine(BulletBond!A57,$H$2,$L$2)</f>
        <v>#NUM!</v>
      </c>
    </row>
    <row r="58" spans="1:8" x14ac:dyDescent="0.25">
      <c r="A58" s="35" t="str">
        <f>BulletBond!A58</f>
        <v>obj_00012#0006</v>
      </c>
      <c r="B58" s="29" t="s">
        <v>113</v>
      </c>
      <c r="C58" s="31">
        <v>500006104.51950002</v>
      </c>
      <c r="D58" s="31">
        <f t="shared" ref="D58" si="2">C58-F58</f>
        <v>5.4650783538818359E-2</v>
      </c>
      <c r="E58" s="42">
        <f>_xll.qlBondCleanPrice(BulletBond!A58,PricingEng!$C$1)</f>
        <v>99.980741440915068</v>
      </c>
      <c r="F58" s="31">
        <f>_xll.qlInstrumentNPV(BulletBond!A58, $C$1)</f>
        <v>500006104.46484923</v>
      </c>
      <c r="G58" s="29" t="e">
        <f>_xll.qlInstrumentSetPricingEngine(BulletBond!A58,$H$2,$L$2)</f>
        <v>#NUM!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"/>
  <sheetViews>
    <sheetView topLeftCell="A2" workbookViewId="0">
      <selection activeCell="B2" sqref="B2:B27"/>
    </sheetView>
  </sheetViews>
  <sheetFormatPr defaultRowHeight="16.5" x14ac:dyDescent="0.25"/>
  <cols>
    <col min="2" max="4" width="12.25" customWidth="1"/>
  </cols>
  <sheetData>
    <row r="1" spans="1:4" ht="33.75" thickBot="1" x14ac:dyDescent="0.3">
      <c r="B1" s="37" t="s">
        <v>108</v>
      </c>
      <c r="C1" s="38" t="s">
        <v>109</v>
      </c>
      <c r="D1" s="38" t="s">
        <v>110</v>
      </c>
    </row>
    <row r="2" spans="1:4" ht="18" x14ac:dyDescent="0.25">
      <c r="A2" s="36" t="s">
        <v>82</v>
      </c>
      <c r="B2">
        <v>2000000000</v>
      </c>
      <c r="C2">
        <v>2004008967.5081999</v>
      </c>
      <c r="D2">
        <v>1999970063.4000001</v>
      </c>
    </row>
    <row r="3" spans="1:4" ht="18" x14ac:dyDescent="0.25">
      <c r="A3" s="36" t="s">
        <v>83</v>
      </c>
      <c r="B3">
        <v>500000000</v>
      </c>
      <c r="C3">
        <v>499765083.98250002</v>
      </c>
      <c r="D3">
        <v>499327138.77999997</v>
      </c>
    </row>
    <row r="4" spans="1:4" ht="18" x14ac:dyDescent="0.25">
      <c r="A4" s="36" t="s">
        <v>84</v>
      </c>
      <c r="B4">
        <v>500000000</v>
      </c>
      <c r="C4">
        <v>499789947.23979998</v>
      </c>
      <c r="D4">
        <v>499342481.49000001</v>
      </c>
    </row>
    <row r="5" spans="1:4" ht="18" x14ac:dyDescent="0.25">
      <c r="A5" s="36" t="s">
        <v>85</v>
      </c>
      <c r="B5">
        <v>1000000000</v>
      </c>
      <c r="C5">
        <v>999478178.16439998</v>
      </c>
      <c r="D5">
        <v>998787000.08000004</v>
      </c>
    </row>
    <row r="6" spans="1:4" ht="18" x14ac:dyDescent="0.25">
      <c r="A6" s="36" t="s">
        <v>86</v>
      </c>
      <c r="B6">
        <v>1000000000</v>
      </c>
      <c r="C6">
        <v>999517953.94140005</v>
      </c>
      <c r="D6">
        <v>998815159.41999996</v>
      </c>
    </row>
    <row r="7" spans="1:4" ht="18" x14ac:dyDescent="0.25">
      <c r="A7" s="36" t="s">
        <v>87</v>
      </c>
      <c r="B7">
        <v>440000000</v>
      </c>
      <c r="C7">
        <v>439801025.9102</v>
      </c>
      <c r="D7">
        <v>439487962.89999998</v>
      </c>
    </row>
    <row r="8" spans="1:4" ht="18" x14ac:dyDescent="0.25">
      <c r="A8" s="36" t="s">
        <v>88</v>
      </c>
      <c r="B8">
        <v>500000000</v>
      </c>
      <c r="C8">
        <v>499817513.06559998</v>
      </c>
      <c r="D8">
        <v>499534362.38</v>
      </c>
    </row>
    <row r="9" spans="1:4" ht="18" x14ac:dyDescent="0.25">
      <c r="A9" s="36" t="s">
        <v>89</v>
      </c>
      <c r="B9">
        <v>1000000000</v>
      </c>
      <c r="C9">
        <v>999909102.66649997</v>
      </c>
      <c r="D9">
        <v>999516362.94000006</v>
      </c>
    </row>
    <row r="10" spans="1:4" ht="18" x14ac:dyDescent="0.25">
      <c r="A10" s="36" t="s">
        <v>90</v>
      </c>
      <c r="B10">
        <v>500000000</v>
      </c>
      <c r="C10">
        <v>499979404.4727</v>
      </c>
      <c r="D10">
        <v>499779815.43000001</v>
      </c>
    </row>
    <row r="11" spans="1:4" ht="18" x14ac:dyDescent="0.25">
      <c r="A11" s="36" t="s">
        <v>91</v>
      </c>
      <c r="B11">
        <v>2550000000</v>
      </c>
      <c r="C11">
        <v>2550657409.1567998</v>
      </c>
      <c r="D11">
        <v>2550016066.6900001</v>
      </c>
    </row>
    <row r="12" spans="1:4" ht="18" x14ac:dyDescent="0.25">
      <c r="A12" s="36" t="s">
        <v>92</v>
      </c>
      <c r="B12">
        <v>1900000000</v>
      </c>
      <c r="C12">
        <v>1900484107.1136</v>
      </c>
      <c r="D12">
        <v>1900023942.73</v>
      </c>
    </row>
    <row r="13" spans="1:4" ht="18" x14ac:dyDescent="0.25">
      <c r="A13" s="36" t="s">
        <v>93</v>
      </c>
      <c r="B13">
        <v>1500000000</v>
      </c>
      <c r="C13">
        <v>1500377668.0234001</v>
      </c>
      <c r="D13">
        <v>1500028352.95</v>
      </c>
    </row>
    <row r="14" spans="1:4" ht="18" x14ac:dyDescent="0.25">
      <c r="A14" s="36" t="s">
        <v>94</v>
      </c>
      <c r="B14">
        <v>2700000000</v>
      </c>
      <c r="C14">
        <v>2700647246.4417</v>
      </c>
      <c r="D14">
        <v>2700119082.0599999</v>
      </c>
    </row>
    <row r="15" spans="1:4" ht="18" x14ac:dyDescent="0.25">
      <c r="A15" s="36" t="s">
        <v>95</v>
      </c>
      <c r="B15">
        <v>500000000</v>
      </c>
      <c r="C15">
        <v>500114152.23259997</v>
      </c>
      <c r="D15">
        <v>500021001.55000001</v>
      </c>
    </row>
    <row r="16" spans="1:4" ht="18" x14ac:dyDescent="0.25">
      <c r="A16" s="36" t="s">
        <v>96</v>
      </c>
      <c r="B16">
        <v>900000000</v>
      </c>
      <c r="C16">
        <v>900195199.40740001</v>
      </c>
      <c r="D16">
        <v>900035911.74000001</v>
      </c>
    </row>
    <row r="17" spans="1:4" ht="18" x14ac:dyDescent="0.25">
      <c r="A17" s="36" t="s">
        <v>97</v>
      </c>
      <c r="B17">
        <v>500000000</v>
      </c>
      <c r="C17">
        <v>500005062.12840003</v>
      </c>
      <c r="D17">
        <v>499937664.87</v>
      </c>
    </row>
    <row r="18" spans="1:4" ht="18" x14ac:dyDescent="0.25">
      <c r="A18" s="36" t="s">
        <v>98</v>
      </c>
      <c r="B18">
        <v>500000000</v>
      </c>
      <c r="C18">
        <v>500015001.71689999</v>
      </c>
      <c r="D18">
        <v>499947193.5</v>
      </c>
    </row>
    <row r="19" spans="1:4" ht="18" x14ac:dyDescent="0.25">
      <c r="A19" s="36" t="s">
        <v>99</v>
      </c>
      <c r="B19">
        <v>500000000</v>
      </c>
      <c r="C19">
        <v>500039852.6814</v>
      </c>
      <c r="D19">
        <v>499971017.06</v>
      </c>
    </row>
    <row r="20" spans="1:4" ht="18" x14ac:dyDescent="0.25">
      <c r="A20" s="36" t="s">
        <v>100</v>
      </c>
      <c r="B20">
        <v>500000000</v>
      </c>
      <c r="C20">
        <v>500064702.64920002</v>
      </c>
      <c r="D20">
        <v>499994839.63999999</v>
      </c>
    </row>
    <row r="21" spans="1:4" ht="18" x14ac:dyDescent="0.25">
      <c r="A21" s="36" t="s">
        <v>101</v>
      </c>
      <c r="B21">
        <v>800000000</v>
      </c>
      <c r="C21">
        <v>800118714.00220001</v>
      </c>
      <c r="D21">
        <v>800021837.28999996</v>
      </c>
    </row>
    <row r="22" spans="1:4" ht="18" x14ac:dyDescent="0.25">
      <c r="A22" s="36" t="s">
        <v>102</v>
      </c>
      <c r="B22">
        <v>1300000000</v>
      </c>
      <c r="C22">
        <v>1300091763.4847</v>
      </c>
      <c r="D22">
        <v>1300019105.95</v>
      </c>
    </row>
    <row r="23" spans="1:4" ht="18" x14ac:dyDescent="0.25">
      <c r="A23" s="36" t="s">
        <v>103</v>
      </c>
      <c r="B23">
        <v>1300000000</v>
      </c>
      <c r="C23">
        <v>1300089031.1025</v>
      </c>
      <c r="D23">
        <v>1300016373.5699999</v>
      </c>
    </row>
    <row r="24" spans="1:4" ht="18" x14ac:dyDescent="0.25">
      <c r="A24" s="36" t="s">
        <v>104</v>
      </c>
      <c r="B24">
        <v>1600000000</v>
      </c>
      <c r="C24">
        <v>1600091313.8673</v>
      </c>
      <c r="D24">
        <v>1600016793.3199999</v>
      </c>
    </row>
    <row r="25" spans="1:4" ht="18" x14ac:dyDescent="0.25">
      <c r="A25" s="36" t="s">
        <v>105</v>
      </c>
      <c r="B25">
        <v>1650000000</v>
      </c>
      <c r="C25">
        <v>1650075333.4028001</v>
      </c>
      <c r="D25">
        <v>1650013853.95</v>
      </c>
    </row>
    <row r="26" spans="1:4" ht="18" x14ac:dyDescent="0.25">
      <c r="A26" s="36" t="s">
        <v>106</v>
      </c>
      <c r="B26">
        <v>500000000</v>
      </c>
      <c r="C26">
        <v>500052606.62010002</v>
      </c>
      <c r="D26">
        <v>500045825.80000001</v>
      </c>
    </row>
    <row r="27" spans="1:4" ht="18" x14ac:dyDescent="0.25">
      <c r="A27" s="36" t="s">
        <v>107</v>
      </c>
      <c r="B27">
        <v>500000000</v>
      </c>
      <c r="C27">
        <v>500102121.68169999</v>
      </c>
      <c r="D27">
        <v>500095272.37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NCD</vt:lpstr>
      <vt:lpstr>Schedule</vt:lpstr>
      <vt:lpstr>BulletBond</vt:lpstr>
      <vt:lpstr>PricingEng</vt:lpstr>
      <vt:lpstr>工作表4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簡志豪</dc:creator>
  <cp:lastModifiedBy>簡志豪</cp:lastModifiedBy>
  <dcterms:created xsi:type="dcterms:W3CDTF">2021-03-02T01:34:07Z</dcterms:created>
  <dcterms:modified xsi:type="dcterms:W3CDTF">2022-01-06T02:02:19Z</dcterms:modified>
</cp:coreProperties>
</file>