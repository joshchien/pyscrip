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105" yWindow="-105" windowWidth="19425" windowHeight="10305" activeTab="1"/>
  </bookViews>
  <sheets>
    <sheet name="Reference" sheetId="19" r:id="rId1"/>
    <sheet name="ql-US-ZC" sheetId="18" r:id="rId2"/>
    <sheet name="ql-USCorp" sheetId="10" r:id="rId3"/>
    <sheet name="ql-AU-ZC" sheetId="22" r:id="rId4"/>
    <sheet name="ql-AUCorp" sheetId="16" r:id="rId5"/>
    <sheet name="ql-CNCorp" sheetId="17" r:id="rId6"/>
    <sheet name="ScheduleObj" sheetId="14" r:id="rId7"/>
    <sheet name="FixBondObj" sheetId="15" r:id="rId8"/>
    <sheet name="FlotBondObj" sheetId="20" r:id="rId9"/>
    <sheet name="Pricing" sheetId="13" r:id="rId10"/>
  </sheets>
  <externalReferences>
    <externalReference r:id="rId11"/>
  </externalReferences>
  <definedNames>
    <definedName name="_xlnm._FilterDatabase" localSheetId="6" hidden="1">ScheduleObj!$A$1:$Z$109</definedName>
    <definedName name="IborIndex6M">[1]Indexes!$B$1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8" l="1"/>
  <c r="Q49" i="18"/>
  <c r="Q50" i="18"/>
  <c r="Q51" i="18"/>
  <c r="Q52" i="18"/>
  <c r="Q53" i="18"/>
  <c r="Q54" i="18"/>
  <c r="Q55" i="18"/>
  <c r="Q56" i="18"/>
  <c r="Q57" i="18"/>
  <c r="Q58" i="18"/>
  <c r="Q59" i="18"/>
  <c r="Q60" i="18"/>
  <c r="Q61" i="18"/>
  <c r="Q62" i="18"/>
  <c r="Q48" i="18"/>
  <c r="B5" i="10" l="1"/>
  <c r="B4" i="22"/>
  <c r="S44" i="22" s="1"/>
  <c r="M44" i="22"/>
  <c r="N44" i="22"/>
  <c r="P44" i="22"/>
  <c r="Q44" i="22"/>
  <c r="M45" i="22"/>
  <c r="M46" i="22" s="1"/>
  <c r="M47" i="22" s="1"/>
  <c r="M48" i="22" s="1"/>
  <c r="M49" i="22" s="1"/>
  <c r="N45" i="22"/>
  <c r="P45" i="22"/>
  <c r="Q45" i="22"/>
  <c r="N46" i="22"/>
  <c r="P46" i="22"/>
  <c r="Q46" i="22"/>
  <c r="N47" i="22"/>
  <c r="P47" i="22"/>
  <c r="Q47" i="22"/>
  <c r="N48" i="22"/>
  <c r="P48" i="22"/>
  <c r="Q48" i="22"/>
  <c r="N49" i="22"/>
  <c r="P49" i="22"/>
  <c r="Q49" i="22"/>
  <c r="K29" i="22"/>
  <c r="K30" i="22"/>
  <c r="K31" i="22"/>
  <c r="O29" i="22"/>
  <c r="M29" i="22"/>
  <c r="M30" i="22"/>
  <c r="M31" i="22"/>
  <c r="P65" i="22"/>
  <c r="P64" i="22"/>
  <c r="P63" i="22"/>
  <c r="P62" i="22"/>
  <c r="P61" i="22"/>
  <c r="P60" i="22"/>
  <c r="P59" i="22"/>
  <c r="P58" i="22"/>
  <c r="P57" i="22"/>
  <c r="Y56" i="22"/>
  <c r="P56" i="22"/>
  <c r="P55" i="22"/>
  <c r="P54" i="22"/>
  <c r="Q43" i="22"/>
  <c r="Q64" i="22" s="1"/>
  <c r="P43" i="22"/>
  <c r="N43" i="22"/>
  <c r="Q42" i="22"/>
  <c r="P42" i="22"/>
  <c r="N42" i="22"/>
  <c r="Q41" i="22"/>
  <c r="P41" i="22"/>
  <c r="N41" i="22"/>
  <c r="Q40" i="22"/>
  <c r="P40" i="22"/>
  <c r="N40" i="22"/>
  <c r="Q39" i="22"/>
  <c r="P39" i="22"/>
  <c r="N39" i="22"/>
  <c r="Q38" i="22"/>
  <c r="P38" i="22"/>
  <c r="N38" i="22"/>
  <c r="Q37" i="22"/>
  <c r="P37" i="22"/>
  <c r="N37" i="22"/>
  <c r="M37" i="22"/>
  <c r="M38" i="22" s="1"/>
  <c r="M39" i="22" s="1"/>
  <c r="M40" i="22" s="1"/>
  <c r="M41" i="22" s="1"/>
  <c r="M42" i="22" s="1"/>
  <c r="M43" i="22" s="1"/>
  <c r="Q36" i="22"/>
  <c r="P36" i="22"/>
  <c r="N36" i="22"/>
  <c r="Q35" i="22"/>
  <c r="P35" i="22"/>
  <c r="N35" i="22"/>
  <c r="Q34" i="22"/>
  <c r="P34" i="22"/>
  <c r="N34" i="22"/>
  <c r="Q33" i="22"/>
  <c r="P33" i="22"/>
  <c r="N33" i="22"/>
  <c r="S27" i="22" s="1"/>
  <c r="B29" i="22"/>
  <c r="A44" i="22" s="1"/>
  <c r="M28" i="22"/>
  <c r="K28" i="22"/>
  <c r="M27" i="22"/>
  <c r="K27" i="22"/>
  <c r="B27" i="22"/>
  <c r="M26" i="22"/>
  <c r="K26" i="22"/>
  <c r="M25" i="22"/>
  <c r="K25" i="22"/>
  <c r="M24" i="22"/>
  <c r="K24" i="22"/>
  <c r="M23" i="22"/>
  <c r="K23" i="22"/>
  <c r="M22" i="22"/>
  <c r="K22" i="22"/>
  <c r="M21" i="22"/>
  <c r="K21" i="22"/>
  <c r="M20" i="22"/>
  <c r="K20" i="22"/>
  <c r="M19" i="22"/>
  <c r="K19" i="22"/>
  <c r="M18" i="22"/>
  <c r="K18" i="22"/>
  <c r="M17" i="22"/>
  <c r="K17" i="22"/>
  <c r="M16" i="22"/>
  <c r="K16" i="22"/>
  <c r="M15" i="22"/>
  <c r="K15" i="22"/>
  <c r="M14" i="22"/>
  <c r="K14" i="22"/>
  <c r="M13" i="22"/>
  <c r="K13" i="22"/>
  <c r="M12" i="22"/>
  <c r="K12" i="22"/>
  <c r="M11" i="22"/>
  <c r="K11" i="22"/>
  <c r="M10" i="22"/>
  <c r="K10" i="22"/>
  <c r="M9" i="22"/>
  <c r="K9" i="22"/>
  <c r="M8" i="22"/>
  <c r="K8" i="22"/>
  <c r="M7" i="22"/>
  <c r="K7" i="22"/>
  <c r="M6" i="22"/>
  <c r="K6" i="22"/>
  <c r="M5" i="22"/>
  <c r="K5" i="22"/>
  <c r="M4" i="22"/>
  <c r="K4" i="22"/>
  <c r="T3" i="22"/>
  <c r="K3" i="22"/>
  <c r="E38" i="22"/>
  <c r="B3" i="22"/>
  <c r="B2" i="22"/>
  <c r="B3" i="18"/>
  <c r="I29" i="22"/>
  <c r="S39" i="22" l="1"/>
  <c r="O20" i="22"/>
  <c r="O5" i="22"/>
  <c r="X18" i="22"/>
  <c r="A48" i="22"/>
  <c r="O11" i="22"/>
  <c r="X11" i="22"/>
  <c r="X24" i="22"/>
  <c r="O14" i="22"/>
  <c r="X5" i="22"/>
  <c r="X14" i="22"/>
  <c r="O23" i="22"/>
  <c r="O27" i="22"/>
  <c r="O8" i="22"/>
  <c r="O17" i="22"/>
  <c r="X21" i="22"/>
  <c r="S35" i="22"/>
  <c r="S42" i="22"/>
  <c r="Y65" i="22"/>
  <c r="X8" i="22"/>
  <c r="X17" i="22"/>
  <c r="O26" i="22"/>
  <c r="Y62" i="22"/>
  <c r="X27" i="22"/>
  <c r="Y59" i="22"/>
  <c r="O30" i="22"/>
  <c r="S47" i="22"/>
  <c r="O4" i="22"/>
  <c r="O10" i="22"/>
  <c r="O13" i="22"/>
  <c r="O16" i="22"/>
  <c r="B18" i="22"/>
  <c r="X20" i="22"/>
  <c r="X23" i="22"/>
  <c r="X26" i="22"/>
  <c r="S34" i="22"/>
  <c r="Y54" i="22"/>
  <c r="Y57" i="22"/>
  <c r="Y63" i="22"/>
  <c r="O3" i="22"/>
  <c r="X4" i="22"/>
  <c r="X7" i="22"/>
  <c r="X10" i="22"/>
  <c r="X13" i="22"/>
  <c r="X16" i="22"/>
  <c r="O19" i="22"/>
  <c r="O22" i="22"/>
  <c r="O25" i="22"/>
  <c r="S37" i="22"/>
  <c r="S38" i="22"/>
  <c r="S41" i="22"/>
  <c r="B58" i="22"/>
  <c r="S48" i="22"/>
  <c r="S45" i="22"/>
  <c r="O6" i="22"/>
  <c r="O9" i="22"/>
  <c r="O12" i="22"/>
  <c r="O15" i="22"/>
  <c r="X19" i="22"/>
  <c r="X22" i="22"/>
  <c r="X25" i="22"/>
  <c r="O28" i="22"/>
  <c r="S33" i="22"/>
  <c r="S36" i="22"/>
  <c r="B36" i="22"/>
  <c r="Y55" i="22"/>
  <c r="Y58" i="22"/>
  <c r="Y61" i="22"/>
  <c r="X3" i="22"/>
  <c r="X6" i="22"/>
  <c r="X9" i="22"/>
  <c r="X12" i="22"/>
  <c r="X15" i="22"/>
  <c r="O18" i="22"/>
  <c r="O21" i="22"/>
  <c r="O24" i="22"/>
  <c r="X28" i="22"/>
  <c r="C36" i="22"/>
  <c r="S40" i="22"/>
  <c r="S43" i="22"/>
  <c r="Y64" i="22"/>
  <c r="O31" i="22"/>
  <c r="S49" i="22"/>
  <c r="S46" i="22"/>
  <c r="O7" i="22"/>
  <c r="Y60" i="22"/>
  <c r="K63" i="22"/>
  <c r="S9" i="22"/>
  <c r="S21" i="22"/>
  <c r="S16" i="22"/>
  <c r="S10" i="22"/>
  <c r="S15" i="22"/>
  <c r="S4" i="22"/>
  <c r="S8" i="22"/>
  <c r="S14" i="22"/>
  <c r="S20" i="22"/>
  <c r="S25" i="22"/>
  <c r="S7" i="22"/>
  <c r="S13" i="22"/>
  <c r="S24" i="22"/>
  <c r="S6" i="22"/>
  <c r="S12" i="22"/>
  <c r="S23" i="22"/>
  <c r="S28" i="22"/>
  <c r="S5" i="22"/>
  <c r="S11" i="22"/>
  <c r="S17" i="22"/>
  <c r="S18" i="22"/>
  <c r="Q57" i="22"/>
  <c r="N58" i="22"/>
  <c r="Q61" i="22"/>
  <c r="N62" i="22"/>
  <c r="Q65" i="22"/>
  <c r="S3" i="22"/>
  <c r="S19" i="22"/>
  <c r="S22" i="22"/>
  <c r="S26" i="22"/>
  <c r="N54" i="22"/>
  <c r="N59" i="22"/>
  <c r="N63" i="22"/>
  <c r="N55" i="22"/>
  <c r="Q58" i="22"/>
  <c r="Q62" i="22"/>
  <c r="C29" i="22"/>
  <c r="Q54" i="22"/>
  <c r="N56" i="22"/>
  <c r="Q59" i="22"/>
  <c r="N60" i="22"/>
  <c r="Q63" i="22"/>
  <c r="N64" i="22"/>
  <c r="Q55" i="22"/>
  <c r="N57" i="22"/>
  <c r="N61" i="22"/>
  <c r="N65" i="22"/>
  <c r="C27" i="22"/>
  <c r="Q56" i="22"/>
  <c r="Q60" i="22"/>
  <c r="AC53" i="13"/>
  <c r="AE53" i="13"/>
  <c r="AC54" i="13"/>
  <c r="AE54" i="13"/>
  <c r="AC55" i="13"/>
  <c r="AE55" i="13"/>
  <c r="AC56" i="13"/>
  <c r="AE56" i="13"/>
  <c r="AC57" i="13"/>
  <c r="AE57" i="13"/>
  <c r="AC58" i="13"/>
  <c r="AE58" i="13"/>
  <c r="AC59" i="13"/>
  <c r="AE59" i="13"/>
  <c r="AC60" i="13"/>
  <c r="AE60" i="13"/>
  <c r="AC61" i="13"/>
  <c r="AE61" i="13"/>
  <c r="AC62" i="13"/>
  <c r="AE62" i="13"/>
  <c r="AC63" i="13"/>
  <c r="AE63" i="13"/>
  <c r="AC64" i="13"/>
  <c r="AE64" i="13"/>
  <c r="AC65" i="13"/>
  <c r="AE65" i="13"/>
  <c r="AC66" i="13"/>
  <c r="AE66" i="13"/>
  <c r="AC67" i="13"/>
  <c r="AE67" i="13"/>
  <c r="AC68" i="13"/>
  <c r="AE68" i="13"/>
  <c r="AC69" i="13"/>
  <c r="AE69" i="13"/>
  <c r="AC70" i="13"/>
  <c r="AE70" i="13"/>
  <c r="AC71" i="13"/>
  <c r="AE71" i="13"/>
  <c r="AC72" i="13"/>
  <c r="AE72" i="13"/>
  <c r="AC73" i="13"/>
  <c r="AE73" i="13"/>
  <c r="AC74" i="13"/>
  <c r="AE74" i="13"/>
  <c r="AC75" i="13"/>
  <c r="AE75" i="13"/>
  <c r="AC76" i="13"/>
  <c r="AE76" i="13"/>
  <c r="AC77" i="13"/>
  <c r="AE77" i="13"/>
  <c r="AC78" i="13"/>
  <c r="AE78" i="13"/>
  <c r="AC79" i="13"/>
  <c r="AE79" i="13"/>
  <c r="AC80" i="13"/>
  <c r="AE80" i="13"/>
  <c r="AC81" i="13"/>
  <c r="AE81" i="13"/>
  <c r="AC82" i="13"/>
  <c r="AE82" i="13"/>
  <c r="AC83" i="13"/>
  <c r="AE83" i="13"/>
  <c r="AC84" i="13"/>
  <c r="AE84" i="13"/>
  <c r="AC85" i="13"/>
  <c r="AE85" i="13"/>
  <c r="AC86" i="13"/>
  <c r="AE86" i="13"/>
  <c r="AC87" i="13"/>
  <c r="AE87" i="13"/>
  <c r="AC88" i="13"/>
  <c r="AE88" i="13"/>
  <c r="AC89" i="13"/>
  <c r="AE89" i="13"/>
  <c r="AC90" i="13"/>
  <c r="AE90" i="13"/>
  <c r="AC91" i="13"/>
  <c r="AE91" i="13"/>
  <c r="AC92" i="13"/>
  <c r="AE92" i="13"/>
  <c r="AC93" i="13"/>
  <c r="AE93" i="13"/>
  <c r="AC94" i="13"/>
  <c r="AE94" i="13"/>
  <c r="AC95" i="13"/>
  <c r="AE95" i="13"/>
  <c r="AC96" i="13"/>
  <c r="AE96" i="13"/>
  <c r="AC97" i="13"/>
  <c r="AE97" i="13"/>
  <c r="AC98" i="13"/>
  <c r="AE98" i="13"/>
  <c r="AC99" i="13"/>
  <c r="AE99" i="13"/>
  <c r="AC100" i="13"/>
  <c r="AE100" i="13"/>
  <c r="AC101" i="13"/>
  <c r="AE101" i="13"/>
  <c r="AC102" i="13"/>
  <c r="AE102" i="13"/>
  <c r="AC103" i="13"/>
  <c r="AE103" i="13"/>
  <c r="AC104" i="13"/>
  <c r="AE104" i="13"/>
  <c r="AC105" i="13"/>
  <c r="AE105" i="13"/>
  <c r="AC106" i="13"/>
  <c r="AE106" i="13"/>
  <c r="AC107" i="13"/>
  <c r="AE107" i="13"/>
  <c r="AC108" i="13"/>
  <c r="AE108" i="13"/>
  <c r="AC109" i="13"/>
  <c r="AE109" i="13"/>
  <c r="AC110" i="13"/>
  <c r="AE110" i="13"/>
  <c r="AC111" i="13"/>
  <c r="AE111" i="13"/>
  <c r="U55" i="13"/>
  <c r="U56" i="13" s="1"/>
  <c r="U57" i="13" s="1"/>
  <c r="U58" i="13" s="1"/>
  <c r="U59" i="13" s="1"/>
  <c r="U60" i="13" s="1"/>
  <c r="U61" i="13" s="1"/>
  <c r="U62" i="13" s="1"/>
  <c r="U63" i="13" s="1"/>
  <c r="U64" i="13" s="1"/>
  <c r="U65" i="13" s="1"/>
  <c r="U66" i="13" s="1"/>
  <c r="U67" i="13" s="1"/>
  <c r="U68" i="13" s="1"/>
  <c r="U69" i="13" s="1"/>
  <c r="U70" i="13" s="1"/>
  <c r="U71" i="13" s="1"/>
  <c r="U72" i="13" s="1"/>
  <c r="U73" i="13" s="1"/>
  <c r="U74" i="13" s="1"/>
  <c r="U75" i="13" s="1"/>
  <c r="U76" i="13" s="1"/>
  <c r="U77" i="13" s="1"/>
  <c r="U78" i="13" s="1"/>
  <c r="U79" i="13" s="1"/>
  <c r="U80" i="13" s="1"/>
  <c r="U81" i="13" s="1"/>
  <c r="U82" i="13" s="1"/>
  <c r="U83" i="13" s="1"/>
  <c r="U84" i="13" s="1"/>
  <c r="U85" i="13" s="1"/>
  <c r="U86" i="13" s="1"/>
  <c r="U87" i="13" s="1"/>
  <c r="U88" i="13" s="1"/>
  <c r="U89" i="13" s="1"/>
  <c r="U90" i="13" s="1"/>
  <c r="U91" i="13" s="1"/>
  <c r="U92" i="13" s="1"/>
  <c r="U93" i="13" s="1"/>
  <c r="U94" i="13" s="1"/>
  <c r="U95" i="13" s="1"/>
  <c r="U96" i="13" s="1"/>
  <c r="U97" i="13" s="1"/>
  <c r="U98" i="13" s="1"/>
  <c r="U99" i="13" s="1"/>
  <c r="U100" i="13" s="1"/>
  <c r="U101" i="13" s="1"/>
  <c r="U102" i="13" s="1"/>
  <c r="U103" i="13" s="1"/>
  <c r="U104" i="13" s="1"/>
  <c r="U105" i="13" s="1"/>
  <c r="U106" i="13" s="1"/>
  <c r="U107" i="13" s="1"/>
  <c r="U108" i="13" s="1"/>
  <c r="U109" i="13" s="1"/>
  <c r="U110" i="13" s="1"/>
  <c r="U111" i="13" s="1"/>
  <c r="U54" i="13"/>
  <c r="V54" i="13"/>
  <c r="W54" i="13"/>
  <c r="W55" i="13" s="1"/>
  <c r="V55" i="13"/>
  <c r="V56" i="13"/>
  <c r="V57" i="13" s="1"/>
  <c r="W56" i="13"/>
  <c r="W57" i="13" s="1"/>
  <c r="W58" i="13"/>
  <c r="W59" i="13" s="1"/>
  <c r="W60" i="13"/>
  <c r="W61" i="13" s="1"/>
  <c r="W62" i="13"/>
  <c r="W63" i="13" s="1"/>
  <c r="W64" i="13"/>
  <c r="W65" i="13" s="1"/>
  <c r="W66" i="13"/>
  <c r="W67" i="13" s="1"/>
  <c r="W68" i="13"/>
  <c r="W69" i="13" s="1"/>
  <c r="W70" i="13"/>
  <c r="W71" i="13" s="1"/>
  <c r="W72" i="13"/>
  <c r="W73" i="13" s="1"/>
  <c r="W74" i="13"/>
  <c r="W75" i="13" s="1"/>
  <c r="W76" i="13"/>
  <c r="W77" i="13" s="1"/>
  <c r="W78" i="13"/>
  <c r="W79" i="13" s="1"/>
  <c r="W80" i="13"/>
  <c r="W81" i="13" s="1"/>
  <c r="W82" i="13"/>
  <c r="W83" i="13" s="1"/>
  <c r="W84" i="13"/>
  <c r="W85" i="13" s="1"/>
  <c r="W86" i="13"/>
  <c r="W87" i="13" s="1"/>
  <c r="W88" i="13"/>
  <c r="W89" i="13" s="1"/>
  <c r="W90" i="13"/>
  <c r="W91" i="13" s="1"/>
  <c r="W92" i="13"/>
  <c r="W93" i="13" s="1"/>
  <c r="W94" i="13"/>
  <c r="W95" i="13" s="1"/>
  <c r="W96" i="13"/>
  <c r="W97" i="13" s="1"/>
  <c r="W98" i="13"/>
  <c r="W99" i="13" s="1"/>
  <c r="W100" i="13"/>
  <c r="W101" i="13" s="1"/>
  <c r="W102" i="13"/>
  <c r="W103" i="13" s="1"/>
  <c r="W104" i="13"/>
  <c r="W105" i="13" s="1"/>
  <c r="W106" i="13"/>
  <c r="W107" i="13" s="1"/>
  <c r="W108" i="13"/>
  <c r="W109" i="13" s="1"/>
  <c r="W110" i="13"/>
  <c r="W111" i="13" s="1"/>
  <c r="AE52" i="13"/>
  <c r="AC52" i="13"/>
  <c r="V53" i="13"/>
  <c r="U53" i="13"/>
  <c r="V52" i="13"/>
  <c r="W52" i="13"/>
  <c r="W53" i="13" s="1"/>
  <c r="Q54" i="13"/>
  <c r="Q55" i="13" s="1"/>
  <c r="Q56" i="13" s="1"/>
  <c r="Q57" i="13" s="1"/>
  <c r="Q58" i="13" s="1"/>
  <c r="Q59" i="13" s="1"/>
  <c r="Q60" i="13" s="1"/>
  <c r="Q61" i="13" s="1"/>
  <c r="Q62" i="13" s="1"/>
  <c r="Q63" i="13" s="1"/>
  <c r="Q64" i="13" s="1"/>
  <c r="Q65" i="13" s="1"/>
  <c r="Q66" i="13" s="1"/>
  <c r="Q67" i="13" s="1"/>
  <c r="Q68" i="13" s="1"/>
  <c r="Q69" i="13" s="1"/>
  <c r="Q70" i="13" s="1"/>
  <c r="Q71" i="13" s="1"/>
  <c r="Q72" i="13" s="1"/>
  <c r="Q73" i="13" s="1"/>
  <c r="Q74" i="13" s="1"/>
  <c r="Q75" i="13" s="1"/>
  <c r="Q76" i="13" s="1"/>
  <c r="Q77" i="13" s="1"/>
  <c r="Q78" i="13" s="1"/>
  <c r="Q79" i="13" s="1"/>
  <c r="Q80" i="13" s="1"/>
  <c r="Q81" i="13" s="1"/>
  <c r="Q82" i="13" s="1"/>
  <c r="Q83" i="13" s="1"/>
  <c r="Q84" i="13" s="1"/>
  <c r="Q85" i="13" s="1"/>
  <c r="Q86" i="13" s="1"/>
  <c r="Q87" i="13" s="1"/>
  <c r="Q88" i="13" s="1"/>
  <c r="Q89" i="13" s="1"/>
  <c r="Q90" i="13" s="1"/>
  <c r="Q91" i="13" s="1"/>
  <c r="Q92" i="13" s="1"/>
  <c r="Q93" i="13" s="1"/>
  <c r="Q94" i="13" s="1"/>
  <c r="Q95" i="13" s="1"/>
  <c r="Q96" i="13" s="1"/>
  <c r="Q97" i="13" s="1"/>
  <c r="Q98" i="13" s="1"/>
  <c r="Q99" i="13" s="1"/>
  <c r="Q100" i="13" s="1"/>
  <c r="Q101" i="13" s="1"/>
  <c r="Q102" i="13" s="1"/>
  <c r="Q103" i="13" s="1"/>
  <c r="Q104" i="13" s="1"/>
  <c r="Q105" i="13" s="1"/>
  <c r="Q106" i="13" s="1"/>
  <c r="Q107" i="13" s="1"/>
  <c r="Q108" i="13" s="1"/>
  <c r="Q109" i="13" s="1"/>
  <c r="Q110" i="13" s="1"/>
  <c r="Q111" i="13" s="1"/>
  <c r="R54" i="13"/>
  <c r="R55" i="13" s="1"/>
  <c r="R56" i="13" s="1"/>
  <c r="R57" i="13"/>
  <c r="R58" i="13" s="1"/>
  <c r="R59" i="13" s="1"/>
  <c r="R60" i="13"/>
  <c r="R61" i="13" s="1"/>
  <c r="R62" i="13" s="1"/>
  <c r="R63" i="13"/>
  <c r="R64" i="13" s="1"/>
  <c r="R65" i="13" s="1"/>
  <c r="R66" i="13"/>
  <c r="R67" i="13" s="1"/>
  <c r="R68" i="13" s="1"/>
  <c r="R69" i="13"/>
  <c r="R70" i="13" s="1"/>
  <c r="R71" i="13" s="1"/>
  <c r="R72" i="13" s="1"/>
  <c r="R73" i="13" s="1"/>
  <c r="R74" i="13" s="1"/>
  <c r="R75" i="13" s="1"/>
  <c r="R76" i="13" s="1"/>
  <c r="R77" i="13" s="1"/>
  <c r="R78" i="13" s="1"/>
  <c r="R79" i="13" s="1"/>
  <c r="R80" i="13" s="1"/>
  <c r="R81" i="13" s="1"/>
  <c r="R82" i="13" s="1"/>
  <c r="R83" i="13" s="1"/>
  <c r="R84" i="13" s="1"/>
  <c r="R85" i="13" s="1"/>
  <c r="R86" i="13" s="1"/>
  <c r="R87" i="13" s="1"/>
  <c r="R88" i="13" s="1"/>
  <c r="R89" i="13" s="1"/>
  <c r="R90" i="13" s="1"/>
  <c r="R91" i="13" s="1"/>
  <c r="R92" i="13" s="1"/>
  <c r="R93" i="13" s="1"/>
  <c r="R94" i="13" s="1"/>
  <c r="R95" i="13" s="1"/>
  <c r="R96" i="13" s="1"/>
  <c r="R97" i="13" s="1"/>
  <c r="R98" i="13" s="1"/>
  <c r="R99" i="13" s="1"/>
  <c r="R100" i="13" s="1"/>
  <c r="R101" i="13" s="1"/>
  <c r="R102" i="13" s="1"/>
  <c r="R103" i="13" s="1"/>
  <c r="R104" i="13" s="1"/>
  <c r="R105" i="13" s="1"/>
  <c r="R106" i="13" s="1"/>
  <c r="R107" i="13" s="1"/>
  <c r="R108" i="13" s="1"/>
  <c r="R109" i="13" s="1"/>
  <c r="R110" i="13" s="1"/>
  <c r="R111" i="13" s="1"/>
  <c r="R53" i="13"/>
  <c r="Q53" i="13"/>
  <c r="Q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52" i="13"/>
  <c r="I20" i="22"/>
  <c r="I5" i="22"/>
  <c r="I14" i="22"/>
  <c r="B6" i="22"/>
  <c r="I6" i="22"/>
  <c r="I21" i="22"/>
  <c r="I23" i="22"/>
  <c r="I26" i="22"/>
  <c r="I24" i="22"/>
  <c r="I18" i="22"/>
  <c r="R3" i="22"/>
  <c r="I9" i="22"/>
  <c r="I30" i="22"/>
  <c r="I10" i="22"/>
  <c r="I12" i="22"/>
  <c r="I27" i="22"/>
  <c r="I15" i="22"/>
  <c r="I16" i="22"/>
  <c r="I3" i="22"/>
  <c r="I13" i="22"/>
  <c r="I11" i="22"/>
  <c r="I31" i="22"/>
  <c r="I7" i="22"/>
  <c r="I17" i="22"/>
  <c r="I8" i="22"/>
  <c r="I19" i="22"/>
  <c r="I25" i="22"/>
  <c r="I28" i="22"/>
  <c r="I4" i="22"/>
  <c r="I22" i="22"/>
  <c r="K54" i="22" l="1"/>
  <c r="K41" i="22"/>
  <c r="K44" i="22"/>
  <c r="K35" i="22"/>
  <c r="K38" i="22"/>
  <c r="K61" i="22"/>
  <c r="K57" i="22"/>
  <c r="K47" i="22"/>
  <c r="K60" i="22"/>
  <c r="K64" i="22"/>
  <c r="K55" i="22"/>
  <c r="K48" i="22"/>
  <c r="K62" i="22"/>
  <c r="K39" i="22"/>
  <c r="R54" i="22"/>
  <c r="R64" i="22"/>
  <c r="R62" i="22"/>
  <c r="R60" i="22"/>
  <c r="R58" i="22"/>
  <c r="R56" i="22"/>
  <c r="R55" i="22"/>
  <c r="R65" i="22"/>
  <c r="R63" i="22"/>
  <c r="R61" i="22"/>
  <c r="R59" i="22"/>
  <c r="R57" i="22"/>
  <c r="K42" i="22"/>
  <c r="K37" i="22"/>
  <c r="K36" i="22"/>
  <c r="K46" i="22"/>
  <c r="K59" i="22"/>
  <c r="K43" i="22"/>
  <c r="K56" i="22"/>
  <c r="K40" i="22"/>
  <c r="K65" i="22"/>
  <c r="K58" i="22"/>
  <c r="K45" i="22"/>
  <c r="K49" i="22"/>
  <c r="K33" i="22"/>
  <c r="K34" i="22"/>
  <c r="T4" i="22"/>
  <c r="V58" i="13"/>
  <c r="B5" i="17"/>
  <c r="B5" i="16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52" i="13"/>
  <c r="I62" i="22"/>
  <c r="I43" i="22"/>
  <c r="I60" i="22"/>
  <c r="I63" i="22"/>
  <c r="R4" i="22"/>
  <c r="I40" i="22"/>
  <c r="I45" i="22"/>
  <c r="I46" i="22"/>
  <c r="I41" i="22"/>
  <c r="I33" i="22"/>
  <c r="I38" i="22"/>
  <c r="I48" i="22"/>
  <c r="I42" i="22"/>
  <c r="I57" i="22"/>
  <c r="I44" i="22"/>
  <c r="I64" i="22"/>
  <c r="I37" i="22"/>
  <c r="I59" i="22"/>
  <c r="I47" i="22"/>
  <c r="I35" i="22"/>
  <c r="I36" i="22"/>
  <c r="I65" i="22"/>
  <c r="I54" i="22"/>
  <c r="I55" i="22"/>
  <c r="I58" i="22"/>
  <c r="I34" i="22"/>
  <c r="I39" i="22"/>
  <c r="I61" i="22"/>
  <c r="I49" i="22"/>
  <c r="I56" i="22"/>
  <c r="B2" i="18"/>
  <c r="H5" i="22" l="1"/>
  <c r="H14" i="22"/>
  <c r="H11" i="22"/>
  <c r="H17" i="22"/>
  <c r="H8" i="22"/>
  <c r="H3" i="22"/>
  <c r="H22" i="22"/>
  <c r="H12" i="22"/>
  <c r="H20" i="22"/>
  <c r="H19" i="22"/>
  <c r="H13" i="22"/>
  <c r="H23" i="22"/>
  <c r="H9" i="22"/>
  <c r="H15" i="22"/>
  <c r="H25" i="22"/>
  <c r="H28" i="22"/>
  <c r="H24" i="22"/>
  <c r="H16" i="22"/>
  <c r="H27" i="22"/>
  <c r="H26" i="22"/>
  <c r="H18" i="22"/>
  <c r="H31" i="22"/>
  <c r="H6" i="22"/>
  <c r="H29" i="22"/>
  <c r="H21" i="22"/>
  <c r="H4" i="22"/>
  <c r="H10" i="22"/>
  <c r="H7" i="22"/>
  <c r="H30" i="22"/>
  <c r="T5" i="22"/>
  <c r="T6" i="22"/>
  <c r="V59" i="13"/>
  <c r="V60" i="13"/>
  <c r="R3" i="20"/>
  <c r="R4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47" i="20"/>
  <c r="R48" i="20"/>
  <c r="R49" i="20"/>
  <c r="R50" i="20"/>
  <c r="R51" i="20"/>
  <c r="R52" i="20"/>
  <c r="R53" i="20"/>
  <c r="R54" i="20"/>
  <c r="R55" i="20"/>
  <c r="R56" i="20"/>
  <c r="R57" i="20"/>
  <c r="R58" i="20"/>
  <c r="R59" i="20"/>
  <c r="R60" i="20"/>
  <c r="R61" i="20"/>
  <c r="R2" i="20"/>
  <c r="L2" i="15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7" i="20"/>
  <c r="O38" i="20"/>
  <c r="O40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2" i="20"/>
  <c r="G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2" i="20"/>
  <c r="G3" i="20"/>
  <c r="H53" i="13" s="1"/>
  <c r="G4" i="20"/>
  <c r="H54" i="13" s="1"/>
  <c r="G5" i="20"/>
  <c r="H55" i="13" s="1"/>
  <c r="G6" i="20"/>
  <c r="H56" i="13" s="1"/>
  <c r="G7" i="20"/>
  <c r="H57" i="13" s="1"/>
  <c r="G8" i="20"/>
  <c r="H58" i="13" s="1"/>
  <c r="G9" i="20"/>
  <c r="H59" i="13" s="1"/>
  <c r="G10" i="20"/>
  <c r="H60" i="13" s="1"/>
  <c r="G11" i="20"/>
  <c r="H61" i="13" s="1"/>
  <c r="G12" i="20"/>
  <c r="H62" i="13" s="1"/>
  <c r="G13" i="20"/>
  <c r="H63" i="13" s="1"/>
  <c r="G14" i="20"/>
  <c r="H64" i="13" s="1"/>
  <c r="G15" i="20"/>
  <c r="H65" i="13" s="1"/>
  <c r="G16" i="20"/>
  <c r="H66" i="13" s="1"/>
  <c r="G17" i="20"/>
  <c r="H67" i="13" s="1"/>
  <c r="G18" i="20"/>
  <c r="H68" i="13" s="1"/>
  <c r="G19" i="20"/>
  <c r="H69" i="13" s="1"/>
  <c r="G20" i="20"/>
  <c r="H70" i="13" s="1"/>
  <c r="G21" i="20"/>
  <c r="H71" i="13" s="1"/>
  <c r="G22" i="20"/>
  <c r="H72" i="13" s="1"/>
  <c r="G23" i="20"/>
  <c r="H73" i="13" s="1"/>
  <c r="G24" i="20"/>
  <c r="H74" i="13" s="1"/>
  <c r="G25" i="20"/>
  <c r="H75" i="13" s="1"/>
  <c r="G26" i="20"/>
  <c r="H76" i="13" s="1"/>
  <c r="G27" i="20"/>
  <c r="H77" i="13" s="1"/>
  <c r="G28" i="20"/>
  <c r="H78" i="13" s="1"/>
  <c r="G29" i="20"/>
  <c r="H79" i="13" s="1"/>
  <c r="G30" i="20"/>
  <c r="H80" i="13" s="1"/>
  <c r="G31" i="20"/>
  <c r="H81" i="13" s="1"/>
  <c r="G32" i="20"/>
  <c r="H82" i="13" s="1"/>
  <c r="G33" i="20"/>
  <c r="H83" i="13" s="1"/>
  <c r="G34" i="20"/>
  <c r="H84" i="13" s="1"/>
  <c r="G35" i="20"/>
  <c r="H85" i="13" s="1"/>
  <c r="G36" i="20"/>
  <c r="H86" i="13" s="1"/>
  <c r="G37" i="20"/>
  <c r="H87" i="13" s="1"/>
  <c r="G38" i="20"/>
  <c r="H88" i="13" s="1"/>
  <c r="G39" i="20"/>
  <c r="H89" i="13" s="1"/>
  <c r="G40" i="20"/>
  <c r="H90" i="13" s="1"/>
  <c r="G41" i="20"/>
  <c r="H91" i="13" s="1"/>
  <c r="G42" i="20"/>
  <c r="H92" i="13" s="1"/>
  <c r="G43" i="20"/>
  <c r="H93" i="13" s="1"/>
  <c r="G44" i="20"/>
  <c r="H94" i="13" s="1"/>
  <c r="G45" i="20"/>
  <c r="H95" i="13" s="1"/>
  <c r="G46" i="20"/>
  <c r="H96" i="13" s="1"/>
  <c r="G47" i="20"/>
  <c r="H97" i="13" s="1"/>
  <c r="G48" i="20"/>
  <c r="H98" i="13" s="1"/>
  <c r="G49" i="20"/>
  <c r="H99" i="13" s="1"/>
  <c r="G50" i="20"/>
  <c r="H100" i="13" s="1"/>
  <c r="G51" i="20"/>
  <c r="H101" i="13" s="1"/>
  <c r="G52" i="20"/>
  <c r="H102" i="13" s="1"/>
  <c r="G53" i="20"/>
  <c r="H103" i="13" s="1"/>
  <c r="G54" i="20"/>
  <c r="H104" i="13" s="1"/>
  <c r="G55" i="20"/>
  <c r="H105" i="13" s="1"/>
  <c r="G56" i="20"/>
  <c r="H106" i="13" s="1"/>
  <c r="G57" i="20"/>
  <c r="H107" i="13" s="1"/>
  <c r="G58" i="20"/>
  <c r="H108" i="13" s="1"/>
  <c r="G59" i="20"/>
  <c r="H109" i="13" s="1"/>
  <c r="G60" i="20"/>
  <c r="H110" i="13" s="1"/>
  <c r="G61" i="20"/>
  <c r="H111" i="13" s="1"/>
  <c r="F2" i="15"/>
  <c r="R6" i="22"/>
  <c r="R5" i="22"/>
  <c r="H52" i="13" l="1"/>
  <c r="T25" i="22"/>
  <c r="T27" i="22"/>
  <c r="T26" i="22"/>
  <c r="T22" i="22"/>
  <c r="T16" i="22"/>
  <c r="T13" i="22"/>
  <c r="T10" i="22"/>
  <c r="T7" i="22"/>
  <c r="T28" i="22"/>
  <c r="T24" i="22"/>
  <c r="T23" i="22"/>
  <c r="T20" i="22"/>
  <c r="T15" i="22"/>
  <c r="T17" i="22"/>
  <c r="T12" i="22"/>
  <c r="T19" i="22"/>
  <c r="T18" i="22"/>
  <c r="T14" i="22"/>
  <c r="T9" i="22"/>
  <c r="T11" i="22"/>
  <c r="T8" i="22"/>
  <c r="T21" i="22"/>
  <c r="V61" i="13"/>
  <c r="V62" i="13"/>
  <c r="Q62" i="16"/>
  <c r="Q63" i="16"/>
  <c r="Q64" i="16"/>
  <c r="Q65" i="16"/>
  <c r="Q66" i="16" s="1"/>
  <c r="Q67" i="16" s="1"/>
  <c r="Q68" i="16" s="1"/>
  <c r="Q69" i="16" s="1"/>
  <c r="Q70" i="16" s="1"/>
  <c r="Q71" i="16" s="1"/>
  <c r="Q72" i="16" s="1"/>
  <c r="Q73" i="16" s="1"/>
  <c r="Q74" i="16" s="1"/>
  <c r="Q75" i="16" s="1"/>
  <c r="Q76" i="16" s="1"/>
  <c r="Q77" i="16" s="1"/>
  <c r="Q78" i="16" s="1"/>
  <c r="Q79" i="16" s="1"/>
  <c r="Q80" i="16" s="1"/>
  <c r="Q81" i="16" s="1"/>
  <c r="Q82" i="16" s="1"/>
  <c r="Q83" i="16" s="1"/>
  <c r="Q84" i="16" s="1"/>
  <c r="Q85" i="16" s="1"/>
  <c r="Q86" i="16" s="1"/>
  <c r="Q87" i="16" s="1"/>
  <c r="Q88" i="16" s="1"/>
  <c r="Q89" i="16" s="1"/>
  <c r="Q90" i="16" s="1"/>
  <c r="Q91" i="16" s="1"/>
  <c r="Q61" i="16"/>
  <c r="Q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60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" i="16"/>
  <c r="B27" i="17"/>
  <c r="M22" i="17"/>
  <c r="M23" i="17"/>
  <c r="M24" i="17"/>
  <c r="M25" i="17"/>
  <c r="M26" i="17"/>
  <c r="M27" i="17"/>
  <c r="M28" i="17"/>
  <c r="M29" i="17"/>
  <c r="M30" i="17"/>
  <c r="M31" i="17"/>
  <c r="M32" i="17"/>
  <c r="M21" i="17"/>
  <c r="O3" i="17"/>
  <c r="N22" i="17"/>
  <c r="N23" i="17" s="1"/>
  <c r="N24" i="17" s="1"/>
  <c r="N25" i="17" s="1"/>
  <c r="N26" i="17" s="1"/>
  <c r="N27" i="17" s="1"/>
  <c r="N28" i="17" s="1"/>
  <c r="N29" i="17" s="1"/>
  <c r="N30" i="17" s="1"/>
  <c r="N31" i="17" s="1"/>
  <c r="N32" i="17" s="1"/>
  <c r="B4" i="17"/>
  <c r="R8" i="22"/>
  <c r="R10" i="22"/>
  <c r="R13" i="22"/>
  <c r="R12" i="22"/>
  <c r="R23" i="22"/>
  <c r="R11" i="22"/>
  <c r="R9" i="22"/>
  <c r="R16" i="22"/>
  <c r="R25" i="22"/>
  <c r="R24" i="22"/>
  <c r="R28" i="22"/>
  <c r="R17" i="22"/>
  <c r="R15" i="22"/>
  <c r="R21" i="22"/>
  <c r="R14" i="22"/>
  <c r="R22" i="22"/>
  <c r="R26" i="22"/>
  <c r="R20" i="22"/>
  <c r="R7" i="22"/>
  <c r="R18" i="22"/>
  <c r="R19" i="22"/>
  <c r="R27" i="22"/>
  <c r="V64" i="13" l="1"/>
  <c r="V63" i="13"/>
  <c r="F21" i="14"/>
  <c r="V66" i="13" l="1"/>
  <c r="V65" i="13"/>
  <c r="K4" i="17"/>
  <c r="K5" i="17"/>
  <c r="K6" i="17"/>
  <c r="K7" i="17"/>
  <c r="K8" i="17"/>
  <c r="K9" i="17"/>
  <c r="K10" i="17"/>
  <c r="K11" i="17"/>
  <c r="K12" i="17"/>
  <c r="K13" i="17"/>
  <c r="K14" i="17"/>
  <c r="K3" i="17"/>
  <c r="V67" i="13" l="1"/>
  <c r="V68" i="13"/>
  <c r="V16" i="13"/>
  <c r="U16" i="13"/>
  <c r="H4" i="13"/>
  <c r="H5" i="13"/>
  <c r="H6" i="13"/>
  <c r="H7" i="13"/>
  <c r="H8" i="13"/>
  <c r="H9" i="13"/>
  <c r="H10" i="13"/>
  <c r="H11" i="13"/>
  <c r="H12" i="13"/>
  <c r="H13" i="13"/>
  <c r="H14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3" i="13"/>
  <c r="AE14" i="13"/>
  <c r="AE16" i="13"/>
  <c r="AE17" i="13"/>
  <c r="AE18" i="13"/>
  <c r="AE19" i="13"/>
  <c r="AE20" i="13"/>
  <c r="AE21" i="13"/>
  <c r="AE22" i="13"/>
  <c r="AE23" i="13"/>
  <c r="AE24" i="13"/>
  <c r="AE25" i="13"/>
  <c r="AE26" i="13"/>
  <c r="AE27" i="13"/>
  <c r="AE28" i="13"/>
  <c r="AE29" i="13"/>
  <c r="AE30" i="13"/>
  <c r="AE31" i="13"/>
  <c r="AE32" i="13"/>
  <c r="AE33" i="13"/>
  <c r="AE34" i="13"/>
  <c r="AE35" i="13"/>
  <c r="AE36" i="13"/>
  <c r="AE37" i="13"/>
  <c r="AE38" i="13"/>
  <c r="AE39" i="13"/>
  <c r="AE40" i="13"/>
  <c r="AE41" i="13"/>
  <c r="AE42" i="13"/>
  <c r="AE43" i="13"/>
  <c r="AE44" i="13"/>
  <c r="AE45" i="13"/>
  <c r="AE46" i="13"/>
  <c r="AE47" i="13"/>
  <c r="AE48" i="13"/>
  <c r="AE49" i="13"/>
  <c r="AE50" i="13"/>
  <c r="AC17" i="13"/>
  <c r="AC41" i="13"/>
  <c r="AA6" i="13"/>
  <c r="AA7" i="13"/>
  <c r="B1" i="10"/>
  <c r="U14" i="13"/>
  <c r="V14" i="13"/>
  <c r="V17" i="13" s="1"/>
  <c r="V18" i="13" s="1"/>
  <c r="V19" i="13" s="1"/>
  <c r="V20" i="13" s="1"/>
  <c r="V21" i="13" s="1"/>
  <c r="V22" i="13" s="1"/>
  <c r="V23" i="13" s="1"/>
  <c r="V24" i="13" s="1"/>
  <c r="V25" i="13" s="1"/>
  <c r="V26" i="13" s="1"/>
  <c r="V27" i="13" s="1"/>
  <c r="V28" i="13" s="1"/>
  <c r="V29" i="13" s="1"/>
  <c r="V30" i="13" s="1"/>
  <c r="V31" i="13" s="1"/>
  <c r="V32" i="13" s="1"/>
  <c r="V33" i="13" s="1"/>
  <c r="V34" i="13" s="1"/>
  <c r="V35" i="13" s="1"/>
  <c r="V36" i="13" s="1"/>
  <c r="V37" i="13" s="1"/>
  <c r="V38" i="13" s="1"/>
  <c r="V39" i="13" s="1"/>
  <c r="V40" i="13" s="1"/>
  <c r="V41" i="13" s="1"/>
  <c r="V42" i="13" s="1"/>
  <c r="V43" i="13" s="1"/>
  <c r="V44" i="13" s="1"/>
  <c r="V45" i="13" s="1"/>
  <c r="V46" i="13" s="1"/>
  <c r="V47" i="13" s="1"/>
  <c r="V48" i="13" s="1"/>
  <c r="V49" i="13" s="1"/>
  <c r="V50" i="13" s="1"/>
  <c r="W14" i="13"/>
  <c r="U17" i="13"/>
  <c r="U18" i="13" s="1"/>
  <c r="U19" i="13" s="1"/>
  <c r="U20" i="13" s="1"/>
  <c r="U21" i="13" s="1"/>
  <c r="U22" i="13" s="1"/>
  <c r="U23" i="13" s="1"/>
  <c r="U24" i="13" s="1"/>
  <c r="U25" i="13" s="1"/>
  <c r="U26" i="13" s="1"/>
  <c r="U27" i="13" s="1"/>
  <c r="U28" i="13" s="1"/>
  <c r="U29" i="13" s="1"/>
  <c r="U30" i="13" s="1"/>
  <c r="U31" i="13" s="1"/>
  <c r="U32" i="13" s="1"/>
  <c r="U33" i="13" s="1"/>
  <c r="U34" i="13" s="1"/>
  <c r="U35" i="13" s="1"/>
  <c r="U36" i="13" s="1"/>
  <c r="U37" i="13" s="1"/>
  <c r="U38" i="13" s="1"/>
  <c r="U39" i="13" s="1"/>
  <c r="U40" i="13" s="1"/>
  <c r="U41" i="13" s="1"/>
  <c r="U42" i="13" s="1"/>
  <c r="U43" i="13" s="1"/>
  <c r="U44" i="13" s="1"/>
  <c r="U45" i="13" s="1"/>
  <c r="U46" i="13" s="1"/>
  <c r="U47" i="13" s="1"/>
  <c r="U48" i="13" s="1"/>
  <c r="U49" i="13" s="1"/>
  <c r="U50" i="13" s="1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R14" i="13"/>
  <c r="AC14" i="13" s="1"/>
  <c r="R16" i="13"/>
  <c r="AC16" i="13" s="1"/>
  <c r="R17" i="13"/>
  <c r="R18" i="13"/>
  <c r="AC18" i="13" s="1"/>
  <c r="R19" i="13"/>
  <c r="AC19" i="13" s="1"/>
  <c r="R20" i="13"/>
  <c r="AC20" i="13" s="1"/>
  <c r="R21" i="13"/>
  <c r="AC21" i="13" s="1"/>
  <c r="R22" i="13"/>
  <c r="AC22" i="13" s="1"/>
  <c r="R23" i="13"/>
  <c r="AC23" i="13" s="1"/>
  <c r="R24" i="13"/>
  <c r="AC24" i="13" s="1"/>
  <c r="R25" i="13"/>
  <c r="AC25" i="13" s="1"/>
  <c r="R26" i="13"/>
  <c r="AC26" i="13" s="1"/>
  <c r="R27" i="13"/>
  <c r="AC27" i="13" s="1"/>
  <c r="R28" i="13"/>
  <c r="AC28" i="13" s="1"/>
  <c r="R29" i="13"/>
  <c r="AC29" i="13" s="1"/>
  <c r="R30" i="13"/>
  <c r="AC30" i="13" s="1"/>
  <c r="R31" i="13"/>
  <c r="AC31" i="13" s="1"/>
  <c r="R32" i="13"/>
  <c r="AC32" i="13" s="1"/>
  <c r="R33" i="13"/>
  <c r="AC33" i="13" s="1"/>
  <c r="R34" i="13"/>
  <c r="AC34" i="13" s="1"/>
  <c r="R35" i="13"/>
  <c r="AC35" i="13" s="1"/>
  <c r="R36" i="13"/>
  <c r="AC36" i="13" s="1"/>
  <c r="R37" i="13"/>
  <c r="AC37" i="13" s="1"/>
  <c r="R38" i="13"/>
  <c r="AC38" i="13" s="1"/>
  <c r="R39" i="13"/>
  <c r="AC39" i="13" s="1"/>
  <c r="R40" i="13"/>
  <c r="AC40" i="13" s="1"/>
  <c r="R41" i="13"/>
  <c r="R42" i="13"/>
  <c r="AC42" i="13" s="1"/>
  <c r="R43" i="13"/>
  <c r="AC43" i="13" s="1"/>
  <c r="R44" i="13"/>
  <c r="AC44" i="13" s="1"/>
  <c r="R45" i="13"/>
  <c r="AC45" i="13" s="1"/>
  <c r="R46" i="13"/>
  <c r="AC46" i="13" s="1"/>
  <c r="R47" i="13"/>
  <c r="AC47" i="13" s="1"/>
  <c r="R48" i="13"/>
  <c r="AC48" i="13" s="1"/>
  <c r="R49" i="13"/>
  <c r="AC49" i="13" s="1"/>
  <c r="R50" i="13"/>
  <c r="AC50" i="13" s="1"/>
  <c r="R4" i="13"/>
  <c r="AC4" i="13" s="1"/>
  <c r="R5" i="13"/>
  <c r="AC5" i="13" s="1"/>
  <c r="R6" i="13"/>
  <c r="AC6" i="13" s="1"/>
  <c r="R7" i="13"/>
  <c r="AC7" i="13" s="1"/>
  <c r="R8" i="13"/>
  <c r="AC8" i="13" s="1"/>
  <c r="R9" i="13"/>
  <c r="AC9" i="13" s="1"/>
  <c r="R10" i="13"/>
  <c r="AC10" i="13" s="1"/>
  <c r="R11" i="13"/>
  <c r="AC11" i="13" s="1"/>
  <c r="R12" i="13"/>
  <c r="AC12" i="13" s="1"/>
  <c r="R13" i="13"/>
  <c r="AC13" i="13" s="1"/>
  <c r="R3" i="13"/>
  <c r="AC3" i="13" s="1"/>
  <c r="P6" i="13"/>
  <c r="P7" i="13"/>
  <c r="A4" i="13"/>
  <c r="A5" i="13"/>
  <c r="A6" i="13"/>
  <c r="A7" i="13"/>
  <c r="A8" i="13"/>
  <c r="A9" i="13"/>
  <c r="A10" i="13"/>
  <c r="A11" i="13"/>
  <c r="A12" i="13"/>
  <c r="A13" i="13"/>
  <c r="A14" i="13"/>
  <c r="A16" i="13"/>
  <c r="A17" i="13"/>
  <c r="I17" i="13" s="1"/>
  <c r="A18" i="13"/>
  <c r="I18" i="13" s="1"/>
  <c r="A19" i="13"/>
  <c r="I19" i="13" s="1"/>
  <c r="A20" i="13"/>
  <c r="A21" i="13"/>
  <c r="A22" i="13"/>
  <c r="A23" i="13"/>
  <c r="I23" i="13" s="1"/>
  <c r="A24" i="13"/>
  <c r="I24" i="13" s="1"/>
  <c r="A25" i="13"/>
  <c r="I25" i="13" s="1"/>
  <c r="A26" i="13"/>
  <c r="A27" i="13"/>
  <c r="A28" i="13"/>
  <c r="A29" i="13"/>
  <c r="I29" i="13" s="1"/>
  <c r="A30" i="13"/>
  <c r="I30" i="13" s="1"/>
  <c r="A31" i="13"/>
  <c r="I31" i="13" s="1"/>
  <c r="A32" i="13"/>
  <c r="A33" i="13"/>
  <c r="A34" i="13"/>
  <c r="A35" i="13"/>
  <c r="I35" i="13" s="1"/>
  <c r="A36" i="13"/>
  <c r="I36" i="13" s="1"/>
  <c r="A37" i="13"/>
  <c r="I37" i="13" s="1"/>
  <c r="A38" i="13"/>
  <c r="A39" i="13"/>
  <c r="A40" i="13"/>
  <c r="A41" i="13"/>
  <c r="I41" i="13" s="1"/>
  <c r="A42" i="13"/>
  <c r="I42" i="13" s="1"/>
  <c r="A43" i="13"/>
  <c r="I43" i="13" s="1"/>
  <c r="A44" i="13"/>
  <c r="A45" i="13"/>
  <c r="A46" i="13"/>
  <c r="A47" i="13"/>
  <c r="I47" i="13" s="1"/>
  <c r="A48" i="13"/>
  <c r="I48" i="13" s="1"/>
  <c r="A49" i="13"/>
  <c r="I49" i="13" s="1"/>
  <c r="A50" i="13"/>
  <c r="A3" i="13"/>
  <c r="B4" i="10"/>
  <c r="V69" i="13" l="1"/>
  <c r="V70" i="13"/>
  <c r="I46" i="13"/>
  <c r="I16" i="13"/>
  <c r="F54" i="10"/>
  <c r="T3" i="20"/>
  <c r="T9" i="20"/>
  <c r="T15" i="20"/>
  <c r="T21" i="20"/>
  <c r="T27" i="20"/>
  <c r="T33" i="20"/>
  <c r="T39" i="20"/>
  <c r="T45" i="20"/>
  <c r="T51" i="20"/>
  <c r="T57" i="20"/>
  <c r="T14" i="20"/>
  <c r="T20" i="20"/>
  <c r="T32" i="20"/>
  <c r="T44" i="20"/>
  <c r="T56" i="20"/>
  <c r="T4" i="20"/>
  <c r="T10" i="20"/>
  <c r="T16" i="20"/>
  <c r="T22" i="20"/>
  <c r="T28" i="20"/>
  <c r="T34" i="20"/>
  <c r="T40" i="20"/>
  <c r="T46" i="20"/>
  <c r="T52" i="20"/>
  <c r="T58" i="20"/>
  <c r="T5" i="20"/>
  <c r="T11" i="20"/>
  <c r="T17" i="20"/>
  <c r="T23" i="20"/>
  <c r="T29" i="20"/>
  <c r="T35" i="20"/>
  <c r="T41" i="20"/>
  <c r="T47" i="20"/>
  <c r="T53" i="20"/>
  <c r="T59" i="20"/>
  <c r="T6" i="20"/>
  <c r="T12" i="20"/>
  <c r="T18" i="20"/>
  <c r="T24" i="20"/>
  <c r="T30" i="20"/>
  <c r="T36" i="20"/>
  <c r="T42" i="20"/>
  <c r="T48" i="20"/>
  <c r="T54" i="20"/>
  <c r="T60" i="20"/>
  <c r="T26" i="20"/>
  <c r="T7" i="20"/>
  <c r="T13" i="20"/>
  <c r="T19" i="20"/>
  <c r="T25" i="20"/>
  <c r="T31" i="20"/>
  <c r="T37" i="20"/>
  <c r="T43" i="20"/>
  <c r="T49" i="20"/>
  <c r="T55" i="20"/>
  <c r="T61" i="20"/>
  <c r="T8" i="20"/>
  <c r="T38" i="20"/>
  <c r="T50" i="20"/>
  <c r="T2" i="20"/>
  <c r="I45" i="13"/>
  <c r="I39" i="13"/>
  <c r="I33" i="13"/>
  <c r="I27" i="13"/>
  <c r="I21" i="13"/>
  <c r="I14" i="13"/>
  <c r="I28" i="13"/>
  <c r="I40" i="13"/>
  <c r="I22" i="13"/>
  <c r="I34" i="13"/>
  <c r="I50" i="13"/>
  <c r="I44" i="13"/>
  <c r="I38" i="13"/>
  <c r="I32" i="13"/>
  <c r="I26" i="13"/>
  <c r="I20" i="13"/>
  <c r="AA3" i="14"/>
  <c r="AA4" i="14"/>
  <c r="AA5" i="14"/>
  <c r="AA6" i="14"/>
  <c r="AA7" i="14"/>
  <c r="AA8" i="14"/>
  <c r="AA9" i="14"/>
  <c r="D4" i="13" s="1"/>
  <c r="AA10" i="14"/>
  <c r="D5" i="13" s="1"/>
  <c r="AA11" i="14"/>
  <c r="AA12" i="14"/>
  <c r="AA13" i="14"/>
  <c r="AA14" i="14"/>
  <c r="AA15" i="14"/>
  <c r="AA16" i="14"/>
  <c r="AA17" i="14"/>
  <c r="AA18" i="14"/>
  <c r="AA19" i="14"/>
  <c r="AA20" i="14"/>
  <c r="AA21" i="14"/>
  <c r="D6" i="13" s="1"/>
  <c r="AA22" i="14"/>
  <c r="D7" i="13" s="1"/>
  <c r="AA23" i="14"/>
  <c r="AA24" i="14"/>
  <c r="AA25" i="14"/>
  <c r="D8" i="13" s="1"/>
  <c r="AA26" i="14"/>
  <c r="D9" i="13" s="1"/>
  <c r="AA27" i="14"/>
  <c r="D10" i="13" s="1"/>
  <c r="AA28" i="14"/>
  <c r="AA29" i="14"/>
  <c r="D39" i="13" s="1"/>
  <c r="E39" i="13" s="1"/>
  <c r="AA30" i="14"/>
  <c r="AA31" i="14"/>
  <c r="AA32" i="14"/>
  <c r="D12" i="13" s="1"/>
  <c r="AA33" i="14"/>
  <c r="D13" i="13" s="1"/>
  <c r="AA34" i="14"/>
  <c r="AA35" i="14"/>
  <c r="D14" i="13" s="1"/>
  <c r="E14" i="13" s="1"/>
  <c r="AA37" i="14"/>
  <c r="D16" i="13" s="1"/>
  <c r="E16" i="13" s="1"/>
  <c r="AA38" i="14"/>
  <c r="D17" i="13" s="1"/>
  <c r="E17" i="13" s="1"/>
  <c r="AA39" i="14"/>
  <c r="D18" i="13" s="1"/>
  <c r="E18" i="13" s="1"/>
  <c r="AA40" i="14"/>
  <c r="AA41" i="14"/>
  <c r="D19" i="13" s="1"/>
  <c r="E19" i="13" s="1"/>
  <c r="AA42" i="14"/>
  <c r="D20" i="13" s="1"/>
  <c r="E20" i="13" s="1"/>
  <c r="AA43" i="14"/>
  <c r="D21" i="13" s="1"/>
  <c r="E21" i="13" s="1"/>
  <c r="AA44" i="14"/>
  <c r="D22" i="13" s="1"/>
  <c r="E22" i="13" s="1"/>
  <c r="AA45" i="14"/>
  <c r="AA46" i="14"/>
  <c r="D23" i="13" s="1"/>
  <c r="E23" i="13" s="1"/>
  <c r="AA47" i="14"/>
  <c r="D24" i="13" s="1"/>
  <c r="E24" i="13" s="1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D44" i="13" s="1"/>
  <c r="E44" i="13" s="1"/>
  <c r="AA62" i="14"/>
  <c r="D47" i="13" s="1"/>
  <c r="E47" i="13" s="1"/>
  <c r="AA63" i="14"/>
  <c r="D27" i="13" s="1"/>
  <c r="E27" i="13" s="1"/>
  <c r="AA64" i="14"/>
  <c r="D28" i="13" s="1"/>
  <c r="E28" i="13" s="1"/>
  <c r="AA65" i="14"/>
  <c r="D29" i="13" s="1"/>
  <c r="E29" i="13" s="1"/>
  <c r="AA66" i="14"/>
  <c r="D30" i="13" s="1"/>
  <c r="E30" i="13" s="1"/>
  <c r="AA67" i="14"/>
  <c r="D31" i="13" s="1"/>
  <c r="E31" i="13" s="1"/>
  <c r="AA68" i="14"/>
  <c r="D32" i="13" s="1"/>
  <c r="E32" i="13" s="1"/>
  <c r="AA69" i="14"/>
  <c r="D33" i="13" s="1"/>
  <c r="E33" i="13" s="1"/>
  <c r="AA70" i="14"/>
  <c r="D34" i="13" s="1"/>
  <c r="E34" i="13" s="1"/>
  <c r="AA71" i="14"/>
  <c r="D35" i="13" s="1"/>
  <c r="E35" i="13" s="1"/>
  <c r="AA72" i="14"/>
  <c r="D36" i="13" s="1"/>
  <c r="E36" i="13" s="1"/>
  <c r="AA73" i="14"/>
  <c r="D37" i="13" s="1"/>
  <c r="E37" i="13" s="1"/>
  <c r="AA74" i="14"/>
  <c r="D38" i="13" s="1"/>
  <c r="E38" i="13" s="1"/>
  <c r="AA75" i="14"/>
  <c r="AA76" i="14"/>
  <c r="AA77" i="14"/>
  <c r="AA78" i="14"/>
  <c r="AA79" i="14"/>
  <c r="D40" i="13" s="1"/>
  <c r="E40" i="13" s="1"/>
  <c r="AA80" i="14"/>
  <c r="AA81" i="14"/>
  <c r="AA82" i="14"/>
  <c r="AA83" i="14"/>
  <c r="AA84" i="14"/>
  <c r="AA85" i="14"/>
  <c r="AA86" i="14"/>
  <c r="AA87" i="14"/>
  <c r="D41" i="13" s="1"/>
  <c r="E41" i="13" s="1"/>
  <c r="AA88" i="14"/>
  <c r="D42" i="13" s="1"/>
  <c r="E42" i="13" s="1"/>
  <c r="AA89" i="14"/>
  <c r="AA90" i="14"/>
  <c r="AA91" i="14"/>
  <c r="AA92" i="14"/>
  <c r="AA93" i="14"/>
  <c r="AA94" i="14"/>
  <c r="AA95" i="14"/>
  <c r="AA96" i="14"/>
  <c r="AA97" i="14"/>
  <c r="AA98" i="14"/>
  <c r="AA99" i="14"/>
  <c r="AA100" i="14"/>
  <c r="AA101" i="14"/>
  <c r="AA102" i="14"/>
  <c r="D43" i="13" s="1"/>
  <c r="E43" i="13" s="1"/>
  <c r="AA103" i="14"/>
  <c r="AA104" i="14"/>
  <c r="D45" i="13" s="1"/>
  <c r="E45" i="13" s="1"/>
  <c r="AA105" i="14"/>
  <c r="D46" i="13" s="1"/>
  <c r="E46" i="13" s="1"/>
  <c r="AA106" i="14"/>
  <c r="AA107" i="14"/>
  <c r="D48" i="13" s="1"/>
  <c r="E48" i="13" s="1"/>
  <c r="AA108" i="14"/>
  <c r="D49" i="13" s="1"/>
  <c r="E49" i="13" s="1"/>
  <c r="AA109" i="14"/>
  <c r="D50" i="13" s="1"/>
  <c r="E50" i="13" s="1"/>
  <c r="AA2" i="14"/>
  <c r="D3" i="13" s="1"/>
  <c r="V71" i="13" l="1"/>
  <c r="V72" i="13"/>
  <c r="D26" i="13"/>
  <c r="E26" i="13" s="1"/>
  <c r="D25" i="13"/>
  <c r="E25" i="13" s="1"/>
  <c r="D11" i="13"/>
  <c r="S3" i="13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M5" i="15"/>
  <c r="M6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I5" i="15"/>
  <c r="I6" i="15"/>
  <c r="L3" i="15"/>
  <c r="L4" i="15"/>
  <c r="L5" i="15"/>
  <c r="L6" i="15"/>
  <c r="L7" i="15"/>
  <c r="L8" i="15"/>
  <c r="L9" i="15"/>
  <c r="L10" i="15"/>
  <c r="L11" i="15"/>
  <c r="L1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2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3" i="15"/>
  <c r="F4" i="15"/>
  <c r="F5" i="15"/>
  <c r="F6" i="15"/>
  <c r="F7" i="15"/>
  <c r="D2" i="15"/>
  <c r="D13" i="15"/>
  <c r="M13" i="15" s="1"/>
  <c r="D14" i="15"/>
  <c r="M14" i="15" s="1"/>
  <c r="D15" i="15"/>
  <c r="M15" i="15" s="1"/>
  <c r="D16" i="15"/>
  <c r="M16" i="15" s="1"/>
  <c r="D17" i="15"/>
  <c r="M17" i="15" s="1"/>
  <c r="D18" i="15"/>
  <c r="M18" i="15" s="1"/>
  <c r="D19" i="15"/>
  <c r="M19" i="15" s="1"/>
  <c r="D20" i="15"/>
  <c r="M20" i="15" s="1"/>
  <c r="D21" i="15"/>
  <c r="M21" i="15" s="1"/>
  <c r="D22" i="15"/>
  <c r="M22" i="15" s="1"/>
  <c r="D23" i="15"/>
  <c r="M23" i="15" s="1"/>
  <c r="D24" i="15"/>
  <c r="M24" i="15" s="1"/>
  <c r="D25" i="15"/>
  <c r="M25" i="15" s="1"/>
  <c r="D26" i="15"/>
  <c r="M26" i="15" s="1"/>
  <c r="D27" i="15"/>
  <c r="M27" i="15" s="1"/>
  <c r="D28" i="15"/>
  <c r="M28" i="15" s="1"/>
  <c r="D29" i="15"/>
  <c r="M29" i="15" s="1"/>
  <c r="D30" i="15"/>
  <c r="M30" i="15" s="1"/>
  <c r="D31" i="15"/>
  <c r="M31" i="15" s="1"/>
  <c r="D32" i="15"/>
  <c r="M32" i="15" s="1"/>
  <c r="D33" i="15"/>
  <c r="M33" i="15" s="1"/>
  <c r="D34" i="15"/>
  <c r="M34" i="15" s="1"/>
  <c r="D35" i="15"/>
  <c r="M35" i="15" s="1"/>
  <c r="D36" i="15"/>
  <c r="M36" i="15" s="1"/>
  <c r="D37" i="15"/>
  <c r="M37" i="15" s="1"/>
  <c r="D38" i="15"/>
  <c r="M38" i="15" s="1"/>
  <c r="D39" i="15"/>
  <c r="M39" i="15" s="1"/>
  <c r="D40" i="15"/>
  <c r="M40" i="15" s="1"/>
  <c r="D41" i="15"/>
  <c r="M41" i="15" s="1"/>
  <c r="D42" i="15"/>
  <c r="M42" i="15" s="1"/>
  <c r="D43" i="15"/>
  <c r="M43" i="15" s="1"/>
  <c r="D44" i="15"/>
  <c r="M44" i="15" s="1"/>
  <c r="D45" i="15"/>
  <c r="M45" i="15" s="1"/>
  <c r="D46" i="15"/>
  <c r="M46" i="15" s="1"/>
  <c r="D47" i="15"/>
  <c r="M47" i="15" s="1"/>
  <c r="D48" i="15"/>
  <c r="M48" i="15" s="1"/>
  <c r="D49" i="15"/>
  <c r="M49" i="15" s="1"/>
  <c r="D3" i="15"/>
  <c r="M3" i="15" s="1"/>
  <c r="D4" i="15"/>
  <c r="M4" i="15" s="1"/>
  <c r="D7" i="15"/>
  <c r="M7" i="15" s="1"/>
  <c r="D8" i="15"/>
  <c r="M8" i="15" s="1"/>
  <c r="D9" i="15"/>
  <c r="M9" i="15" s="1"/>
  <c r="D10" i="15"/>
  <c r="M10" i="15" s="1"/>
  <c r="D11" i="15"/>
  <c r="M11" i="15" s="1"/>
  <c r="D12" i="15"/>
  <c r="M12" i="15" s="1"/>
  <c r="V73" i="13" l="1"/>
  <c r="V74" i="13"/>
  <c r="I2" i="15"/>
  <c r="P3" i="13" s="1"/>
  <c r="AA3" i="13" s="1"/>
  <c r="S4" i="13"/>
  <c r="M2" i="15"/>
  <c r="I7" i="15"/>
  <c r="P8" i="13" s="1"/>
  <c r="AA8" i="13" s="1"/>
  <c r="I48" i="15"/>
  <c r="P49" i="13" s="1"/>
  <c r="AA49" i="13" s="1"/>
  <c r="I42" i="15"/>
  <c r="P43" i="13" s="1"/>
  <c r="AA43" i="13" s="1"/>
  <c r="I36" i="15"/>
  <c r="P37" i="13" s="1"/>
  <c r="AA37" i="13" s="1"/>
  <c r="I30" i="15"/>
  <c r="P31" i="13" s="1"/>
  <c r="AA31" i="13" s="1"/>
  <c r="I24" i="15"/>
  <c r="P25" i="13" s="1"/>
  <c r="AA25" i="13" s="1"/>
  <c r="I18" i="15"/>
  <c r="P19" i="13" s="1"/>
  <c r="AA19" i="13" s="1"/>
  <c r="I12" i="15"/>
  <c r="P13" i="13" s="1"/>
  <c r="AA13" i="13" s="1"/>
  <c r="I47" i="15"/>
  <c r="P48" i="13" s="1"/>
  <c r="AA48" i="13" s="1"/>
  <c r="I41" i="15"/>
  <c r="P42" i="13" s="1"/>
  <c r="AA42" i="13" s="1"/>
  <c r="I35" i="15"/>
  <c r="P36" i="13" s="1"/>
  <c r="AA36" i="13" s="1"/>
  <c r="I29" i="15"/>
  <c r="P30" i="13" s="1"/>
  <c r="AA30" i="13" s="1"/>
  <c r="I23" i="15"/>
  <c r="P24" i="13" s="1"/>
  <c r="AA24" i="13" s="1"/>
  <c r="I17" i="15"/>
  <c r="P18" i="13" s="1"/>
  <c r="AA18" i="13" s="1"/>
  <c r="I11" i="15"/>
  <c r="P12" i="13" s="1"/>
  <c r="AA12" i="13" s="1"/>
  <c r="I46" i="15"/>
  <c r="P47" i="13" s="1"/>
  <c r="AA47" i="13" s="1"/>
  <c r="I40" i="15"/>
  <c r="P41" i="13" s="1"/>
  <c r="AA41" i="13" s="1"/>
  <c r="I34" i="15"/>
  <c r="P35" i="13" s="1"/>
  <c r="AA35" i="13" s="1"/>
  <c r="I28" i="15"/>
  <c r="P29" i="13" s="1"/>
  <c r="AA29" i="13" s="1"/>
  <c r="I22" i="15"/>
  <c r="P23" i="13" s="1"/>
  <c r="AA23" i="13" s="1"/>
  <c r="I16" i="15"/>
  <c r="P17" i="13" s="1"/>
  <c r="AA17" i="13" s="1"/>
  <c r="I10" i="15"/>
  <c r="P11" i="13" s="1"/>
  <c r="AA11" i="13" s="1"/>
  <c r="I4" i="15"/>
  <c r="P5" i="13" s="1"/>
  <c r="AA5" i="13" s="1"/>
  <c r="I45" i="15"/>
  <c r="P46" i="13" s="1"/>
  <c r="AA46" i="13" s="1"/>
  <c r="I39" i="15"/>
  <c r="P40" i="13" s="1"/>
  <c r="AA40" i="13" s="1"/>
  <c r="I33" i="15"/>
  <c r="P34" i="13" s="1"/>
  <c r="AA34" i="13" s="1"/>
  <c r="I27" i="15"/>
  <c r="P28" i="13" s="1"/>
  <c r="AA28" i="13" s="1"/>
  <c r="I21" i="15"/>
  <c r="P22" i="13" s="1"/>
  <c r="AA22" i="13" s="1"/>
  <c r="I15" i="15"/>
  <c r="P16" i="13" s="1"/>
  <c r="AA16" i="13" s="1"/>
  <c r="I9" i="15"/>
  <c r="P10" i="13" s="1"/>
  <c r="AA10" i="13" s="1"/>
  <c r="I3" i="15"/>
  <c r="P4" i="13" s="1"/>
  <c r="AA4" i="13" s="1"/>
  <c r="I44" i="15"/>
  <c r="P45" i="13" s="1"/>
  <c r="AA45" i="13" s="1"/>
  <c r="I38" i="15"/>
  <c r="P39" i="13" s="1"/>
  <c r="AA39" i="13" s="1"/>
  <c r="I32" i="15"/>
  <c r="P33" i="13" s="1"/>
  <c r="AA33" i="13" s="1"/>
  <c r="I26" i="15"/>
  <c r="P27" i="13" s="1"/>
  <c r="AA27" i="13" s="1"/>
  <c r="I20" i="15"/>
  <c r="P21" i="13" s="1"/>
  <c r="AA21" i="13" s="1"/>
  <c r="I14" i="15"/>
  <c r="I8" i="15"/>
  <c r="P9" i="13" s="1"/>
  <c r="AA9" i="13" s="1"/>
  <c r="I49" i="15"/>
  <c r="P50" i="13" s="1"/>
  <c r="I43" i="15"/>
  <c r="P44" i="13" s="1"/>
  <c r="AA44" i="13" s="1"/>
  <c r="I37" i="15"/>
  <c r="P38" i="13" s="1"/>
  <c r="AA38" i="13" s="1"/>
  <c r="I31" i="15"/>
  <c r="P32" i="13" s="1"/>
  <c r="AA32" i="13" s="1"/>
  <c r="I25" i="15"/>
  <c r="P26" i="13" s="1"/>
  <c r="AA26" i="13" s="1"/>
  <c r="I19" i="15"/>
  <c r="P20" i="13" s="1"/>
  <c r="AA20" i="13" s="1"/>
  <c r="I13" i="15"/>
  <c r="P14" i="13" s="1"/>
  <c r="AA14" i="13" s="1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F13" i="14"/>
  <c r="F14" i="14"/>
  <c r="F15" i="14"/>
  <c r="F16" i="14"/>
  <c r="F17" i="14"/>
  <c r="F18" i="14"/>
  <c r="F19" i="14"/>
  <c r="F20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3" i="14"/>
  <c r="F4" i="14"/>
  <c r="F5" i="14"/>
  <c r="F6" i="14"/>
  <c r="F7" i="14"/>
  <c r="F8" i="14"/>
  <c r="F9" i="14"/>
  <c r="F10" i="14"/>
  <c r="F11" i="14"/>
  <c r="F12" i="14"/>
  <c r="F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2" i="14"/>
  <c r="A87" i="14"/>
  <c r="A18" i="14"/>
  <c r="A28" i="14"/>
  <c r="A65" i="14"/>
  <c r="A34" i="14"/>
  <c r="A97" i="14"/>
  <c r="A52" i="14"/>
  <c r="A99" i="14"/>
  <c r="A76" i="14"/>
  <c r="A37" i="14"/>
  <c r="A48" i="14"/>
  <c r="A24" i="14"/>
  <c r="A68" i="14"/>
  <c r="A98" i="14"/>
  <c r="A81" i="14"/>
  <c r="A21" i="14"/>
  <c r="A38" i="14"/>
  <c r="A73" i="14"/>
  <c r="A27" i="14"/>
  <c r="A26" i="14"/>
  <c r="A77" i="14"/>
  <c r="A82" i="14"/>
  <c r="A23" i="14"/>
  <c r="A67" i="14"/>
  <c r="A33" i="14"/>
  <c r="A44" i="14"/>
  <c r="A75" i="14"/>
  <c r="A56" i="14"/>
  <c r="A74" i="14"/>
  <c r="A91" i="14"/>
  <c r="A43" i="14"/>
  <c r="A96" i="14"/>
  <c r="A92" i="14"/>
  <c r="A32" i="14"/>
  <c r="A49" i="14"/>
  <c r="A29" i="14"/>
  <c r="A107" i="14"/>
  <c r="A41" i="14"/>
  <c r="A93" i="14"/>
  <c r="A19" i="14"/>
  <c r="A106" i="14"/>
  <c r="A54" i="14"/>
  <c r="A80" i="14"/>
  <c r="A50" i="14"/>
  <c r="A62" i="14"/>
  <c r="A22" i="14"/>
  <c r="A95" i="14"/>
  <c r="A104" i="14"/>
  <c r="A71" i="14"/>
  <c r="A51" i="14"/>
  <c r="A15" i="14"/>
  <c r="A58" i="14"/>
  <c r="A31" i="14"/>
  <c r="A17" i="14"/>
  <c r="A16" i="14"/>
  <c r="A63" i="14"/>
  <c r="A88" i="14"/>
  <c r="A39" i="14"/>
  <c r="A57" i="14"/>
  <c r="A102" i="14"/>
  <c r="A85" i="14"/>
  <c r="A78" i="14"/>
  <c r="A53" i="14"/>
  <c r="A35" i="14"/>
  <c r="A70" i="14"/>
  <c r="A90" i="14"/>
  <c r="A25" i="14"/>
  <c r="A61" i="14"/>
  <c r="A45" i="14"/>
  <c r="A60" i="14"/>
  <c r="A66" i="14"/>
  <c r="A46" i="14"/>
  <c r="A42" i="14"/>
  <c r="A86" i="14"/>
  <c r="A30" i="14"/>
  <c r="A83" i="14"/>
  <c r="A100" i="14"/>
  <c r="A20" i="14"/>
  <c r="A108" i="14"/>
  <c r="A89" i="14"/>
  <c r="A59" i="14"/>
  <c r="A64" i="14"/>
  <c r="A101" i="14"/>
  <c r="A103" i="14"/>
  <c r="A84" i="14"/>
  <c r="A47" i="14"/>
  <c r="A109" i="14"/>
  <c r="A14" i="14"/>
  <c r="A40" i="14"/>
  <c r="A79" i="14"/>
  <c r="A105" i="14"/>
  <c r="A36" i="14"/>
  <c r="A13" i="14"/>
  <c r="A94" i="14"/>
  <c r="A69" i="14"/>
  <c r="A72" i="14"/>
  <c r="A55" i="14"/>
  <c r="AA50" i="13" l="1"/>
  <c r="P52" i="13"/>
  <c r="V76" i="13"/>
  <c r="V75" i="13"/>
  <c r="Z108" i="14"/>
  <c r="G48" i="15" s="1"/>
  <c r="Z102" i="14"/>
  <c r="G42" i="15" s="1"/>
  <c r="Z96" i="14"/>
  <c r="H56" i="20" s="1"/>
  <c r="Z90" i="14"/>
  <c r="Z84" i="14"/>
  <c r="H46" i="20" s="1"/>
  <c r="Z78" i="14"/>
  <c r="H41" i="20" s="1"/>
  <c r="Z72" i="14"/>
  <c r="G35" i="15" s="1"/>
  <c r="Z66" i="14"/>
  <c r="G29" i="15" s="1"/>
  <c r="Z60" i="14"/>
  <c r="H38" i="20" s="1"/>
  <c r="Z54" i="14"/>
  <c r="H32" i="20" s="1"/>
  <c r="Z48" i="14"/>
  <c r="Z42" i="14"/>
  <c r="G19" i="15" s="1"/>
  <c r="Z36" i="14"/>
  <c r="G14" i="15" s="1"/>
  <c r="Z30" i="14"/>
  <c r="H21" i="20" s="1"/>
  <c r="Z24" i="14"/>
  <c r="Z18" i="14"/>
  <c r="H15" i="20" s="1"/>
  <c r="Z107" i="14"/>
  <c r="G47" i="15" s="1"/>
  <c r="Z101" i="14"/>
  <c r="H61" i="20" s="1"/>
  <c r="Z95" i="14"/>
  <c r="H55" i="20" s="1"/>
  <c r="Z89" i="14"/>
  <c r="Z83" i="14"/>
  <c r="H45" i="20" s="1"/>
  <c r="Z77" i="14"/>
  <c r="Z71" i="14"/>
  <c r="G34" i="15" s="1"/>
  <c r="Z65" i="14"/>
  <c r="G28" i="15" s="1"/>
  <c r="Z59" i="14"/>
  <c r="H37" i="20" s="1"/>
  <c r="Z53" i="14"/>
  <c r="H31" i="20" s="1"/>
  <c r="Z47" i="14"/>
  <c r="G23" i="15" s="1"/>
  <c r="Z41" i="14"/>
  <c r="G18" i="15" s="1"/>
  <c r="Z35" i="14"/>
  <c r="G13" i="15" s="1"/>
  <c r="Z29" i="14"/>
  <c r="Z23" i="14"/>
  <c r="H18" i="20" s="1"/>
  <c r="Z17" i="14"/>
  <c r="H14" i="20" s="1"/>
  <c r="Z106" i="14"/>
  <c r="Z100" i="14"/>
  <c r="H60" i="20" s="1"/>
  <c r="Z94" i="14"/>
  <c r="H54" i="20" s="1"/>
  <c r="Z88" i="14"/>
  <c r="G41" i="15" s="1"/>
  <c r="Z82" i="14"/>
  <c r="Z76" i="14"/>
  <c r="Z70" i="14"/>
  <c r="G33" i="15" s="1"/>
  <c r="Z64" i="14"/>
  <c r="G27" i="15" s="1"/>
  <c r="Z58" i="14"/>
  <c r="H36" i="20" s="1"/>
  <c r="Z52" i="14"/>
  <c r="Z46" i="14"/>
  <c r="G22" i="15" s="1"/>
  <c r="Z40" i="14"/>
  <c r="H24" i="20" s="1"/>
  <c r="Z34" i="14"/>
  <c r="Z28" i="14"/>
  <c r="H20" i="20" s="1"/>
  <c r="Z22" i="14"/>
  <c r="G6" i="15" s="1"/>
  <c r="Z16" i="14"/>
  <c r="Z105" i="14"/>
  <c r="G45" i="15" s="1"/>
  <c r="Z99" i="14"/>
  <c r="H59" i="20" s="1"/>
  <c r="Z93" i="14"/>
  <c r="H53" i="20" s="1"/>
  <c r="Z87" i="14"/>
  <c r="G40" i="15" s="1"/>
  <c r="Z81" i="14"/>
  <c r="H43" i="20" s="1"/>
  <c r="Z75" i="14"/>
  <c r="H39" i="20" s="1"/>
  <c r="Z69" i="14"/>
  <c r="G32" i="15" s="1"/>
  <c r="Z63" i="14"/>
  <c r="G26" i="15" s="1"/>
  <c r="Z57" i="14"/>
  <c r="H35" i="20" s="1"/>
  <c r="Z51" i="14"/>
  <c r="H29" i="20" s="1"/>
  <c r="Z45" i="14"/>
  <c r="H25" i="20" s="1"/>
  <c r="Z39" i="14"/>
  <c r="G17" i="15" s="1"/>
  <c r="Z33" i="14"/>
  <c r="G12" i="15" s="1"/>
  <c r="Z27" i="14"/>
  <c r="G9" i="15" s="1"/>
  <c r="Z21" i="14"/>
  <c r="G5" i="15" s="1"/>
  <c r="Z15" i="14"/>
  <c r="H12" i="20" s="1"/>
  <c r="Z104" i="14"/>
  <c r="G44" i="15" s="1"/>
  <c r="Z92" i="14"/>
  <c r="H52" i="20" s="1"/>
  <c r="Z80" i="14"/>
  <c r="Z74" i="14"/>
  <c r="G37" i="15" s="1"/>
  <c r="Z68" i="14"/>
  <c r="G31" i="15" s="1"/>
  <c r="Z56" i="14"/>
  <c r="H34" i="20" s="1"/>
  <c r="Z50" i="14"/>
  <c r="H28" i="20" s="1"/>
  <c r="Z44" i="14"/>
  <c r="G21" i="15" s="1"/>
  <c r="Z38" i="14"/>
  <c r="G16" i="15" s="1"/>
  <c r="Z32" i="14"/>
  <c r="G11" i="15" s="1"/>
  <c r="Z26" i="14"/>
  <c r="G8" i="15" s="1"/>
  <c r="Z20" i="14"/>
  <c r="H17" i="20" s="1"/>
  <c r="Z14" i="14"/>
  <c r="Z98" i="14"/>
  <c r="H58" i="20" s="1"/>
  <c r="Z86" i="14"/>
  <c r="H48" i="20" s="1"/>
  <c r="Z62" i="14"/>
  <c r="Z109" i="14"/>
  <c r="G49" i="15" s="1"/>
  <c r="Z103" i="14"/>
  <c r="Z97" i="14"/>
  <c r="Z91" i="14"/>
  <c r="H51" i="20" s="1"/>
  <c r="Z85" i="14"/>
  <c r="H47" i="20" s="1"/>
  <c r="Z79" i="14"/>
  <c r="G39" i="15" s="1"/>
  <c r="Z73" i="14"/>
  <c r="G36" i="15" s="1"/>
  <c r="Z67" i="14"/>
  <c r="G30" i="15" s="1"/>
  <c r="Z61" i="14"/>
  <c r="Z55" i="14"/>
  <c r="H33" i="20" s="1"/>
  <c r="Z49" i="14"/>
  <c r="Z43" i="14"/>
  <c r="G20" i="15" s="1"/>
  <c r="Z37" i="14"/>
  <c r="G15" i="15" s="1"/>
  <c r="Z31" i="14"/>
  <c r="Z25" i="14"/>
  <c r="G7" i="15" s="1"/>
  <c r="Z19" i="14"/>
  <c r="Z13" i="14"/>
  <c r="H10" i="20" s="1"/>
  <c r="B58" i="18"/>
  <c r="A37" i="15"/>
  <c r="A19" i="15"/>
  <c r="A49" i="15"/>
  <c r="A33" i="15"/>
  <c r="A39" i="15"/>
  <c r="A34" i="15"/>
  <c r="A21" i="15"/>
  <c r="A23" i="15"/>
  <c r="A45" i="15"/>
  <c r="A13" i="15"/>
  <c r="A26" i="15"/>
  <c r="A36" i="15"/>
  <c r="A16" i="15"/>
  <c r="A31" i="15"/>
  <c r="A32" i="15"/>
  <c r="A22" i="15"/>
  <c r="A42" i="15"/>
  <c r="A18" i="15"/>
  <c r="A29" i="15"/>
  <c r="A30" i="15"/>
  <c r="A40" i="15"/>
  <c r="A20" i="15"/>
  <c r="A41" i="15"/>
  <c r="A44" i="15"/>
  <c r="A35" i="15"/>
  <c r="A27" i="15"/>
  <c r="A15" i="15"/>
  <c r="A28" i="15"/>
  <c r="A48" i="15"/>
  <c r="A47" i="15"/>
  <c r="A17" i="15"/>
  <c r="A14" i="15"/>
  <c r="P53" i="13" l="1"/>
  <c r="AA52" i="13"/>
  <c r="V78" i="13"/>
  <c r="V77" i="13"/>
  <c r="H22" i="20"/>
  <c r="H42" i="20"/>
  <c r="H44" i="20"/>
  <c r="H23" i="20"/>
  <c r="H19" i="20"/>
  <c r="H40" i="20"/>
  <c r="H50" i="20"/>
  <c r="H27" i="20"/>
  <c r="H57" i="20"/>
  <c r="H30" i="20"/>
  <c r="H26" i="20"/>
  <c r="H49" i="20"/>
  <c r="G50" i="13"/>
  <c r="G38" i="13"/>
  <c r="G17" i="13"/>
  <c r="G46" i="13"/>
  <c r="G22" i="13"/>
  <c r="G18" i="13"/>
  <c r="G42" i="13"/>
  <c r="G29" i="13"/>
  <c r="G20" i="13"/>
  <c r="G45" i="13"/>
  <c r="G14" i="13"/>
  <c r="G35" i="13"/>
  <c r="G48" i="13"/>
  <c r="G31" i="13"/>
  <c r="G41" i="13"/>
  <c r="G28" i="13"/>
  <c r="G19" i="13"/>
  <c r="G37" i="13"/>
  <c r="G32" i="13"/>
  <c r="G34" i="13"/>
  <c r="G24" i="13"/>
  <c r="G16" i="13"/>
  <c r="G21" i="13"/>
  <c r="G27" i="13"/>
  <c r="G30" i="13"/>
  <c r="G43" i="13"/>
  <c r="G40" i="13"/>
  <c r="G33" i="13"/>
  <c r="G23" i="13"/>
  <c r="G36" i="13"/>
  <c r="G49" i="13"/>
  <c r="G38" i="15"/>
  <c r="G10" i="15"/>
  <c r="G43" i="15"/>
  <c r="G24" i="15"/>
  <c r="G25" i="15"/>
  <c r="G46" i="15"/>
  <c r="B29" i="10"/>
  <c r="B27" i="10"/>
  <c r="Y62" i="18"/>
  <c r="P62" i="18"/>
  <c r="Y61" i="18"/>
  <c r="P61" i="18"/>
  <c r="Y60" i="18"/>
  <c r="P60" i="18"/>
  <c r="Y59" i="18"/>
  <c r="P59" i="18"/>
  <c r="Y58" i="18"/>
  <c r="P58" i="18"/>
  <c r="Y57" i="18"/>
  <c r="P57" i="18"/>
  <c r="Y56" i="18"/>
  <c r="P56" i="18"/>
  <c r="Y55" i="18"/>
  <c r="P55" i="18"/>
  <c r="Y54" i="18"/>
  <c r="P54" i="18"/>
  <c r="Y53" i="18"/>
  <c r="P53" i="18"/>
  <c r="Y52" i="18"/>
  <c r="P52" i="18"/>
  <c r="Y51" i="18"/>
  <c r="P51" i="18"/>
  <c r="Y50" i="18"/>
  <c r="P50" i="18"/>
  <c r="Y49" i="18"/>
  <c r="P49" i="18"/>
  <c r="Y48" i="18"/>
  <c r="P48" i="18"/>
  <c r="A48" i="18"/>
  <c r="S41" i="18"/>
  <c r="Q41" i="18"/>
  <c r="P41" i="18"/>
  <c r="N41" i="18"/>
  <c r="S40" i="18"/>
  <c r="Q40" i="18"/>
  <c r="P40" i="18"/>
  <c r="N40" i="18"/>
  <c r="S39" i="18"/>
  <c r="Q39" i="18"/>
  <c r="P39" i="18"/>
  <c r="N39" i="18"/>
  <c r="S38" i="18"/>
  <c r="Q38" i="18"/>
  <c r="P38" i="18"/>
  <c r="N38" i="18"/>
  <c r="S37" i="18"/>
  <c r="Q37" i="18"/>
  <c r="P37" i="18"/>
  <c r="N37" i="18"/>
  <c r="S36" i="18"/>
  <c r="Q36" i="18"/>
  <c r="P36" i="18"/>
  <c r="N36" i="18"/>
  <c r="C36" i="18"/>
  <c r="B36" i="18"/>
  <c r="S35" i="18"/>
  <c r="Q35" i="18"/>
  <c r="P35" i="18"/>
  <c r="N35" i="18"/>
  <c r="M35" i="18"/>
  <c r="M36" i="18" s="1"/>
  <c r="M37" i="18" s="1"/>
  <c r="M38" i="18" s="1"/>
  <c r="M39" i="18" s="1"/>
  <c r="M40" i="18" s="1"/>
  <c r="M41" i="18" s="1"/>
  <c r="S34" i="18"/>
  <c r="Q34" i="18"/>
  <c r="P34" i="18"/>
  <c r="N34" i="18"/>
  <c r="S33" i="18"/>
  <c r="Q33" i="18"/>
  <c r="P33" i="18"/>
  <c r="N33" i="18"/>
  <c r="S32" i="18"/>
  <c r="Q32" i="18"/>
  <c r="P32" i="18"/>
  <c r="N32" i="18"/>
  <c r="S31" i="18"/>
  <c r="Q31" i="18"/>
  <c r="P31" i="18"/>
  <c r="N31" i="18"/>
  <c r="S24" i="18" s="1"/>
  <c r="B29" i="18"/>
  <c r="X28" i="18"/>
  <c r="O28" i="18"/>
  <c r="M28" i="18"/>
  <c r="K28" i="18"/>
  <c r="X27" i="18"/>
  <c r="S27" i="18"/>
  <c r="O27" i="18"/>
  <c r="M27" i="18"/>
  <c r="K27" i="18"/>
  <c r="B27" i="18"/>
  <c r="N60" i="18" s="1"/>
  <c r="X26" i="18"/>
  <c r="O26" i="18"/>
  <c r="M26" i="18"/>
  <c r="K26" i="18"/>
  <c r="X25" i="18"/>
  <c r="S25" i="18"/>
  <c r="O25" i="18"/>
  <c r="M25" i="18"/>
  <c r="K25" i="18"/>
  <c r="X24" i="18"/>
  <c r="O24" i="18"/>
  <c r="M24" i="18"/>
  <c r="K24" i="18"/>
  <c r="X23" i="18"/>
  <c r="S23" i="18"/>
  <c r="O23" i="18"/>
  <c r="M23" i="18"/>
  <c r="K23" i="18"/>
  <c r="X22" i="18"/>
  <c r="O22" i="18"/>
  <c r="M22" i="18"/>
  <c r="K22" i="18"/>
  <c r="X21" i="18"/>
  <c r="S21" i="18"/>
  <c r="O21" i="18"/>
  <c r="M21" i="18"/>
  <c r="K21" i="18"/>
  <c r="X20" i="18"/>
  <c r="O20" i="18"/>
  <c r="M20" i="18"/>
  <c r="K20" i="18"/>
  <c r="X19" i="18"/>
  <c r="S19" i="18"/>
  <c r="O19" i="18"/>
  <c r="M19" i="18"/>
  <c r="K19" i="18"/>
  <c r="X18" i="18"/>
  <c r="O18" i="18"/>
  <c r="M18" i="18"/>
  <c r="K18" i="18"/>
  <c r="B18" i="18"/>
  <c r="X17" i="18"/>
  <c r="O17" i="18"/>
  <c r="M17" i="18"/>
  <c r="K17" i="18"/>
  <c r="X16" i="18"/>
  <c r="S16" i="18"/>
  <c r="O16" i="18"/>
  <c r="M16" i="18"/>
  <c r="K16" i="18"/>
  <c r="X15" i="18"/>
  <c r="S15" i="18"/>
  <c r="O15" i="18"/>
  <c r="M15" i="18"/>
  <c r="K15" i="18"/>
  <c r="X14" i="18"/>
  <c r="S14" i="18"/>
  <c r="O14" i="18"/>
  <c r="M14" i="18"/>
  <c r="K14" i="18"/>
  <c r="X13" i="18"/>
  <c r="O13" i="18"/>
  <c r="M13" i="18"/>
  <c r="K13" i="18"/>
  <c r="X12" i="18"/>
  <c r="S12" i="18"/>
  <c r="O12" i="18"/>
  <c r="M12" i="18"/>
  <c r="K12" i="18"/>
  <c r="X11" i="18"/>
  <c r="O11" i="18"/>
  <c r="M11" i="18"/>
  <c r="K11" i="18"/>
  <c r="X10" i="18"/>
  <c r="S10" i="18"/>
  <c r="O10" i="18"/>
  <c r="M10" i="18"/>
  <c r="K10" i="18"/>
  <c r="X9" i="18"/>
  <c r="S9" i="18"/>
  <c r="O9" i="18"/>
  <c r="M9" i="18"/>
  <c r="K9" i="18"/>
  <c r="X8" i="18"/>
  <c r="S8" i="18"/>
  <c r="O8" i="18"/>
  <c r="M8" i="18"/>
  <c r="K8" i="18"/>
  <c r="X7" i="18"/>
  <c r="S7" i="18"/>
  <c r="O7" i="18"/>
  <c r="M7" i="18"/>
  <c r="K7" i="18"/>
  <c r="X6" i="18"/>
  <c r="S6" i="18"/>
  <c r="O6" i="18"/>
  <c r="M6" i="18"/>
  <c r="K6" i="18"/>
  <c r="X5" i="18"/>
  <c r="S5" i="18"/>
  <c r="O5" i="18"/>
  <c r="M5" i="18"/>
  <c r="K5" i="18"/>
  <c r="X4" i="18"/>
  <c r="S4" i="18"/>
  <c r="O4" i="18"/>
  <c r="M4" i="18"/>
  <c r="K4" i="18"/>
  <c r="X3" i="18"/>
  <c r="T3" i="18"/>
  <c r="S3" i="18"/>
  <c r="O3" i="18"/>
  <c r="K3" i="18"/>
  <c r="E38" i="18"/>
  <c r="B38" i="13"/>
  <c r="A38" i="15"/>
  <c r="B24" i="13"/>
  <c r="B48" i="13"/>
  <c r="A43" i="15"/>
  <c r="B34" i="13"/>
  <c r="B32" i="13"/>
  <c r="A24" i="15"/>
  <c r="B43" i="13"/>
  <c r="A46" i="15"/>
  <c r="A25" i="15"/>
  <c r="B42" i="13"/>
  <c r="B28" i="13"/>
  <c r="B41" i="13"/>
  <c r="B21" i="13"/>
  <c r="B36" i="13"/>
  <c r="B31" i="13"/>
  <c r="B22" i="13"/>
  <c r="B14" i="13"/>
  <c r="B16" i="13"/>
  <c r="B23" i="13"/>
  <c r="B40" i="13"/>
  <c r="B45" i="13"/>
  <c r="B19" i="13"/>
  <c r="B20" i="13"/>
  <c r="B18" i="13"/>
  <c r="B33" i="13"/>
  <c r="B35" i="13"/>
  <c r="B17" i="13"/>
  <c r="B37" i="13"/>
  <c r="B50" i="13"/>
  <c r="B27" i="13"/>
  <c r="B49" i="13"/>
  <c r="B6" i="18"/>
  <c r="B30" i="13"/>
  <c r="B46" i="13"/>
  <c r="B29" i="13"/>
  <c r="I19" i="18"/>
  <c r="I3" i="18"/>
  <c r="I22" i="18"/>
  <c r="I14" i="18"/>
  <c r="I11" i="18"/>
  <c r="I20" i="18"/>
  <c r="I9" i="18"/>
  <c r="I8" i="18"/>
  <c r="I10" i="18"/>
  <c r="I25" i="18"/>
  <c r="I7" i="18"/>
  <c r="I28" i="18"/>
  <c r="I18" i="18"/>
  <c r="I24" i="18"/>
  <c r="I6" i="18"/>
  <c r="I26" i="18"/>
  <c r="I13" i="18"/>
  <c r="I15" i="18"/>
  <c r="I16" i="18"/>
  <c r="I27" i="18"/>
  <c r="I4" i="18"/>
  <c r="I12" i="18"/>
  <c r="I23" i="18"/>
  <c r="I21" i="18"/>
  <c r="I17" i="18"/>
  <c r="I5" i="18"/>
  <c r="R3" i="18"/>
  <c r="P54" i="13" l="1"/>
  <c r="AA53" i="13"/>
  <c r="V80" i="13"/>
  <c r="V79" i="13"/>
  <c r="G47" i="13"/>
  <c r="G26" i="13"/>
  <c r="G44" i="13"/>
  <c r="G39" i="13"/>
  <c r="G25" i="13"/>
  <c r="R54" i="10"/>
  <c r="R60" i="10"/>
  <c r="R66" i="10"/>
  <c r="R72" i="10"/>
  <c r="R78" i="10"/>
  <c r="R84" i="10"/>
  <c r="R55" i="10"/>
  <c r="R61" i="10"/>
  <c r="R67" i="10"/>
  <c r="R73" i="10"/>
  <c r="R79" i="10"/>
  <c r="R85" i="10"/>
  <c r="R50" i="10"/>
  <c r="R56" i="10"/>
  <c r="R62" i="10"/>
  <c r="R68" i="10"/>
  <c r="R74" i="10"/>
  <c r="R80" i="10"/>
  <c r="R86" i="10"/>
  <c r="R51" i="10"/>
  <c r="R57" i="10"/>
  <c r="R63" i="10"/>
  <c r="R69" i="10"/>
  <c r="R75" i="10"/>
  <c r="R81" i="10"/>
  <c r="R87" i="10"/>
  <c r="R52" i="10"/>
  <c r="R58" i="10"/>
  <c r="R64" i="10"/>
  <c r="R70" i="10"/>
  <c r="R76" i="10"/>
  <c r="R82" i="10"/>
  <c r="R88" i="10"/>
  <c r="R53" i="10"/>
  <c r="R59" i="10"/>
  <c r="R65" i="10"/>
  <c r="R71" i="10"/>
  <c r="R77" i="10"/>
  <c r="R83" i="10"/>
  <c r="R49" i="10"/>
  <c r="K31" i="18"/>
  <c r="K37" i="18"/>
  <c r="K56" i="18"/>
  <c r="K36" i="18"/>
  <c r="K48" i="18"/>
  <c r="K55" i="18"/>
  <c r="K41" i="18"/>
  <c r="K54" i="18"/>
  <c r="T4" i="18"/>
  <c r="K33" i="18"/>
  <c r="K34" i="18"/>
  <c r="K40" i="18"/>
  <c r="K53" i="18"/>
  <c r="K49" i="18"/>
  <c r="K58" i="18"/>
  <c r="K32" i="18"/>
  <c r="K39" i="18"/>
  <c r="K51" i="18"/>
  <c r="K52" i="18"/>
  <c r="K60" i="18"/>
  <c r="K62" i="18"/>
  <c r="K35" i="18"/>
  <c r="R57" i="18"/>
  <c r="R51" i="18"/>
  <c r="R62" i="18"/>
  <c r="R56" i="18"/>
  <c r="R50" i="18"/>
  <c r="R61" i="18"/>
  <c r="R55" i="18"/>
  <c r="R49" i="18"/>
  <c r="R60" i="18"/>
  <c r="R54" i="18"/>
  <c r="R48" i="18"/>
  <c r="R59" i="18"/>
  <c r="R53" i="18"/>
  <c r="R58" i="18"/>
  <c r="R52" i="18"/>
  <c r="K38" i="18"/>
  <c r="K50" i="18"/>
  <c r="K57" i="18"/>
  <c r="K59" i="18"/>
  <c r="K61" i="18"/>
  <c r="N49" i="18"/>
  <c r="N55" i="18"/>
  <c r="N61" i="18"/>
  <c r="S13" i="18"/>
  <c r="S20" i="18"/>
  <c r="C27" i="18"/>
  <c r="C29" i="18"/>
  <c r="N50" i="18"/>
  <c r="N56" i="18"/>
  <c r="N62" i="18"/>
  <c r="N51" i="18"/>
  <c r="N57" i="18"/>
  <c r="S11" i="18"/>
  <c r="S17" i="18"/>
  <c r="S18" i="18"/>
  <c r="S26" i="18"/>
  <c r="S28" i="18"/>
  <c r="N52" i="18"/>
  <c r="N58" i="18"/>
  <c r="N53" i="18"/>
  <c r="N59" i="18"/>
  <c r="S22" i="18"/>
  <c r="N48" i="18"/>
  <c r="N54" i="18"/>
  <c r="B44" i="13"/>
  <c r="B39" i="13"/>
  <c r="B47" i="13"/>
  <c r="B25" i="13"/>
  <c r="B26" i="13"/>
  <c r="I34" i="18"/>
  <c r="I41" i="18"/>
  <c r="I53" i="18"/>
  <c r="I55" i="18"/>
  <c r="I54" i="18"/>
  <c r="I51" i="18"/>
  <c r="I50" i="18"/>
  <c r="I38" i="18"/>
  <c r="I59" i="18"/>
  <c r="I36" i="18"/>
  <c r="I48" i="18"/>
  <c r="I32" i="18"/>
  <c r="I40" i="18"/>
  <c r="I57" i="18"/>
  <c r="I31" i="18"/>
  <c r="I39" i="18"/>
  <c r="I35" i="18"/>
  <c r="I37" i="18"/>
  <c r="I56" i="18"/>
  <c r="I60" i="18"/>
  <c r="I62" i="18"/>
  <c r="I58" i="18"/>
  <c r="I49" i="18"/>
  <c r="I61" i="18"/>
  <c r="I33" i="18"/>
  <c r="I52" i="18"/>
  <c r="R4" i="18"/>
  <c r="H3" i="18" l="1"/>
  <c r="P55" i="13"/>
  <c r="AA54" i="13"/>
  <c r="V81" i="13"/>
  <c r="V82" i="13"/>
  <c r="H25" i="18"/>
  <c r="H11" i="18"/>
  <c r="H6" i="18"/>
  <c r="H14" i="18"/>
  <c r="H23" i="18"/>
  <c r="H7" i="18"/>
  <c r="H4" i="18"/>
  <c r="H5" i="18"/>
  <c r="H8" i="18"/>
  <c r="H16" i="18"/>
  <c r="H28" i="18"/>
  <c r="H24" i="18"/>
  <c r="T6" i="18"/>
  <c r="T5" i="18"/>
  <c r="H22" i="18"/>
  <c r="H10" i="18"/>
  <c r="H26" i="18"/>
  <c r="H15" i="18"/>
  <c r="H20" i="18"/>
  <c r="H9" i="18"/>
  <c r="H18" i="18"/>
  <c r="H19" i="18"/>
  <c r="H13" i="18"/>
  <c r="H27" i="18"/>
  <c r="H17" i="18"/>
  <c r="H12" i="18"/>
  <c r="H21" i="18"/>
  <c r="R5" i="18"/>
  <c r="R6" i="18"/>
  <c r="P56" i="13" l="1"/>
  <c r="AA55" i="13"/>
  <c r="V83" i="13"/>
  <c r="V84" i="13"/>
  <c r="T27" i="18"/>
  <c r="T25" i="18"/>
  <c r="T23" i="18"/>
  <c r="T16" i="18"/>
  <c r="T10" i="18"/>
  <c r="T28" i="18"/>
  <c r="T26" i="18"/>
  <c r="T18" i="18"/>
  <c r="T17" i="18"/>
  <c r="T11" i="18"/>
  <c r="T9" i="18"/>
  <c r="T19" i="18"/>
  <c r="T12" i="18"/>
  <c r="T13" i="18"/>
  <c r="T7" i="18"/>
  <c r="T20" i="18"/>
  <c r="T22" i="18"/>
  <c r="T21" i="18"/>
  <c r="T14" i="18"/>
  <c r="T8" i="18"/>
  <c r="T24" i="18"/>
  <c r="T15" i="18"/>
  <c r="R11" i="18"/>
  <c r="R28" i="18"/>
  <c r="R12" i="18"/>
  <c r="R24" i="18"/>
  <c r="R9" i="18"/>
  <c r="R19" i="18"/>
  <c r="R10" i="18"/>
  <c r="R26" i="18"/>
  <c r="R16" i="18"/>
  <c r="R18" i="18"/>
  <c r="R22" i="18"/>
  <c r="R27" i="18"/>
  <c r="R15" i="18"/>
  <c r="R13" i="18"/>
  <c r="R7" i="18"/>
  <c r="R20" i="18"/>
  <c r="R25" i="18"/>
  <c r="R21" i="18"/>
  <c r="R23" i="18"/>
  <c r="R14" i="18"/>
  <c r="R17" i="18"/>
  <c r="R8" i="18"/>
  <c r="P57" i="13" l="1"/>
  <c r="AA56" i="13"/>
  <c r="V85" i="13"/>
  <c r="V86" i="13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3" i="10"/>
  <c r="P58" i="13" l="1"/>
  <c r="AA57" i="13"/>
  <c r="V88" i="13"/>
  <c r="V87" i="13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49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3" i="10"/>
  <c r="P59" i="13" l="1"/>
  <c r="AA58" i="13"/>
  <c r="V90" i="13"/>
  <c r="V89" i="13"/>
  <c r="B61" i="17"/>
  <c r="A49" i="17"/>
  <c r="F45" i="17"/>
  <c r="C45" i="17"/>
  <c r="F44" i="17"/>
  <c r="C44" i="17"/>
  <c r="B36" i="17"/>
  <c r="B29" i="17"/>
  <c r="A45" i="17" s="1"/>
  <c r="B18" i="17"/>
  <c r="O14" i="17"/>
  <c r="M14" i="17"/>
  <c r="O13" i="17"/>
  <c r="M13" i="17"/>
  <c r="O12" i="17"/>
  <c r="M12" i="17"/>
  <c r="O11" i="17"/>
  <c r="M11" i="17"/>
  <c r="O10" i="17"/>
  <c r="M10" i="17"/>
  <c r="O9" i="17"/>
  <c r="M9" i="17"/>
  <c r="O8" i="17"/>
  <c r="M8" i="17"/>
  <c r="O7" i="17"/>
  <c r="M7" i="17"/>
  <c r="O6" i="17"/>
  <c r="M6" i="17"/>
  <c r="O5" i="17"/>
  <c r="M5" i="17"/>
  <c r="O4" i="17"/>
  <c r="M4" i="17"/>
  <c r="B78" i="16"/>
  <c r="A66" i="16"/>
  <c r="F64" i="16"/>
  <c r="C64" i="16"/>
  <c r="F63" i="16"/>
  <c r="C63" i="16"/>
  <c r="F62" i="16"/>
  <c r="C62" i="16"/>
  <c r="F61" i="16"/>
  <c r="C61" i="16"/>
  <c r="B36" i="16"/>
  <c r="O34" i="16"/>
  <c r="M34" i="16"/>
  <c r="O33" i="16"/>
  <c r="M33" i="16"/>
  <c r="O32" i="16"/>
  <c r="M32" i="16"/>
  <c r="O31" i="16"/>
  <c r="M31" i="16"/>
  <c r="O30" i="16"/>
  <c r="M30" i="16"/>
  <c r="O29" i="16"/>
  <c r="M29" i="16"/>
  <c r="B29" i="16"/>
  <c r="A62" i="16" s="1"/>
  <c r="O28" i="16"/>
  <c r="M28" i="16"/>
  <c r="O27" i="16"/>
  <c r="M27" i="16"/>
  <c r="B27" i="16"/>
  <c r="N87" i="16" s="1"/>
  <c r="O26" i="16"/>
  <c r="M26" i="16"/>
  <c r="O25" i="16"/>
  <c r="M25" i="16"/>
  <c r="O24" i="16"/>
  <c r="M24" i="16"/>
  <c r="O23" i="16"/>
  <c r="M23" i="16"/>
  <c r="O22" i="16"/>
  <c r="M22" i="16"/>
  <c r="O21" i="16"/>
  <c r="M21" i="16"/>
  <c r="O20" i="16"/>
  <c r="M20" i="16"/>
  <c r="O19" i="16"/>
  <c r="M19" i="16"/>
  <c r="O18" i="16"/>
  <c r="M18" i="16"/>
  <c r="B18" i="16"/>
  <c r="O17" i="16"/>
  <c r="M17" i="16"/>
  <c r="O16" i="16"/>
  <c r="M16" i="16"/>
  <c r="O15" i="16"/>
  <c r="M15" i="16"/>
  <c r="O14" i="16"/>
  <c r="M14" i="16"/>
  <c r="O13" i="16"/>
  <c r="M13" i="16"/>
  <c r="O12" i="16"/>
  <c r="M12" i="16"/>
  <c r="O11" i="16"/>
  <c r="M11" i="16"/>
  <c r="O10" i="16"/>
  <c r="M10" i="16"/>
  <c r="O9" i="16"/>
  <c r="M9" i="16"/>
  <c r="O8" i="16"/>
  <c r="M8" i="16"/>
  <c r="O7" i="16"/>
  <c r="M7" i="16"/>
  <c r="O6" i="16"/>
  <c r="M6" i="16"/>
  <c r="O5" i="16"/>
  <c r="M5" i="16"/>
  <c r="O4" i="16"/>
  <c r="M4" i="16"/>
  <c r="O3" i="16"/>
  <c r="B4" i="16"/>
  <c r="B6" i="17"/>
  <c r="H7" i="17"/>
  <c r="H32" i="16"/>
  <c r="H13" i="17"/>
  <c r="H22" i="16"/>
  <c r="H31" i="16"/>
  <c r="H30" i="16"/>
  <c r="H26" i="16"/>
  <c r="H33" i="16"/>
  <c r="H12" i="17"/>
  <c r="H18" i="16"/>
  <c r="H24" i="16"/>
  <c r="H11" i="17"/>
  <c r="H5" i="17"/>
  <c r="H12" i="16"/>
  <c r="H23" i="16"/>
  <c r="H6" i="16"/>
  <c r="H10" i="17"/>
  <c r="H3" i="16"/>
  <c r="H21" i="16"/>
  <c r="H14" i="17"/>
  <c r="H29" i="16"/>
  <c r="H4" i="16"/>
  <c r="I4" i="16" s="1"/>
  <c r="H4" i="17"/>
  <c r="H14" i="16"/>
  <c r="H20" i="16"/>
  <c r="B6" i="16"/>
  <c r="H9" i="16"/>
  <c r="H10" i="16"/>
  <c r="H27" i="16"/>
  <c r="H16" i="16"/>
  <c r="H34" i="16"/>
  <c r="H8" i="17"/>
  <c r="H9" i="17"/>
  <c r="H7" i="16"/>
  <c r="H25" i="16"/>
  <c r="H17" i="16"/>
  <c r="H13" i="16"/>
  <c r="H8" i="16"/>
  <c r="H15" i="16"/>
  <c r="H19" i="16"/>
  <c r="H6" i="17"/>
  <c r="H5" i="16"/>
  <c r="H3" i="17"/>
  <c r="H11" i="16"/>
  <c r="H28" i="16"/>
  <c r="P60" i="13" l="1"/>
  <c r="AA59" i="13"/>
  <c r="V91" i="13"/>
  <c r="V92" i="13"/>
  <c r="N74" i="16"/>
  <c r="N81" i="16"/>
  <c r="N88" i="16"/>
  <c r="N62" i="16"/>
  <c r="N65" i="16"/>
  <c r="N76" i="16"/>
  <c r="N83" i="16"/>
  <c r="N90" i="16"/>
  <c r="N84" i="16"/>
  <c r="N91" i="16"/>
  <c r="N66" i="16"/>
  <c r="N78" i="16"/>
  <c r="N85" i="16"/>
  <c r="N61" i="16"/>
  <c r="N63" i="16"/>
  <c r="N68" i="16"/>
  <c r="N79" i="16"/>
  <c r="N86" i="16"/>
  <c r="N73" i="16"/>
  <c r="N80" i="16"/>
  <c r="K32" i="17"/>
  <c r="R32" i="17"/>
  <c r="K25" i="17"/>
  <c r="K27" i="17"/>
  <c r="K29" i="17"/>
  <c r="K21" i="17"/>
  <c r="K24" i="17"/>
  <c r="K26" i="17"/>
  <c r="K28" i="17"/>
  <c r="K30" i="17"/>
  <c r="K22" i="17"/>
  <c r="K23" i="17"/>
  <c r="K31" i="17"/>
  <c r="R26" i="17"/>
  <c r="R24" i="17"/>
  <c r="R30" i="17"/>
  <c r="R27" i="17"/>
  <c r="R23" i="17"/>
  <c r="R31" i="17"/>
  <c r="R28" i="17"/>
  <c r="R25" i="17"/>
  <c r="R29" i="17"/>
  <c r="R22" i="17"/>
  <c r="R21" i="17"/>
  <c r="K60" i="16"/>
  <c r="K74" i="16"/>
  <c r="K62" i="16"/>
  <c r="K77" i="16"/>
  <c r="K90" i="16"/>
  <c r="K61" i="16"/>
  <c r="K70" i="16"/>
  <c r="K63" i="16"/>
  <c r="K65" i="16"/>
  <c r="K67" i="16"/>
  <c r="K73" i="16"/>
  <c r="K89" i="16"/>
  <c r="K72" i="16"/>
  <c r="K79" i="16"/>
  <c r="K85" i="16"/>
  <c r="R89" i="16"/>
  <c r="R86" i="16"/>
  <c r="R85" i="16"/>
  <c r="R84" i="16"/>
  <c r="R83" i="16"/>
  <c r="R82" i="16"/>
  <c r="R79" i="16"/>
  <c r="R64" i="16"/>
  <c r="R76" i="16"/>
  <c r="R68" i="16"/>
  <c r="R62" i="16"/>
  <c r="R90" i="16"/>
  <c r="R88" i="16"/>
  <c r="R81" i="16"/>
  <c r="R74" i="16"/>
  <c r="R66" i="16"/>
  <c r="R61" i="16"/>
  <c r="R77" i="16"/>
  <c r="R69" i="16"/>
  <c r="R87" i="16"/>
  <c r="R80" i="16"/>
  <c r="R75" i="16"/>
  <c r="R73" i="16"/>
  <c r="R67" i="16"/>
  <c r="R63" i="16"/>
  <c r="R91" i="16"/>
  <c r="R78" i="16"/>
  <c r="R65" i="16"/>
  <c r="R70" i="16"/>
  <c r="R72" i="16"/>
  <c r="R71" i="16"/>
  <c r="R60" i="16"/>
  <c r="K71" i="16"/>
  <c r="K75" i="16"/>
  <c r="K78" i="16"/>
  <c r="K84" i="16"/>
  <c r="K80" i="16"/>
  <c r="K83" i="16"/>
  <c r="K87" i="16"/>
  <c r="K64" i="16"/>
  <c r="K69" i="16"/>
  <c r="K66" i="16"/>
  <c r="K68" i="16"/>
  <c r="K86" i="16"/>
  <c r="K82" i="16"/>
  <c r="K76" i="16"/>
  <c r="K81" i="16"/>
  <c r="K88" i="16"/>
  <c r="K91" i="16"/>
  <c r="N75" i="16"/>
  <c r="N72" i="16"/>
  <c r="N70" i="16"/>
  <c r="N67" i="16"/>
  <c r="N89" i="16"/>
  <c r="N69" i="16"/>
  <c r="N77" i="16"/>
  <c r="N82" i="16"/>
  <c r="N60" i="16"/>
  <c r="N64" i="16"/>
  <c r="N71" i="16"/>
  <c r="I3" i="13"/>
  <c r="E4" i="13"/>
  <c r="E5" i="13"/>
  <c r="E6" i="13"/>
  <c r="E7" i="13"/>
  <c r="E8" i="13"/>
  <c r="E9" i="13"/>
  <c r="E10" i="13"/>
  <c r="E11" i="13"/>
  <c r="E12" i="13"/>
  <c r="E13" i="13"/>
  <c r="E3" i="13"/>
  <c r="I3" i="16"/>
  <c r="H22" i="17"/>
  <c r="H78" i="16"/>
  <c r="I5" i="17"/>
  <c r="H87" i="16"/>
  <c r="H70" i="16"/>
  <c r="H91" i="16"/>
  <c r="H83" i="16"/>
  <c r="H90" i="16"/>
  <c r="H72" i="16"/>
  <c r="H64" i="16"/>
  <c r="I9" i="17"/>
  <c r="H26" i="17"/>
  <c r="H29" i="17"/>
  <c r="H88" i="16"/>
  <c r="I7" i="16"/>
  <c r="H32" i="17"/>
  <c r="H63" i="16"/>
  <c r="H21" i="17"/>
  <c r="H25" i="17"/>
  <c r="I7" i="17"/>
  <c r="I9" i="16"/>
  <c r="H80" i="16"/>
  <c r="I6" i="16"/>
  <c r="I3" i="17"/>
  <c r="H85" i="16"/>
  <c r="H28" i="17"/>
  <c r="H82" i="16"/>
  <c r="H23" i="17"/>
  <c r="H68" i="16"/>
  <c r="H73" i="16"/>
  <c r="H31" i="17"/>
  <c r="H86" i="16"/>
  <c r="H89" i="16"/>
  <c r="H84" i="16"/>
  <c r="H81" i="16"/>
  <c r="H24" i="17"/>
  <c r="H77" i="16"/>
  <c r="H75" i="16"/>
  <c r="I6" i="17"/>
  <c r="I10" i="16"/>
  <c r="H69" i="16"/>
  <c r="I11" i="16"/>
  <c r="H66" i="16"/>
  <c r="H67" i="16"/>
  <c r="H60" i="16"/>
  <c r="I5" i="16"/>
  <c r="I8" i="16"/>
  <c r="I4" i="17"/>
  <c r="H65" i="16"/>
  <c r="H61" i="16"/>
  <c r="H79" i="16"/>
  <c r="H30" i="17"/>
  <c r="H27" i="17"/>
  <c r="H74" i="16"/>
  <c r="H71" i="16"/>
  <c r="I8" i="17"/>
  <c r="I11" i="17"/>
  <c r="H76" i="16"/>
  <c r="I10" i="17"/>
  <c r="H62" i="16"/>
  <c r="P61" i="13" l="1"/>
  <c r="AA60" i="13"/>
  <c r="V93" i="13"/>
  <c r="V94" i="13"/>
  <c r="G3" i="17"/>
  <c r="G4" i="17"/>
  <c r="G10" i="17"/>
  <c r="G14" i="17"/>
  <c r="G7" i="17"/>
  <c r="G9" i="17"/>
  <c r="G13" i="17"/>
  <c r="G6" i="17"/>
  <c r="G11" i="17"/>
  <c r="G8" i="17"/>
  <c r="G5" i="17"/>
  <c r="G12" i="17"/>
  <c r="G25" i="16"/>
  <c r="G34" i="16"/>
  <c r="G24" i="16"/>
  <c r="G14" i="16"/>
  <c r="G22" i="16"/>
  <c r="G6" i="16"/>
  <c r="G5" i="16"/>
  <c r="G15" i="16"/>
  <c r="G17" i="16"/>
  <c r="G12" i="16"/>
  <c r="G32" i="16"/>
  <c r="G13" i="16"/>
  <c r="G3" i="16"/>
  <c r="G29" i="16"/>
  <c r="G7" i="16"/>
  <c r="G30" i="16"/>
  <c r="G27" i="16"/>
  <c r="G16" i="16"/>
  <c r="G4" i="16"/>
  <c r="G19" i="16"/>
  <c r="G26" i="16"/>
  <c r="G21" i="16"/>
  <c r="G10" i="16"/>
  <c r="G33" i="16"/>
  <c r="G11" i="16"/>
  <c r="G31" i="16"/>
  <c r="G9" i="16"/>
  <c r="G23" i="16"/>
  <c r="G18" i="16"/>
  <c r="G28" i="16"/>
  <c r="G8" i="16"/>
  <c r="G20" i="16"/>
  <c r="J1" i="13"/>
  <c r="I4" i="13"/>
  <c r="I5" i="13"/>
  <c r="I6" i="13"/>
  <c r="I7" i="13"/>
  <c r="I8" i="13"/>
  <c r="I9" i="13"/>
  <c r="I10" i="13"/>
  <c r="I11" i="13"/>
  <c r="I12" i="13"/>
  <c r="I13" i="13"/>
  <c r="O3" i="15"/>
  <c r="O4" i="15"/>
  <c r="O5" i="15"/>
  <c r="O6" i="15"/>
  <c r="O7" i="15"/>
  <c r="O8" i="15"/>
  <c r="O9" i="15"/>
  <c r="O10" i="15"/>
  <c r="O11" i="15"/>
  <c r="O12" i="15"/>
  <c r="O2" i="15"/>
  <c r="N12" i="14"/>
  <c r="N11" i="14"/>
  <c r="N10" i="14"/>
  <c r="N9" i="14"/>
  <c r="N8" i="14"/>
  <c r="N7" i="14"/>
  <c r="N6" i="14"/>
  <c r="N5" i="14"/>
  <c r="N4" i="14"/>
  <c r="N3" i="14"/>
  <c r="N2" i="14"/>
  <c r="H1" i="13"/>
  <c r="A10" i="14"/>
  <c r="A11" i="15"/>
  <c r="A8" i="14"/>
  <c r="A5" i="15"/>
  <c r="A10" i="15"/>
  <c r="A12" i="15"/>
  <c r="A6" i="15"/>
  <c r="A7" i="15"/>
  <c r="A8" i="15"/>
  <c r="A11" i="14"/>
  <c r="A7" i="14"/>
  <c r="A9" i="15"/>
  <c r="A5" i="14"/>
  <c r="A2" i="14"/>
  <c r="A6" i="14"/>
  <c r="A3" i="14"/>
  <c r="A9" i="14"/>
  <c r="A12" i="14"/>
  <c r="A4" i="14"/>
  <c r="P62" i="13" l="1"/>
  <c r="AA61" i="13"/>
  <c r="V95" i="13"/>
  <c r="V96" i="13"/>
  <c r="I1" i="13"/>
  <c r="G6" i="13"/>
  <c r="G12" i="13"/>
  <c r="G9" i="13"/>
  <c r="G13" i="13"/>
  <c r="G7" i="13"/>
  <c r="G11" i="13"/>
  <c r="G10" i="13"/>
  <c r="G8" i="13"/>
  <c r="Z10" i="14"/>
  <c r="G4" i="15" s="1"/>
  <c r="Z11" i="14"/>
  <c r="Z7" i="14"/>
  <c r="Z8" i="14"/>
  <c r="Z3" i="14"/>
  <c r="Z9" i="14"/>
  <c r="G3" i="15" s="1"/>
  <c r="Z2" i="14"/>
  <c r="G2" i="15" s="1"/>
  <c r="Z12" i="14"/>
  <c r="Z5" i="14"/>
  <c r="Z4" i="14"/>
  <c r="Z6" i="14"/>
  <c r="H5" i="20" s="1"/>
  <c r="AE4" i="13"/>
  <c r="AE5" i="13"/>
  <c r="AE6" i="13"/>
  <c r="AE7" i="13"/>
  <c r="AE8" i="13"/>
  <c r="AE9" i="13"/>
  <c r="AE10" i="13"/>
  <c r="AE11" i="13"/>
  <c r="AE12" i="13"/>
  <c r="AE13" i="13"/>
  <c r="AE3" i="13"/>
  <c r="W4" i="13"/>
  <c r="W5" i="13"/>
  <c r="W6" i="13"/>
  <c r="W7" i="13"/>
  <c r="W8" i="13"/>
  <c r="W9" i="13"/>
  <c r="W10" i="13"/>
  <c r="W11" i="13"/>
  <c r="W12" i="13"/>
  <c r="W13" i="13"/>
  <c r="W3" i="13"/>
  <c r="F51" i="10"/>
  <c r="F52" i="10"/>
  <c r="F53" i="10"/>
  <c r="F50" i="10"/>
  <c r="A3" i="15"/>
  <c r="A4" i="15"/>
  <c r="A2" i="15"/>
  <c r="P63" i="13" l="1"/>
  <c r="AA62" i="13"/>
  <c r="V97" i="13"/>
  <c r="V98" i="13"/>
  <c r="H8" i="20"/>
  <c r="H2" i="20"/>
  <c r="H3" i="20"/>
  <c r="H9" i="20"/>
  <c r="H7" i="20"/>
  <c r="H16" i="20"/>
  <c r="H4" i="20"/>
  <c r="H11" i="20"/>
  <c r="H6" i="20"/>
  <c r="H13" i="20"/>
  <c r="G3" i="13"/>
  <c r="G5" i="13"/>
  <c r="G4" i="13"/>
  <c r="B67" i="10"/>
  <c r="V4" i="13"/>
  <c r="V5" i="13" s="1"/>
  <c r="V6" i="13" s="1"/>
  <c r="V7" i="13" s="1"/>
  <c r="V8" i="13" s="1"/>
  <c r="V9" i="13" s="1"/>
  <c r="V10" i="13" s="1"/>
  <c r="V11" i="13" s="1"/>
  <c r="V12" i="13" s="1"/>
  <c r="V13" i="13" s="1"/>
  <c r="U4" i="13"/>
  <c r="U5" i="13" s="1"/>
  <c r="U6" i="13" s="1"/>
  <c r="U7" i="13" s="1"/>
  <c r="U8" i="13" s="1"/>
  <c r="U9" i="13" s="1"/>
  <c r="U10" i="13" s="1"/>
  <c r="U11" i="13" s="1"/>
  <c r="U12" i="13" s="1"/>
  <c r="U13" i="13" s="1"/>
  <c r="B3" i="13"/>
  <c r="M3" i="13"/>
  <c r="P64" i="13" l="1"/>
  <c r="AA63" i="13"/>
  <c r="V100" i="13"/>
  <c r="V99" i="13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H36" i="10"/>
  <c r="H38" i="10"/>
  <c r="H30" i="10"/>
  <c r="H42" i="10"/>
  <c r="H34" i="10"/>
  <c r="H41" i="10"/>
  <c r="H29" i="10"/>
  <c r="H35" i="10"/>
  <c r="H40" i="10"/>
  <c r="H39" i="10"/>
  <c r="H37" i="10"/>
  <c r="H32" i="10"/>
  <c r="H31" i="10"/>
  <c r="H33" i="10"/>
  <c r="P65" i="13" l="1"/>
  <c r="AA64" i="13"/>
  <c r="V102" i="13"/>
  <c r="V101" i="13"/>
  <c r="AD3" i="13"/>
  <c r="K83" i="10"/>
  <c r="K77" i="10"/>
  <c r="K88" i="10"/>
  <c r="K82" i="10"/>
  <c r="K76" i="10"/>
  <c r="K87" i="10"/>
  <c r="K81" i="10"/>
  <c r="K75" i="10"/>
  <c r="K86" i="10"/>
  <c r="K80" i="10"/>
  <c r="K85" i="10"/>
  <c r="K79" i="10"/>
  <c r="K84" i="10"/>
  <c r="K78" i="10"/>
  <c r="K3" i="13"/>
  <c r="M4" i="13"/>
  <c r="L3" i="13"/>
  <c r="P66" i="13" l="1"/>
  <c r="AA65" i="13"/>
  <c r="V104" i="13"/>
  <c r="V103" i="13"/>
  <c r="AD4" i="13"/>
  <c r="S5" i="13"/>
  <c r="K4" i="13"/>
  <c r="L4" i="13"/>
  <c r="M5" i="13"/>
  <c r="P67" i="13" l="1"/>
  <c r="AA66" i="13"/>
  <c r="V105" i="13"/>
  <c r="V106" i="13"/>
  <c r="AD5" i="13"/>
  <c r="S6" i="13"/>
  <c r="K5" i="13"/>
  <c r="L5" i="13"/>
  <c r="M6" i="13"/>
  <c r="P68" i="13" l="1"/>
  <c r="AA67" i="13"/>
  <c r="V107" i="13"/>
  <c r="V108" i="13"/>
  <c r="AD6" i="13"/>
  <c r="S7" i="13"/>
  <c r="L6" i="13"/>
  <c r="K6" i="13"/>
  <c r="M7" i="13"/>
  <c r="P69" i="13" l="1"/>
  <c r="AA68" i="13"/>
  <c r="V109" i="13"/>
  <c r="V110" i="13"/>
  <c r="V111" i="13" s="1"/>
  <c r="AD7" i="13"/>
  <c r="S8" i="13"/>
  <c r="L7" i="13"/>
  <c r="M8" i="13"/>
  <c r="K7" i="13"/>
  <c r="P70" i="13" l="1"/>
  <c r="AA69" i="13"/>
  <c r="AD8" i="13"/>
  <c r="S9" i="13"/>
  <c r="K8" i="13"/>
  <c r="M9" i="13"/>
  <c r="L8" i="13"/>
  <c r="P71" i="13" l="1"/>
  <c r="AA70" i="13"/>
  <c r="AD9" i="13"/>
  <c r="S10" i="13"/>
  <c r="S16" i="13" s="1"/>
  <c r="K9" i="13"/>
  <c r="L9" i="13"/>
  <c r="M10" i="13"/>
  <c r="P72" i="13" l="1"/>
  <c r="AA71" i="13"/>
  <c r="AD10" i="13"/>
  <c r="S11" i="13"/>
  <c r="L10" i="13"/>
  <c r="M11" i="13"/>
  <c r="K10" i="13"/>
  <c r="P73" i="13" l="1"/>
  <c r="AA72" i="13"/>
  <c r="AD11" i="13"/>
  <c r="S12" i="13"/>
  <c r="L11" i="13"/>
  <c r="K11" i="13"/>
  <c r="M12" i="13"/>
  <c r="P74" i="13" l="1"/>
  <c r="AA73" i="13"/>
  <c r="AD12" i="13"/>
  <c r="S13" i="13"/>
  <c r="K12" i="13"/>
  <c r="M13" i="13"/>
  <c r="L12" i="13"/>
  <c r="P75" i="13" l="1"/>
  <c r="AA74" i="13"/>
  <c r="S14" i="13"/>
  <c r="AD14" i="13" s="1"/>
  <c r="AD16" i="13" s="1"/>
  <c r="AD13" i="13"/>
  <c r="L13" i="13"/>
  <c r="K13" i="13"/>
  <c r="M14" i="13"/>
  <c r="K14" i="13" s="1"/>
  <c r="L14" i="13"/>
  <c r="M16" i="13"/>
  <c r="AD17" i="13" l="1"/>
  <c r="AD18" i="13"/>
  <c r="P76" i="13"/>
  <c r="AA75" i="13"/>
  <c r="S17" i="13"/>
  <c r="C51" i="10"/>
  <c r="C52" i="10"/>
  <c r="C53" i="10"/>
  <c r="C50" i="10"/>
  <c r="L16" i="13"/>
  <c r="K16" i="13"/>
  <c r="M17" i="13"/>
  <c r="AD19" i="13" l="1"/>
  <c r="AD20" i="13"/>
  <c r="P77" i="13"/>
  <c r="AA76" i="13"/>
  <c r="S18" i="13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12" i="10"/>
  <c r="H25" i="10"/>
  <c r="H23" i="10"/>
  <c r="H14" i="10"/>
  <c r="H19" i="10"/>
  <c r="H13" i="10"/>
  <c r="H22" i="10"/>
  <c r="H24" i="10"/>
  <c r="H12" i="10"/>
  <c r="H21" i="10"/>
  <c r="H15" i="10"/>
  <c r="H26" i="10"/>
  <c r="H16" i="10"/>
  <c r="H28" i="10"/>
  <c r="H17" i="10"/>
  <c r="H20" i="10"/>
  <c r="H18" i="10"/>
  <c r="H27" i="10"/>
  <c r="K17" i="13"/>
  <c r="M18" i="13"/>
  <c r="L17" i="13"/>
  <c r="L18" i="13"/>
  <c r="K18" i="13"/>
  <c r="AD21" i="13" l="1"/>
  <c r="AD22" i="13"/>
  <c r="P78" i="13"/>
  <c r="AA77" i="13"/>
  <c r="S19" i="13"/>
  <c r="K60" i="10"/>
  <c r="K65" i="10"/>
  <c r="K66" i="10"/>
  <c r="K70" i="10"/>
  <c r="K58" i="10"/>
  <c r="K69" i="10"/>
  <c r="K63" i="10"/>
  <c r="K72" i="10"/>
  <c r="K59" i="10"/>
  <c r="K64" i="10"/>
  <c r="K74" i="10"/>
  <c r="K68" i="10"/>
  <c r="K62" i="10"/>
  <c r="K71" i="10"/>
  <c r="K73" i="10"/>
  <c r="K67" i="10"/>
  <c r="K61" i="10"/>
  <c r="B13" i="13"/>
  <c r="B10" i="13"/>
  <c r="B11" i="13"/>
  <c r="B12" i="13"/>
  <c r="B8" i="13"/>
  <c r="B6" i="13"/>
  <c r="B9" i="13"/>
  <c r="B7" i="13"/>
  <c r="B5" i="13"/>
  <c r="B4" i="13"/>
  <c r="M19" i="13"/>
  <c r="L19" i="13"/>
  <c r="AD23" i="13" l="1"/>
  <c r="AD24" i="13"/>
  <c r="P79" i="13"/>
  <c r="AA78" i="13"/>
  <c r="B1" i="13"/>
  <c r="C1" i="13" s="1"/>
  <c r="S20" i="13"/>
  <c r="A55" i="10"/>
  <c r="B36" i="10"/>
  <c r="A51" i="10"/>
  <c r="B65" i="10" s="1"/>
  <c r="M11" i="10"/>
  <c r="M10" i="10"/>
  <c r="M9" i="10"/>
  <c r="M8" i="10"/>
  <c r="M7" i="10"/>
  <c r="M6" i="10"/>
  <c r="M5" i="10"/>
  <c r="M4" i="10"/>
  <c r="H7" i="10"/>
  <c r="H11" i="10"/>
  <c r="H4" i="10"/>
  <c r="H10" i="10"/>
  <c r="H6" i="10"/>
  <c r="H5" i="10"/>
  <c r="H8" i="10"/>
  <c r="H3" i="10"/>
  <c r="H9" i="10"/>
  <c r="M20" i="13"/>
  <c r="L20" i="13"/>
  <c r="K20" i="13"/>
  <c r="K19" i="13"/>
  <c r="AD25" i="13" l="1"/>
  <c r="AD26" i="13"/>
  <c r="P80" i="13"/>
  <c r="AA79" i="13"/>
  <c r="S21" i="13"/>
  <c r="K50" i="10"/>
  <c r="K56" i="10"/>
  <c r="K52" i="10"/>
  <c r="K53" i="10"/>
  <c r="K54" i="10"/>
  <c r="K55" i="10"/>
  <c r="K51" i="10"/>
  <c r="K57" i="10"/>
  <c r="N87" i="10"/>
  <c r="N85" i="10"/>
  <c r="N86" i="10"/>
  <c r="N88" i="10"/>
  <c r="N57" i="10"/>
  <c r="N58" i="10"/>
  <c r="N64" i="10"/>
  <c r="N70" i="10"/>
  <c r="N76" i="10"/>
  <c r="N82" i="10"/>
  <c r="N59" i="10"/>
  <c r="N65" i="10"/>
  <c r="N71" i="10"/>
  <c r="N77" i="10"/>
  <c r="N83" i="10"/>
  <c r="N60" i="10"/>
  <c r="N66" i="10"/>
  <c r="N72" i="10"/>
  <c r="N78" i="10"/>
  <c r="N84" i="10"/>
  <c r="N61" i="10"/>
  <c r="N67" i="10"/>
  <c r="N73" i="10"/>
  <c r="N79" i="10"/>
  <c r="N62" i="10"/>
  <c r="N68" i="10"/>
  <c r="N74" i="10"/>
  <c r="N80" i="10"/>
  <c r="N63" i="10"/>
  <c r="N69" i="10"/>
  <c r="N75" i="10"/>
  <c r="N81" i="10"/>
  <c r="N53" i="10"/>
  <c r="N50" i="10"/>
  <c r="N55" i="10"/>
  <c r="N54" i="10"/>
  <c r="N52" i="10"/>
  <c r="N56" i="10"/>
  <c r="N51" i="10"/>
  <c r="N49" i="10"/>
  <c r="K49" i="10"/>
  <c r="H80" i="10"/>
  <c r="I7" i="10"/>
  <c r="H74" i="10"/>
  <c r="H86" i="10"/>
  <c r="H49" i="10"/>
  <c r="H78" i="10"/>
  <c r="I6" i="10"/>
  <c r="H65" i="10"/>
  <c r="H70" i="10"/>
  <c r="H66" i="10"/>
  <c r="H53" i="10"/>
  <c r="I5" i="10"/>
  <c r="H59" i="10"/>
  <c r="H62" i="10"/>
  <c r="H63" i="10"/>
  <c r="H72" i="10"/>
  <c r="H77" i="10"/>
  <c r="H58" i="10"/>
  <c r="I3" i="10"/>
  <c r="H52" i="10"/>
  <c r="I8" i="10"/>
  <c r="H54" i="10"/>
  <c r="H56" i="10"/>
  <c r="H88" i="10"/>
  <c r="H75" i="10"/>
  <c r="H61" i="10"/>
  <c r="I4" i="10"/>
  <c r="H84" i="10"/>
  <c r="H82" i="10"/>
  <c r="H67" i="10"/>
  <c r="I9" i="10"/>
  <c r="H85" i="10"/>
  <c r="I11" i="10"/>
  <c r="H71" i="10"/>
  <c r="H69" i="10"/>
  <c r="I10" i="10"/>
  <c r="H51" i="10"/>
  <c r="H60" i="10"/>
  <c r="H64" i="10"/>
  <c r="H68" i="10"/>
  <c r="H55" i="10"/>
  <c r="H87" i="10"/>
  <c r="H83" i="10"/>
  <c r="H50" i="10"/>
  <c r="H81" i="10"/>
  <c r="H79" i="10"/>
  <c r="H57" i="10"/>
  <c r="H73" i="10"/>
  <c r="H76" i="10"/>
  <c r="M21" i="13"/>
  <c r="AD28" i="13" l="1"/>
  <c r="AD27" i="13"/>
  <c r="P81" i="13"/>
  <c r="AA80" i="13"/>
  <c r="S22" i="13"/>
  <c r="G3" i="10"/>
  <c r="G42" i="10"/>
  <c r="G41" i="10"/>
  <c r="G22" i="10"/>
  <c r="G6" i="10"/>
  <c r="G8" i="10"/>
  <c r="G28" i="10"/>
  <c r="G37" i="10"/>
  <c r="G27" i="10"/>
  <c r="G23" i="10"/>
  <c r="G10" i="10"/>
  <c r="G38" i="10"/>
  <c r="G16" i="10"/>
  <c r="G19" i="10"/>
  <c r="G18" i="10"/>
  <c r="G7" i="10"/>
  <c r="G26" i="10"/>
  <c r="G5" i="10"/>
  <c r="G20" i="10"/>
  <c r="G30" i="10"/>
  <c r="G14" i="10"/>
  <c r="G31" i="10"/>
  <c r="G36" i="10"/>
  <c r="G11" i="10"/>
  <c r="G15" i="10"/>
  <c r="G34" i="10"/>
  <c r="G25" i="10"/>
  <c r="G24" i="10"/>
  <c r="G17" i="10"/>
  <c r="G4" i="10"/>
  <c r="G32" i="10"/>
  <c r="G33" i="10"/>
  <c r="G13" i="10"/>
  <c r="G12" i="10"/>
  <c r="G21" i="10"/>
  <c r="G35" i="10"/>
  <c r="G29" i="10"/>
  <c r="G9" i="10"/>
  <c r="G39" i="10"/>
  <c r="G40" i="10"/>
  <c r="H47" i="10"/>
  <c r="B24" i="10"/>
  <c r="M22" i="13"/>
  <c r="L21" i="13"/>
  <c r="K21" i="13"/>
  <c r="L22" i="13"/>
  <c r="AD29" i="13" l="1"/>
  <c r="AD30" i="13"/>
  <c r="P82" i="13"/>
  <c r="AA81" i="13"/>
  <c r="S23" i="13"/>
  <c r="B21" i="10"/>
  <c r="B22" i="10"/>
  <c r="B23" i="10"/>
  <c r="B24" i="18"/>
  <c r="E2" i="18" a="1"/>
  <c r="K22" i="13"/>
  <c r="M23" i="13"/>
  <c r="L23" i="13" s="1"/>
  <c r="AD31" i="13" l="1"/>
  <c r="AD32" i="13"/>
  <c r="P83" i="13"/>
  <c r="AA82" i="13"/>
  <c r="S24" i="13"/>
  <c r="E9" i="18"/>
  <c r="D9" i="18" s="1"/>
  <c r="E8" i="18"/>
  <c r="D8" i="18" s="1"/>
  <c r="E6" i="18"/>
  <c r="D6" i="18" s="1"/>
  <c r="E13" i="18"/>
  <c r="D13" i="18" s="1"/>
  <c r="E27" i="18"/>
  <c r="D27" i="18" s="1"/>
  <c r="E11" i="18"/>
  <c r="D11" i="18" s="1"/>
  <c r="E4" i="18"/>
  <c r="D4" i="18" s="1"/>
  <c r="E10" i="18"/>
  <c r="D10" i="18" s="1"/>
  <c r="E15" i="18"/>
  <c r="D15" i="18" s="1"/>
  <c r="E20" i="18"/>
  <c r="D20" i="18" s="1"/>
  <c r="E23" i="18"/>
  <c r="D23" i="18" s="1"/>
  <c r="E14" i="18"/>
  <c r="D14" i="18" s="1"/>
  <c r="E12" i="18"/>
  <c r="D12" i="18" s="1"/>
  <c r="E19" i="18"/>
  <c r="D19" i="18" s="1"/>
  <c r="E21" i="18"/>
  <c r="D21" i="18" s="1"/>
  <c r="E5" i="18"/>
  <c r="D5" i="18" s="1"/>
  <c r="E26" i="18"/>
  <c r="D26" i="18" s="1"/>
  <c r="E18" i="18"/>
  <c r="D18" i="18" s="1"/>
  <c r="E25" i="18"/>
  <c r="D25" i="18" s="1"/>
  <c r="E24" i="18"/>
  <c r="D24" i="18" s="1"/>
  <c r="E3" i="18"/>
  <c r="D3" i="18" s="1"/>
  <c r="E16" i="18"/>
  <c r="D16" i="18" s="1"/>
  <c r="E22" i="18"/>
  <c r="D22" i="18" s="1"/>
  <c r="E2" i="18"/>
  <c r="D2" i="18" s="1"/>
  <c r="E17" i="18"/>
  <c r="D17" i="18" s="1"/>
  <c r="E28" i="18"/>
  <c r="D28" i="18" s="1"/>
  <c r="E7" i="18"/>
  <c r="D7" i="18" s="1"/>
  <c r="B56" i="18"/>
  <c r="A42" i="18"/>
  <c r="D2" i="10" a="1"/>
  <c r="C24" i="18"/>
  <c r="B52" i="18"/>
  <c r="F2" i="18" a="1"/>
  <c r="G2" i="18" a="1"/>
  <c r="C54" i="18"/>
  <c r="M24" i="13"/>
  <c r="K24" i="13"/>
  <c r="K23" i="13"/>
  <c r="AD34" i="13" l="1"/>
  <c r="AD33" i="13"/>
  <c r="N5" i="20"/>
  <c r="N6" i="20"/>
  <c r="N12" i="20"/>
  <c r="N18" i="20"/>
  <c r="N24" i="20"/>
  <c r="N30" i="20"/>
  <c r="N36" i="20"/>
  <c r="N42" i="20"/>
  <c r="N48" i="20"/>
  <c r="N54" i="20"/>
  <c r="N60" i="20"/>
  <c r="N7" i="20"/>
  <c r="N13" i="20"/>
  <c r="N19" i="20"/>
  <c r="N25" i="20"/>
  <c r="N31" i="20"/>
  <c r="N37" i="20"/>
  <c r="N43" i="20"/>
  <c r="N49" i="20"/>
  <c r="N55" i="20"/>
  <c r="N61" i="20"/>
  <c r="N8" i="20"/>
  <c r="N14" i="20"/>
  <c r="N20" i="20"/>
  <c r="N26" i="20"/>
  <c r="N32" i="20"/>
  <c r="N38" i="20"/>
  <c r="N44" i="20"/>
  <c r="N50" i="20"/>
  <c r="N56" i="20"/>
  <c r="N2" i="20"/>
  <c r="N3" i="20"/>
  <c r="N9" i="20"/>
  <c r="N15" i="20"/>
  <c r="N21" i="20"/>
  <c r="N27" i="20"/>
  <c r="N33" i="20"/>
  <c r="N39" i="20"/>
  <c r="N45" i="20"/>
  <c r="N51" i="20"/>
  <c r="N57" i="20"/>
  <c r="N4" i="20"/>
  <c r="N10" i="20"/>
  <c r="N16" i="20"/>
  <c r="N22" i="20"/>
  <c r="N28" i="20"/>
  <c r="N34" i="20"/>
  <c r="N40" i="20"/>
  <c r="N46" i="20"/>
  <c r="N52" i="20"/>
  <c r="N58" i="20"/>
  <c r="N11" i="20"/>
  <c r="N17" i="20"/>
  <c r="N23" i="20"/>
  <c r="N29" i="20"/>
  <c r="N35" i="20"/>
  <c r="N41" i="20"/>
  <c r="N47" i="20"/>
  <c r="N53" i="20"/>
  <c r="N59" i="20"/>
  <c r="P84" i="13"/>
  <c r="AA83" i="13"/>
  <c r="S25" i="13"/>
  <c r="F23" i="18"/>
  <c r="F26" i="18"/>
  <c r="F5" i="18"/>
  <c r="F24" i="18"/>
  <c r="F14" i="18"/>
  <c r="F13" i="18"/>
  <c r="F4" i="18"/>
  <c r="F18" i="18"/>
  <c r="F8" i="18"/>
  <c r="F21" i="18"/>
  <c r="F20" i="18"/>
  <c r="F12" i="18"/>
  <c r="F2" i="18"/>
  <c r="F15" i="18"/>
  <c r="F28" i="18"/>
  <c r="F27" i="18"/>
  <c r="F25" i="18"/>
  <c r="F9" i="18"/>
  <c r="F22" i="18"/>
  <c r="F6" i="18"/>
  <c r="F3" i="18"/>
  <c r="F16" i="18"/>
  <c r="F17" i="18"/>
  <c r="F19" i="18"/>
  <c r="F10" i="18"/>
  <c r="F11" i="18"/>
  <c r="F7" i="18"/>
  <c r="G22" i="18"/>
  <c r="G21" i="18"/>
  <c r="G11" i="18"/>
  <c r="G19" i="18"/>
  <c r="G28" i="18"/>
  <c r="G27" i="18"/>
  <c r="G23" i="18"/>
  <c r="G2" i="18"/>
  <c r="G5" i="18"/>
  <c r="G6" i="18"/>
  <c r="G7" i="18"/>
  <c r="G8" i="18"/>
  <c r="G4" i="18"/>
  <c r="G3" i="18"/>
  <c r="G12" i="18"/>
  <c r="G13" i="18"/>
  <c r="G14" i="18"/>
  <c r="G10" i="18"/>
  <c r="G9" i="18"/>
  <c r="G18" i="18"/>
  <c r="G25" i="18"/>
  <c r="G20" i="18"/>
  <c r="G16" i="18"/>
  <c r="G15" i="18"/>
  <c r="G24" i="18"/>
  <c r="G17" i="18"/>
  <c r="G26" i="18"/>
  <c r="D5" i="10"/>
  <c r="C5" i="10" s="1"/>
  <c r="D11" i="10"/>
  <c r="C11" i="10" s="1"/>
  <c r="D7" i="10"/>
  <c r="C7" i="10" s="1"/>
  <c r="D12" i="10"/>
  <c r="C12" i="10" s="1"/>
  <c r="D3" i="10"/>
  <c r="C3" i="10" s="1"/>
  <c r="D2" i="10"/>
  <c r="C2" i="10" s="1"/>
  <c r="D8" i="10"/>
  <c r="C8" i="10" s="1"/>
  <c r="D10" i="10"/>
  <c r="C10" i="10" s="1"/>
  <c r="D9" i="10"/>
  <c r="C9" i="10" s="1"/>
  <c r="D4" i="10"/>
  <c r="C4" i="10" s="1"/>
  <c r="D6" i="10"/>
  <c r="C6" i="10" s="1"/>
  <c r="F24" i="10" a="1"/>
  <c r="E24" i="10" a="1"/>
  <c r="E13" i="10" a="1"/>
  <c r="F13" i="10" a="1"/>
  <c r="F35" i="10" a="1"/>
  <c r="E35" i="10" a="1"/>
  <c r="A2" i="20"/>
  <c r="L24" i="13"/>
  <c r="M25" i="13"/>
  <c r="K25" i="13"/>
  <c r="AD35" i="13" l="1"/>
  <c r="AD36" i="13"/>
  <c r="P85" i="13"/>
  <c r="AA84" i="13"/>
  <c r="S26" i="13"/>
  <c r="E14" i="10"/>
  <c r="E22" i="10"/>
  <c r="E19" i="10"/>
  <c r="E15" i="10"/>
  <c r="E13" i="10"/>
  <c r="E23" i="10"/>
  <c r="E20" i="10"/>
  <c r="E16" i="10"/>
  <c r="E18" i="10"/>
  <c r="E17" i="10"/>
  <c r="E21" i="10"/>
  <c r="F23" i="10"/>
  <c r="F20" i="10"/>
  <c r="F16" i="10"/>
  <c r="F21" i="10"/>
  <c r="F13" i="10"/>
  <c r="F14" i="10"/>
  <c r="F17" i="10"/>
  <c r="F18" i="10"/>
  <c r="F22" i="10"/>
  <c r="F15" i="10"/>
  <c r="F19" i="10"/>
  <c r="E33" i="10"/>
  <c r="E34" i="10"/>
  <c r="E30" i="10"/>
  <c r="E32" i="10"/>
  <c r="E28" i="10"/>
  <c r="E31" i="10"/>
  <c r="E26" i="10"/>
  <c r="E24" i="10"/>
  <c r="E29" i="10"/>
  <c r="E27" i="10"/>
  <c r="E25" i="10"/>
  <c r="F31" i="10"/>
  <c r="F33" i="10"/>
  <c r="F24" i="10"/>
  <c r="F26" i="10"/>
  <c r="F28" i="10"/>
  <c r="F30" i="10"/>
  <c r="F32" i="10"/>
  <c r="F34" i="10"/>
  <c r="F25" i="10"/>
  <c r="F27" i="10"/>
  <c r="F29" i="10"/>
  <c r="E45" i="10"/>
  <c r="E41" i="10"/>
  <c r="E43" i="10"/>
  <c r="E38" i="10"/>
  <c r="E36" i="10"/>
  <c r="E44" i="10"/>
  <c r="E40" i="10"/>
  <c r="E42" i="10"/>
  <c r="E39" i="10"/>
  <c r="E35" i="10"/>
  <c r="E37" i="10"/>
  <c r="F44" i="10"/>
  <c r="F40" i="10"/>
  <c r="F37" i="10"/>
  <c r="F39" i="10"/>
  <c r="F35" i="10"/>
  <c r="F43" i="10"/>
  <c r="F45" i="10"/>
  <c r="F41" i="10"/>
  <c r="F38" i="10"/>
  <c r="F42" i="10"/>
  <c r="F36" i="10"/>
  <c r="M26" i="13"/>
  <c r="L26" i="13"/>
  <c r="L25" i="13"/>
  <c r="AD37" i="13" l="1"/>
  <c r="AD38" i="13"/>
  <c r="P86" i="13"/>
  <c r="AA85" i="13"/>
  <c r="S27" i="13"/>
  <c r="M27" i="13"/>
  <c r="K26" i="13"/>
  <c r="AD39" i="13" l="1"/>
  <c r="AD40" i="13"/>
  <c r="P87" i="13"/>
  <c r="AA86" i="13"/>
  <c r="S28" i="13"/>
  <c r="L27" i="13"/>
  <c r="K27" i="13"/>
  <c r="M28" i="13"/>
  <c r="AD41" i="13" l="1"/>
  <c r="AD42" i="13"/>
  <c r="P88" i="13"/>
  <c r="AA87" i="13"/>
  <c r="S29" i="13"/>
  <c r="L28" i="13"/>
  <c r="M29" i="13"/>
  <c r="L29" i="13" s="1"/>
  <c r="K29" i="13"/>
  <c r="K28" i="13"/>
  <c r="AD44" i="13" l="1"/>
  <c r="AD43" i="13"/>
  <c r="P89" i="13"/>
  <c r="AA88" i="13"/>
  <c r="S30" i="13"/>
  <c r="M30" i="13"/>
  <c r="L30" i="13" s="1"/>
  <c r="AD46" i="13" l="1"/>
  <c r="AD45" i="13"/>
  <c r="P90" i="13"/>
  <c r="AA89" i="13"/>
  <c r="S31" i="13"/>
  <c r="C61" i="10"/>
  <c r="K30" i="13"/>
  <c r="M31" i="13"/>
  <c r="AD47" i="13" l="1"/>
  <c r="AD48" i="13"/>
  <c r="P91" i="13"/>
  <c r="AA90" i="13"/>
  <c r="S32" i="13"/>
  <c r="D52" i="10"/>
  <c r="C73" i="10"/>
  <c r="D61" i="10"/>
  <c r="M32" i="13"/>
  <c r="L32" i="13" s="1"/>
  <c r="L31" i="13"/>
  <c r="K32" i="13"/>
  <c r="K31" i="13"/>
  <c r="AD49" i="13" l="1"/>
  <c r="AD50" i="13"/>
  <c r="P92" i="13"/>
  <c r="AA91" i="13"/>
  <c r="O91" i="13"/>
  <c r="Y91" i="13" s="1"/>
  <c r="O97" i="13"/>
  <c r="Y97" i="13" s="1"/>
  <c r="O96" i="13"/>
  <c r="Y96" i="13" s="1"/>
  <c r="O74" i="13"/>
  <c r="Y74" i="13" s="1"/>
  <c r="O92" i="13"/>
  <c r="Y92" i="13" s="1"/>
  <c r="O72" i="13"/>
  <c r="Y72" i="13" s="1"/>
  <c r="O75" i="13"/>
  <c r="Y75" i="13" s="1"/>
  <c r="O87" i="13"/>
  <c r="Y87" i="13" s="1"/>
  <c r="O93" i="13"/>
  <c r="Y93" i="13" s="1"/>
  <c r="O105" i="13"/>
  <c r="Y105" i="13" s="1"/>
  <c r="O84" i="13"/>
  <c r="Y84" i="13" s="1"/>
  <c r="O70" i="13"/>
  <c r="Y70" i="13" s="1"/>
  <c r="O88" i="13"/>
  <c r="Y88" i="13" s="1"/>
  <c r="O100" i="13"/>
  <c r="Y100" i="13" s="1"/>
  <c r="O71" i="13"/>
  <c r="Y71" i="13" s="1"/>
  <c r="O77" i="13"/>
  <c r="Y77" i="13" s="1"/>
  <c r="O95" i="13"/>
  <c r="Y95" i="13" s="1"/>
  <c r="O78" i="13"/>
  <c r="Y78" i="13" s="1"/>
  <c r="O12" i="13"/>
  <c r="O41" i="13"/>
  <c r="Y41" i="13" s="1"/>
  <c r="O14" i="13"/>
  <c r="Y14" i="13" s="1"/>
  <c r="O19" i="13"/>
  <c r="Y19" i="13" s="1"/>
  <c r="O48" i="13"/>
  <c r="Y48" i="13" s="1"/>
  <c r="O36" i="13"/>
  <c r="Y36" i="13" s="1"/>
  <c r="O21" i="13"/>
  <c r="Y21" i="13" s="1"/>
  <c r="O24" i="13"/>
  <c r="Y24" i="13" s="1"/>
  <c r="O42" i="13"/>
  <c r="Y42" i="13" s="1"/>
  <c r="O32" i="13"/>
  <c r="Y32" i="13" s="1"/>
  <c r="O20" i="13"/>
  <c r="Y20" i="13" s="1"/>
  <c r="O9" i="13"/>
  <c r="S33" i="13"/>
  <c r="O10" i="13"/>
  <c r="O8" i="13"/>
  <c r="D51" i="10"/>
  <c r="C74" i="10"/>
  <c r="B51" i="10"/>
  <c r="N21" i="13"/>
  <c r="N9" i="13"/>
  <c r="N8" i="13"/>
  <c r="M33" i="13"/>
  <c r="N20" i="13"/>
  <c r="N19" i="13"/>
  <c r="N24" i="13"/>
  <c r="N14" i="13"/>
  <c r="N32" i="13"/>
  <c r="N10" i="13"/>
  <c r="N12" i="13"/>
  <c r="P93" i="13" l="1"/>
  <c r="AA92" i="13"/>
  <c r="O73" i="13"/>
  <c r="Y73" i="13" s="1"/>
  <c r="O79" i="13"/>
  <c r="Y79" i="13" s="1"/>
  <c r="O85" i="13"/>
  <c r="Y85" i="13" s="1"/>
  <c r="O103" i="13"/>
  <c r="Y103" i="13" s="1"/>
  <c r="O109" i="13"/>
  <c r="Y109" i="13" s="1"/>
  <c r="O80" i="13"/>
  <c r="Y80" i="13" s="1"/>
  <c r="O86" i="13"/>
  <c r="Y86" i="13" s="1"/>
  <c r="O98" i="13"/>
  <c r="Y98" i="13" s="1"/>
  <c r="O104" i="13"/>
  <c r="Y104" i="13" s="1"/>
  <c r="O110" i="13"/>
  <c r="Y110" i="13" s="1"/>
  <c r="O90" i="13"/>
  <c r="Y90" i="13" s="1"/>
  <c r="O69" i="13"/>
  <c r="Y69" i="13" s="1"/>
  <c r="O81" i="13"/>
  <c r="Y81" i="13" s="1"/>
  <c r="O99" i="13"/>
  <c r="Y99" i="13" s="1"/>
  <c r="O111" i="13"/>
  <c r="Y111" i="13" s="1"/>
  <c r="O76" i="13"/>
  <c r="Y76" i="13" s="1"/>
  <c r="O82" i="13"/>
  <c r="Y82" i="13" s="1"/>
  <c r="O94" i="13"/>
  <c r="Y94" i="13" s="1"/>
  <c r="O106" i="13"/>
  <c r="Y106" i="13" s="1"/>
  <c r="O102" i="13"/>
  <c r="Y102" i="13" s="1"/>
  <c r="O83" i="13"/>
  <c r="Y83" i="13" s="1"/>
  <c r="O89" i="13"/>
  <c r="Y89" i="13" s="1"/>
  <c r="O101" i="13"/>
  <c r="Y101" i="13" s="1"/>
  <c r="O107" i="13"/>
  <c r="Y107" i="13" s="1"/>
  <c r="O108" i="13"/>
  <c r="Y108" i="13" s="1"/>
  <c r="Z20" i="13"/>
  <c r="Z32" i="13"/>
  <c r="Z19" i="13"/>
  <c r="Z14" i="13"/>
  <c r="Z24" i="13"/>
  <c r="Z21" i="13"/>
  <c r="Y8" i="13"/>
  <c r="Y10" i="13"/>
  <c r="O11" i="13"/>
  <c r="O37" i="13"/>
  <c r="Y37" i="13" s="1"/>
  <c r="O25" i="13"/>
  <c r="Y25" i="13" s="1"/>
  <c r="O22" i="13"/>
  <c r="Y22" i="13" s="1"/>
  <c r="O33" i="13"/>
  <c r="Y33" i="13" s="1"/>
  <c r="O50" i="13"/>
  <c r="Y50" i="13" s="1"/>
  <c r="O49" i="13"/>
  <c r="Y49" i="13" s="1"/>
  <c r="O35" i="13"/>
  <c r="Y35" i="13" s="1"/>
  <c r="O16" i="13"/>
  <c r="O27" i="13"/>
  <c r="Y27" i="13" s="1"/>
  <c r="O44" i="13"/>
  <c r="Y44" i="13" s="1"/>
  <c r="O30" i="13"/>
  <c r="Y30" i="13" s="1"/>
  <c r="O29" i="13"/>
  <c r="Y29" i="13" s="1"/>
  <c r="O46" i="13"/>
  <c r="Y46" i="13" s="1"/>
  <c r="O31" i="13"/>
  <c r="Y31" i="13" s="1"/>
  <c r="O38" i="13"/>
  <c r="Y38" i="13" s="1"/>
  <c r="O40" i="13"/>
  <c r="Y40" i="13" s="1"/>
  <c r="O47" i="13"/>
  <c r="Y47" i="13" s="1"/>
  <c r="O39" i="13"/>
  <c r="Y39" i="13" s="1"/>
  <c r="O34" i="13"/>
  <c r="Y34" i="13" s="1"/>
  <c r="O45" i="13"/>
  <c r="Y45" i="13" s="1"/>
  <c r="O43" i="13"/>
  <c r="Y43" i="13" s="1"/>
  <c r="O26" i="13"/>
  <c r="Y26" i="13" s="1"/>
  <c r="O28" i="13"/>
  <c r="Y28" i="13" s="1"/>
  <c r="Y9" i="13"/>
  <c r="Y12" i="13"/>
  <c r="S34" i="13"/>
  <c r="O13" i="13"/>
  <c r="B74" i="10"/>
  <c r="B52" i="10"/>
  <c r="N26" i="13"/>
  <c r="N33" i="13"/>
  <c r="X32" i="13"/>
  <c r="N31" i="13"/>
  <c r="X21" i="13"/>
  <c r="M34" i="13"/>
  <c r="X19" i="13"/>
  <c r="X20" i="13"/>
  <c r="X14" i="13"/>
  <c r="N27" i="13"/>
  <c r="N13" i="13"/>
  <c r="N30" i="13"/>
  <c r="N28" i="13"/>
  <c r="N25" i="13"/>
  <c r="X24" i="13"/>
  <c r="N16" i="13"/>
  <c r="N22" i="13"/>
  <c r="N11" i="13"/>
  <c r="L34" i="13"/>
  <c r="N34" i="13"/>
  <c r="K33" i="13"/>
  <c r="L33" i="13"/>
  <c r="N29" i="13"/>
  <c r="P94" i="13" l="1"/>
  <c r="AA93" i="13"/>
  <c r="F83" i="13"/>
  <c r="F101" i="13"/>
  <c r="F108" i="13"/>
  <c r="F73" i="13"/>
  <c r="F109" i="13"/>
  <c r="F110" i="13"/>
  <c r="F79" i="13"/>
  <c r="F104" i="13"/>
  <c r="F80" i="13"/>
  <c r="F86" i="13"/>
  <c r="F69" i="13"/>
  <c r="F81" i="13"/>
  <c r="F99" i="13"/>
  <c r="F111" i="13"/>
  <c r="F76" i="13"/>
  <c r="F82" i="13"/>
  <c r="F94" i="13"/>
  <c r="F106" i="13"/>
  <c r="F89" i="13"/>
  <c r="F107" i="13"/>
  <c r="F90" i="13"/>
  <c r="F102" i="13"/>
  <c r="F85" i="13"/>
  <c r="F103" i="13"/>
  <c r="F98" i="13"/>
  <c r="F49" i="13"/>
  <c r="F22" i="13"/>
  <c r="F27" i="13"/>
  <c r="F50" i="13"/>
  <c r="F31" i="13"/>
  <c r="F35" i="13"/>
  <c r="F30" i="13"/>
  <c r="F16" i="13"/>
  <c r="F44" i="13"/>
  <c r="F29" i="13"/>
  <c r="F46" i="13"/>
  <c r="F38" i="13"/>
  <c r="F40" i="13"/>
  <c r="F45" i="13"/>
  <c r="F43" i="13"/>
  <c r="F47" i="13"/>
  <c r="F37" i="13"/>
  <c r="F28" i="13"/>
  <c r="F34" i="13"/>
  <c r="F39" i="13"/>
  <c r="F25" i="13"/>
  <c r="F26" i="13"/>
  <c r="F33" i="13"/>
  <c r="F11" i="13"/>
  <c r="F13" i="13"/>
  <c r="Y16" i="13"/>
  <c r="Z34" i="13"/>
  <c r="Z28" i="13"/>
  <c r="Z29" i="13"/>
  <c r="Z26" i="13"/>
  <c r="Z30" i="13"/>
  <c r="Z33" i="13"/>
  <c r="Z27" i="13"/>
  <c r="Z22" i="13"/>
  <c r="Z31" i="13"/>
  <c r="Z16" i="13"/>
  <c r="Z25" i="13"/>
  <c r="Y11" i="13"/>
  <c r="Y13" i="13"/>
  <c r="S35" i="13"/>
  <c r="B73" i="10"/>
  <c r="C31" i="13"/>
  <c r="C43" i="13"/>
  <c r="C46" i="13"/>
  <c r="C49" i="13"/>
  <c r="C16" i="13"/>
  <c r="C35" i="13"/>
  <c r="C37" i="13"/>
  <c r="C33" i="13"/>
  <c r="C13" i="13"/>
  <c r="C25" i="13"/>
  <c r="C26" i="13"/>
  <c r="C28" i="13"/>
  <c r="C39" i="13"/>
  <c r="C11" i="13"/>
  <c r="C40" i="13"/>
  <c r="C45" i="13"/>
  <c r="C30" i="13"/>
  <c r="C27" i="13"/>
  <c r="C47" i="13"/>
  <c r="C44" i="13"/>
  <c r="C38" i="13"/>
  <c r="C34" i="13"/>
  <c r="C29" i="13"/>
  <c r="C50" i="13"/>
  <c r="C22" i="13"/>
  <c r="X34" i="13"/>
  <c r="X22" i="13"/>
  <c r="X28" i="13"/>
  <c r="X27" i="13"/>
  <c r="K34" i="13"/>
  <c r="X25" i="13"/>
  <c r="X16" i="13"/>
  <c r="M35" i="13"/>
  <c r="X26" i="13"/>
  <c r="X31" i="13"/>
  <c r="X33" i="13"/>
  <c r="X30" i="13"/>
  <c r="N35" i="13"/>
  <c r="X29" i="13"/>
  <c r="P95" i="13" l="1"/>
  <c r="AA94" i="13"/>
  <c r="F84" i="13"/>
  <c r="F96" i="13"/>
  <c r="F91" i="13"/>
  <c r="F92" i="13"/>
  <c r="F97" i="13"/>
  <c r="F74" i="13"/>
  <c r="F75" i="13"/>
  <c r="F87" i="13"/>
  <c r="F93" i="13"/>
  <c r="F105" i="13"/>
  <c r="F70" i="13"/>
  <c r="F88" i="13"/>
  <c r="F100" i="13"/>
  <c r="F71" i="13"/>
  <c r="F77" i="13"/>
  <c r="F95" i="13"/>
  <c r="F72" i="13"/>
  <c r="F78" i="13"/>
  <c r="F41" i="13"/>
  <c r="F48" i="13"/>
  <c r="F21" i="13"/>
  <c r="F19" i="13"/>
  <c r="F24" i="13"/>
  <c r="F14" i="13"/>
  <c r="F42" i="13"/>
  <c r="F32" i="13"/>
  <c r="F36" i="13"/>
  <c r="F20" i="13"/>
  <c r="F10" i="13"/>
  <c r="F12" i="13"/>
  <c r="F9" i="13"/>
  <c r="F8" i="13"/>
  <c r="Z35" i="13"/>
  <c r="S36" i="13"/>
  <c r="Z10" i="13"/>
  <c r="Z13" i="13"/>
  <c r="Z12" i="13"/>
  <c r="Z11" i="13"/>
  <c r="Z8" i="13"/>
  <c r="Z9" i="13"/>
  <c r="C9" i="13"/>
  <c r="C19" i="13"/>
  <c r="C42" i="13"/>
  <c r="C32" i="13"/>
  <c r="C8" i="13"/>
  <c r="C12" i="13"/>
  <c r="C41" i="13"/>
  <c r="C20" i="13"/>
  <c r="C36" i="13"/>
  <c r="C21" i="13"/>
  <c r="C10" i="13"/>
  <c r="C48" i="13"/>
  <c r="C14" i="13"/>
  <c r="C24" i="13"/>
  <c r="X8" i="13"/>
  <c r="L35" i="13"/>
  <c r="X12" i="13"/>
  <c r="M36" i="13"/>
  <c r="X35" i="13"/>
  <c r="X13" i="13"/>
  <c r="X11" i="13"/>
  <c r="N36" i="13"/>
  <c r="X9" i="13"/>
  <c r="K35" i="13"/>
  <c r="X10" i="13"/>
  <c r="P96" i="13" l="1"/>
  <c r="AA95" i="13"/>
  <c r="Z36" i="13"/>
  <c r="S37" i="13"/>
  <c r="D1" i="13"/>
  <c r="E2" i="10" a="1"/>
  <c r="F2" i="10" a="1"/>
  <c r="L36" i="13"/>
  <c r="N37" i="13"/>
  <c r="M37" i="13"/>
  <c r="K36" i="13"/>
  <c r="X36" i="13"/>
  <c r="P97" i="13" l="1"/>
  <c r="AA96" i="13"/>
  <c r="Z37" i="13"/>
  <c r="S38" i="13"/>
  <c r="E3" i="10"/>
  <c r="E12" i="10"/>
  <c r="F12" i="10"/>
  <c r="E5" i="10"/>
  <c r="E9" i="10"/>
  <c r="E7" i="10"/>
  <c r="F10" i="10"/>
  <c r="F11" i="10"/>
  <c r="E8" i="10"/>
  <c r="F2" i="10"/>
  <c r="E10" i="10"/>
  <c r="F6" i="10"/>
  <c r="F7" i="10"/>
  <c r="E4" i="10"/>
  <c r="F8" i="10"/>
  <c r="F9" i="10"/>
  <c r="E2" i="10"/>
  <c r="F5" i="10"/>
  <c r="E6" i="10"/>
  <c r="E11" i="10"/>
  <c r="F3" i="10"/>
  <c r="F4" i="10"/>
  <c r="B61" i="10"/>
  <c r="K37" i="13"/>
  <c r="N38" i="13"/>
  <c r="M38" i="13"/>
  <c r="X37" i="13"/>
  <c r="L37" i="13"/>
  <c r="P98" i="13" l="1"/>
  <c r="AA97" i="13"/>
  <c r="D53" i="10"/>
  <c r="Z38" i="13"/>
  <c r="S39" i="13"/>
  <c r="C72" i="10"/>
  <c r="O17" i="13" s="1"/>
  <c r="Y17" i="13" s="1"/>
  <c r="B53" i="10"/>
  <c r="X38" i="13"/>
  <c r="N39" i="13"/>
  <c r="N17" i="13"/>
  <c r="K38" i="13"/>
  <c r="L38" i="13"/>
  <c r="M39" i="13"/>
  <c r="L39" i="13" s="1"/>
  <c r="P99" i="13" l="1"/>
  <c r="AA98" i="13"/>
  <c r="B72" i="10"/>
  <c r="F17" i="13" s="1"/>
  <c r="Z39" i="13"/>
  <c r="Z17" i="13"/>
  <c r="S40" i="13"/>
  <c r="C17" i="13"/>
  <c r="K39" i="13"/>
  <c r="X17" i="13"/>
  <c r="M40" i="13"/>
  <c r="X39" i="13"/>
  <c r="N40" i="13"/>
  <c r="P100" i="13" l="1"/>
  <c r="AA99" i="13"/>
  <c r="Z40" i="13"/>
  <c r="S41" i="13"/>
  <c r="A18" i="20"/>
  <c r="M41" i="13"/>
  <c r="N41" i="13"/>
  <c r="L40" i="13"/>
  <c r="L41" i="13"/>
  <c r="X40" i="13"/>
  <c r="K40" i="13"/>
  <c r="P101" i="13" l="1"/>
  <c r="AA100" i="13"/>
  <c r="G68" i="13"/>
  <c r="Z41" i="13"/>
  <c r="S42" i="13"/>
  <c r="A19" i="20"/>
  <c r="B68" i="13"/>
  <c r="M42" i="13"/>
  <c r="K42" i="13"/>
  <c r="X41" i="13"/>
  <c r="N42" i="13"/>
  <c r="K41" i="13"/>
  <c r="P102" i="13" l="1"/>
  <c r="AA101" i="13"/>
  <c r="G69" i="13"/>
  <c r="Z42" i="13"/>
  <c r="S43" i="13"/>
  <c r="A20" i="20"/>
  <c r="B69" i="13"/>
  <c r="C69" i="13"/>
  <c r="L42" i="13"/>
  <c r="N43" i="13"/>
  <c r="X42" i="13"/>
  <c r="M43" i="13"/>
  <c r="P103" i="13" l="1"/>
  <c r="AA102" i="13"/>
  <c r="G70" i="13"/>
  <c r="Z43" i="13"/>
  <c r="S44" i="13"/>
  <c r="C70" i="13"/>
  <c r="B70" i="13"/>
  <c r="A21" i="20"/>
  <c r="X43" i="13"/>
  <c r="M44" i="13"/>
  <c r="L43" i="13"/>
  <c r="K44" i="13"/>
  <c r="K43" i="13"/>
  <c r="N44" i="13"/>
  <c r="P104" i="13" l="1"/>
  <c r="AA103" i="13"/>
  <c r="G71" i="13"/>
  <c r="Z44" i="13"/>
  <c r="S45" i="13"/>
  <c r="B71" i="13"/>
  <c r="C71" i="13"/>
  <c r="A22" i="20"/>
  <c r="L44" i="13"/>
  <c r="X44" i="13"/>
  <c r="N45" i="13"/>
  <c r="M45" i="13"/>
  <c r="P105" i="13" l="1"/>
  <c r="AA104" i="13"/>
  <c r="G72" i="13"/>
  <c r="Z45" i="13"/>
  <c r="S46" i="13"/>
  <c r="C72" i="13"/>
  <c r="A23" i="20"/>
  <c r="B72" i="13"/>
  <c r="N46" i="13"/>
  <c r="K45" i="13"/>
  <c r="L45" i="13"/>
  <c r="X45" i="13"/>
  <c r="M46" i="13"/>
  <c r="L46" i="13" s="1"/>
  <c r="P106" i="13" l="1"/>
  <c r="AA105" i="13"/>
  <c r="G73" i="13"/>
  <c r="Z46" i="13"/>
  <c r="S47" i="13"/>
  <c r="A24" i="20"/>
  <c r="B73" i="13"/>
  <c r="C73" i="13"/>
  <c r="M47" i="13"/>
  <c r="X46" i="13"/>
  <c r="K46" i="13"/>
  <c r="N47" i="13"/>
  <c r="L47" i="13"/>
  <c r="P107" i="13" l="1"/>
  <c r="AA106" i="13"/>
  <c r="G74" i="13"/>
  <c r="Z47" i="13"/>
  <c r="S48" i="13"/>
  <c r="B74" i="13"/>
  <c r="C74" i="13"/>
  <c r="A25" i="20"/>
  <c r="K47" i="13"/>
  <c r="M48" i="13"/>
  <c r="X47" i="13"/>
  <c r="N48" i="13"/>
  <c r="K48" i="13"/>
  <c r="P108" i="13" l="1"/>
  <c r="AA107" i="13"/>
  <c r="G75" i="13"/>
  <c r="Z48" i="13"/>
  <c r="S49" i="13"/>
  <c r="C75" i="13"/>
  <c r="A26" i="20"/>
  <c r="B75" i="13"/>
  <c r="L48" i="13"/>
  <c r="M49" i="13"/>
  <c r="N49" i="13"/>
  <c r="X48" i="13"/>
  <c r="P109" i="13" l="1"/>
  <c r="AA108" i="13"/>
  <c r="G76" i="13"/>
  <c r="M1" i="13"/>
  <c r="Z49" i="13"/>
  <c r="S50" i="13"/>
  <c r="S52" i="13" s="1"/>
  <c r="A27" i="20"/>
  <c r="B76" i="13"/>
  <c r="C76" i="13"/>
  <c r="K49" i="13"/>
  <c r="L49" i="13"/>
  <c r="X49" i="13"/>
  <c r="N50" i="13"/>
  <c r="M50" i="13"/>
  <c r="K50" i="13"/>
  <c r="AD52" i="13" l="1"/>
  <c r="S53" i="13"/>
  <c r="L1" i="13"/>
  <c r="P110" i="13"/>
  <c r="AA109" i="13"/>
  <c r="G77" i="13"/>
  <c r="K1" i="13"/>
  <c r="Z50" i="13"/>
  <c r="B77" i="13"/>
  <c r="A28" i="20"/>
  <c r="C77" i="13"/>
  <c r="L50" i="13"/>
  <c r="X50" i="13"/>
  <c r="S54" i="13" l="1"/>
  <c r="AD53" i="13"/>
  <c r="P111" i="13"/>
  <c r="AA111" i="13" s="1"/>
  <c r="AA110" i="13"/>
  <c r="G78" i="13"/>
  <c r="B21" i="17"/>
  <c r="B22" i="17"/>
  <c r="E61" i="10"/>
  <c r="B78" i="13"/>
  <c r="C78" i="13"/>
  <c r="A29" i="20"/>
  <c r="F61" i="10"/>
  <c r="S55" i="13" l="1"/>
  <c r="AD54" i="13"/>
  <c r="G79" i="13"/>
  <c r="D50" i="10"/>
  <c r="C75" i="10"/>
  <c r="O68" i="13" s="1"/>
  <c r="D54" i="10"/>
  <c r="D2" i="17" a="1"/>
  <c r="B50" i="10"/>
  <c r="B79" i="13"/>
  <c r="B54" i="10"/>
  <c r="C79" i="13"/>
  <c r="A30" i="20"/>
  <c r="S56" i="13" l="1"/>
  <c r="AD55" i="13"/>
  <c r="D8" i="17"/>
  <c r="C8" i="17" s="1"/>
  <c r="D4" i="17"/>
  <c r="C4" i="17" s="1"/>
  <c r="D3" i="17"/>
  <c r="C3" i="17" s="1"/>
  <c r="D7" i="17"/>
  <c r="C7" i="17" s="1"/>
  <c r="D2" i="17"/>
  <c r="C2" i="17" s="1"/>
  <c r="D6" i="17"/>
  <c r="C6" i="17" s="1"/>
  <c r="D5" i="17"/>
  <c r="C5" i="17" s="1"/>
  <c r="Y68" i="13"/>
  <c r="G80" i="13"/>
  <c r="B75" i="10"/>
  <c r="O23" i="13"/>
  <c r="O18" i="13"/>
  <c r="B80" i="13"/>
  <c r="C80" i="13"/>
  <c r="A31" i="20"/>
  <c r="N23" i="13"/>
  <c r="N18" i="13"/>
  <c r="S57" i="13" l="1"/>
  <c r="AD56" i="13"/>
  <c r="G81" i="13"/>
  <c r="F68" i="13"/>
  <c r="Z18" i="13"/>
  <c r="Z23" i="13"/>
  <c r="Y18" i="13"/>
  <c r="Y23" i="13"/>
  <c r="F18" i="13"/>
  <c r="F23" i="13"/>
  <c r="C23" i="13"/>
  <c r="C18" i="13"/>
  <c r="B81" i="13"/>
  <c r="C81" i="13"/>
  <c r="C68" i="13"/>
  <c r="A32" i="20"/>
  <c r="X23" i="13"/>
  <c r="X18" i="13"/>
  <c r="S58" i="13" l="1"/>
  <c r="AD57" i="13"/>
  <c r="G82" i="13"/>
  <c r="A33" i="20"/>
  <c r="C82" i="13"/>
  <c r="B82" i="13"/>
  <c r="S59" i="13" l="1"/>
  <c r="AD58" i="13"/>
  <c r="G83" i="13"/>
  <c r="C83" i="13"/>
  <c r="B83" i="13"/>
  <c r="A34" i="20"/>
  <c r="S60" i="13" l="1"/>
  <c r="AD59" i="13"/>
  <c r="G84" i="13"/>
  <c r="A35" i="20"/>
  <c r="C84" i="13"/>
  <c r="B84" i="13"/>
  <c r="S61" i="13" l="1"/>
  <c r="AD60" i="13"/>
  <c r="G85" i="13"/>
  <c r="C85" i="13"/>
  <c r="B85" i="13"/>
  <c r="A36" i="20"/>
  <c r="S62" i="13" l="1"/>
  <c r="AD61" i="13"/>
  <c r="G86" i="13"/>
  <c r="A37" i="20"/>
  <c r="B86" i="13"/>
  <c r="C86" i="13"/>
  <c r="S63" i="13" l="1"/>
  <c r="AD62" i="13"/>
  <c r="G87" i="13"/>
  <c r="B87" i="13"/>
  <c r="C87" i="13"/>
  <c r="A38" i="20"/>
  <c r="S64" i="13" l="1"/>
  <c r="AD63" i="13"/>
  <c r="G88" i="13"/>
  <c r="C88" i="13"/>
  <c r="B88" i="13"/>
  <c r="A39" i="20"/>
  <c r="S65" i="13" l="1"/>
  <c r="AD64" i="13"/>
  <c r="G89" i="13"/>
  <c r="A40" i="20"/>
  <c r="C89" i="13"/>
  <c r="B89" i="13"/>
  <c r="S66" i="13" l="1"/>
  <c r="AD65" i="13"/>
  <c r="G90" i="13"/>
  <c r="A41" i="20"/>
  <c r="C90" i="13"/>
  <c r="B90" i="13"/>
  <c r="S67" i="13" l="1"/>
  <c r="AD66" i="13"/>
  <c r="G91" i="13"/>
  <c r="B91" i="13"/>
  <c r="A42" i="20"/>
  <c r="C91" i="13"/>
  <c r="S68" i="13" l="1"/>
  <c r="AD67" i="13"/>
  <c r="G92" i="13"/>
  <c r="B92" i="13"/>
  <c r="C92" i="13"/>
  <c r="A43" i="20"/>
  <c r="N68" i="13"/>
  <c r="M68" i="13"/>
  <c r="Z68" i="13" l="1"/>
  <c r="S69" i="13"/>
  <c r="AD68" i="13"/>
  <c r="G93" i="13"/>
  <c r="K68" i="13"/>
  <c r="B93" i="13"/>
  <c r="C93" i="13"/>
  <c r="A44" i="20"/>
  <c r="L68" i="13"/>
  <c r="X68" i="13"/>
  <c r="M69" i="13"/>
  <c r="N69" i="13"/>
  <c r="Z69" i="13" l="1"/>
  <c r="S70" i="13"/>
  <c r="AD69" i="13"/>
  <c r="G94" i="13"/>
  <c r="K69" i="13"/>
  <c r="L69" i="13"/>
  <c r="C94" i="13"/>
  <c r="B94" i="13"/>
  <c r="A45" i="20"/>
  <c r="X69" i="13"/>
  <c r="M70" i="13"/>
  <c r="N70" i="13"/>
  <c r="Z70" i="13" l="1"/>
  <c r="S71" i="13"/>
  <c r="AD70" i="13"/>
  <c r="G95" i="13"/>
  <c r="K70" i="13"/>
  <c r="A46" i="20"/>
  <c r="C95" i="13"/>
  <c r="B95" i="13"/>
  <c r="X70" i="13"/>
  <c r="L70" i="13"/>
  <c r="M71" i="13"/>
  <c r="N71" i="13"/>
  <c r="Z71" i="13" l="1"/>
  <c r="S72" i="13"/>
  <c r="AD71" i="13"/>
  <c r="G96" i="13"/>
  <c r="L71" i="13"/>
  <c r="K71" i="13"/>
  <c r="C96" i="13"/>
  <c r="B96" i="13"/>
  <c r="A47" i="20"/>
  <c r="X71" i="13"/>
  <c r="N72" i="13"/>
  <c r="M72" i="13"/>
  <c r="Z72" i="13" l="1"/>
  <c r="S73" i="13"/>
  <c r="AD72" i="13"/>
  <c r="G97" i="13"/>
  <c r="K72" i="13"/>
  <c r="L72" i="13"/>
  <c r="C97" i="13"/>
  <c r="B97" i="13"/>
  <c r="A48" i="20"/>
  <c r="X72" i="13"/>
  <c r="M73" i="13"/>
  <c r="N73" i="13"/>
  <c r="Z73" i="13" l="1"/>
  <c r="S74" i="13"/>
  <c r="AD73" i="13"/>
  <c r="G98" i="13"/>
  <c r="L73" i="13"/>
  <c r="K73" i="13"/>
  <c r="C98" i="13"/>
  <c r="B98" i="13"/>
  <c r="A49" i="20"/>
  <c r="X73" i="13"/>
  <c r="M74" i="13"/>
  <c r="N74" i="13"/>
  <c r="Z74" i="13" l="1"/>
  <c r="S75" i="13"/>
  <c r="AD74" i="13"/>
  <c r="G99" i="13"/>
  <c r="K74" i="13"/>
  <c r="B99" i="13"/>
  <c r="A50" i="20"/>
  <c r="C99" i="13"/>
  <c r="X74" i="13"/>
  <c r="L74" i="13"/>
  <c r="M75" i="13"/>
  <c r="N75" i="13"/>
  <c r="Z75" i="13" l="1"/>
  <c r="S76" i="13"/>
  <c r="AD75" i="13"/>
  <c r="G100" i="13"/>
  <c r="L75" i="13"/>
  <c r="K75" i="13"/>
  <c r="B100" i="13"/>
  <c r="A51" i="20"/>
  <c r="C100" i="13"/>
  <c r="X75" i="13"/>
  <c r="M76" i="13"/>
  <c r="N76" i="13"/>
  <c r="Z76" i="13" l="1"/>
  <c r="S77" i="13"/>
  <c r="AD76" i="13"/>
  <c r="G101" i="13"/>
  <c r="K76" i="13"/>
  <c r="B101" i="13"/>
  <c r="A52" i="20"/>
  <c r="C101" i="13"/>
  <c r="X76" i="13"/>
  <c r="L76" i="13"/>
  <c r="N77" i="13"/>
  <c r="M77" i="13"/>
  <c r="Z77" i="13" l="1"/>
  <c r="S78" i="13"/>
  <c r="AD77" i="13"/>
  <c r="G102" i="13"/>
  <c r="K77" i="13"/>
  <c r="L77" i="13"/>
  <c r="A53" i="20"/>
  <c r="C102" i="13"/>
  <c r="B102" i="13"/>
  <c r="X77" i="13"/>
  <c r="M78" i="13"/>
  <c r="N78" i="13"/>
  <c r="Z78" i="13" l="1"/>
  <c r="S79" i="13"/>
  <c r="AD78" i="13"/>
  <c r="G103" i="13"/>
  <c r="K78" i="13"/>
  <c r="B103" i="13"/>
  <c r="A54" i="20"/>
  <c r="C103" i="13"/>
  <c r="X78" i="13"/>
  <c r="L78" i="13"/>
  <c r="M79" i="13"/>
  <c r="N79" i="13"/>
  <c r="Z79" i="13" l="1"/>
  <c r="S80" i="13"/>
  <c r="AD79" i="13"/>
  <c r="G104" i="13"/>
  <c r="L79" i="13"/>
  <c r="K79" i="13"/>
  <c r="A55" i="20"/>
  <c r="C104" i="13"/>
  <c r="B104" i="13"/>
  <c r="X79" i="13"/>
  <c r="M80" i="13"/>
  <c r="N80" i="13"/>
  <c r="Z80" i="13" l="1"/>
  <c r="S81" i="13"/>
  <c r="AD80" i="13"/>
  <c r="G105" i="13"/>
  <c r="L80" i="13"/>
  <c r="B105" i="13"/>
  <c r="A56" i="20"/>
  <c r="C105" i="13"/>
  <c r="X80" i="13"/>
  <c r="K80" i="13"/>
  <c r="N81" i="13"/>
  <c r="M81" i="13"/>
  <c r="Z81" i="13" l="1"/>
  <c r="S82" i="13"/>
  <c r="AD81" i="13"/>
  <c r="G106" i="13"/>
  <c r="K81" i="13"/>
  <c r="C106" i="13"/>
  <c r="B106" i="13"/>
  <c r="A57" i="20"/>
  <c r="L81" i="13"/>
  <c r="X81" i="13"/>
  <c r="M82" i="13"/>
  <c r="N82" i="13"/>
  <c r="Z82" i="13" l="1"/>
  <c r="S83" i="13"/>
  <c r="AD82" i="13"/>
  <c r="G107" i="13"/>
  <c r="K82" i="13"/>
  <c r="C107" i="13"/>
  <c r="A58" i="20"/>
  <c r="B107" i="13"/>
  <c r="X82" i="13"/>
  <c r="L82" i="13"/>
  <c r="M83" i="13"/>
  <c r="N83" i="13"/>
  <c r="Z83" i="13" l="1"/>
  <c r="S84" i="13"/>
  <c r="AD83" i="13"/>
  <c r="G108" i="13"/>
  <c r="L83" i="13"/>
  <c r="K83" i="13"/>
  <c r="B108" i="13"/>
  <c r="C108" i="13"/>
  <c r="A59" i="20"/>
  <c r="X83" i="13"/>
  <c r="M84" i="13"/>
  <c r="N84" i="13"/>
  <c r="Z84" i="13" l="1"/>
  <c r="S85" i="13"/>
  <c r="AD84" i="13"/>
  <c r="G109" i="13"/>
  <c r="K84" i="13"/>
  <c r="L84" i="13"/>
  <c r="A60" i="20"/>
  <c r="C109" i="13"/>
  <c r="B109" i="13"/>
  <c r="X84" i="13"/>
  <c r="M85" i="13"/>
  <c r="N85" i="13"/>
  <c r="Z85" i="13" l="1"/>
  <c r="S86" i="13"/>
  <c r="AD85" i="13"/>
  <c r="G110" i="13"/>
  <c r="K85" i="13"/>
  <c r="L85" i="13"/>
  <c r="A61" i="20"/>
  <c r="B110" i="13"/>
  <c r="C110" i="13"/>
  <c r="X85" i="13"/>
  <c r="M86" i="13"/>
  <c r="N86" i="13"/>
  <c r="Z86" i="13" l="1"/>
  <c r="S87" i="13"/>
  <c r="AD86" i="13"/>
  <c r="G111" i="13"/>
  <c r="K86" i="13"/>
  <c r="B22" i="16"/>
  <c r="B21" i="16"/>
  <c r="B23" i="16"/>
  <c r="B24" i="16"/>
  <c r="B111" i="13"/>
  <c r="C111" i="13"/>
  <c r="X86" i="13"/>
  <c r="L86" i="13"/>
  <c r="N87" i="13"/>
  <c r="M87" i="13"/>
  <c r="Z87" i="13" l="1"/>
  <c r="S88" i="13"/>
  <c r="AD87" i="13"/>
  <c r="K87" i="13"/>
  <c r="D2" i="16" a="1"/>
  <c r="L87" i="13"/>
  <c r="X87" i="13"/>
  <c r="M88" i="13"/>
  <c r="N88" i="13"/>
  <c r="Z88" i="13" l="1"/>
  <c r="S89" i="13"/>
  <c r="AD88" i="13"/>
  <c r="D5" i="16"/>
  <c r="C5" i="16" s="1"/>
  <c r="D4" i="16"/>
  <c r="C4" i="16" s="1"/>
  <c r="D6" i="16"/>
  <c r="C6" i="16" s="1"/>
  <c r="D8" i="16"/>
  <c r="C8" i="16" s="1"/>
  <c r="D3" i="16"/>
  <c r="C3" i="16" s="1"/>
  <c r="D7" i="16"/>
  <c r="C7" i="16" s="1"/>
  <c r="D9" i="16"/>
  <c r="C9" i="16" s="1"/>
  <c r="D10" i="16"/>
  <c r="C10" i="16" s="1"/>
  <c r="D2" i="16"/>
  <c r="C2" i="16"/>
  <c r="L88" i="13"/>
  <c r="K88" i="13"/>
  <c r="F2" i="16" a="1"/>
  <c r="X88" i="13"/>
  <c r="M89" i="13"/>
  <c r="N89" i="13"/>
  <c r="Z89" i="13" l="1"/>
  <c r="S90" i="13"/>
  <c r="AD89" i="13"/>
  <c r="F4" i="16"/>
  <c r="F9" i="16"/>
  <c r="F3" i="16"/>
  <c r="F6" i="16"/>
  <c r="F8" i="16"/>
  <c r="F5" i="16"/>
  <c r="F2" i="16"/>
  <c r="F10" i="16"/>
  <c r="F7" i="16"/>
  <c r="K89" i="13"/>
  <c r="L89" i="13"/>
  <c r="F20" i="16" a="1"/>
  <c r="E9" i="17" a="1"/>
  <c r="F29" i="16" a="1"/>
  <c r="F11" i="16" a="1"/>
  <c r="E2" i="17" a="1"/>
  <c r="F9" i="17" a="1"/>
  <c r="F2" i="17" a="1"/>
  <c r="E2" i="16" a="1"/>
  <c r="E29" i="16" a="1"/>
  <c r="E20" i="16" a="1"/>
  <c r="B72" i="16"/>
  <c r="E11" i="16" a="1"/>
  <c r="X89" i="13"/>
  <c r="M90" i="13"/>
  <c r="N90" i="13"/>
  <c r="Z90" i="13" l="1"/>
  <c r="S91" i="13"/>
  <c r="AD90" i="13"/>
  <c r="F12" i="17"/>
  <c r="F10" i="17"/>
  <c r="F15" i="17"/>
  <c r="F11" i="17"/>
  <c r="F14" i="17"/>
  <c r="F13" i="17"/>
  <c r="F9" i="17"/>
  <c r="F21" i="16"/>
  <c r="F26" i="16"/>
  <c r="F27" i="16"/>
  <c r="F20" i="16"/>
  <c r="F23" i="16"/>
  <c r="F28" i="16"/>
  <c r="F25" i="16"/>
  <c r="F22" i="16"/>
  <c r="F24" i="16"/>
  <c r="E33" i="16"/>
  <c r="E34" i="16"/>
  <c r="E30" i="16"/>
  <c r="E32" i="16"/>
  <c r="E37" i="16"/>
  <c r="E36" i="16"/>
  <c r="E35" i="16"/>
  <c r="E31" i="16"/>
  <c r="E29" i="16"/>
  <c r="E8" i="17"/>
  <c r="E2" i="17"/>
  <c r="E7" i="17"/>
  <c r="E3" i="17"/>
  <c r="E5" i="17"/>
  <c r="E6" i="17"/>
  <c r="E4" i="17"/>
  <c r="E13" i="17"/>
  <c r="E9" i="17"/>
  <c r="E14" i="17"/>
  <c r="E12" i="17"/>
  <c r="E15" i="17"/>
  <c r="E11" i="17"/>
  <c r="E10" i="17"/>
  <c r="E28" i="16"/>
  <c r="E25" i="16"/>
  <c r="E22" i="16"/>
  <c r="E21" i="16"/>
  <c r="E24" i="16"/>
  <c r="E20" i="16"/>
  <c r="E27" i="16"/>
  <c r="E23" i="16"/>
  <c r="E26" i="16"/>
  <c r="F13" i="16"/>
  <c r="F11" i="16"/>
  <c r="F15" i="16"/>
  <c r="F18" i="16"/>
  <c r="F14" i="16"/>
  <c r="F19" i="16"/>
  <c r="F12" i="16"/>
  <c r="F17" i="16"/>
  <c r="F16" i="16"/>
  <c r="C83" i="16"/>
  <c r="D64" i="16"/>
  <c r="F3" i="17"/>
  <c r="F7" i="17"/>
  <c r="F8" i="17"/>
  <c r="F2" i="17"/>
  <c r="F6" i="17"/>
  <c r="F5" i="17"/>
  <c r="F4" i="17"/>
  <c r="F30" i="16"/>
  <c r="F33" i="16"/>
  <c r="F29" i="16"/>
  <c r="F37" i="16"/>
  <c r="F34" i="16"/>
  <c r="F31" i="16"/>
  <c r="F36" i="16"/>
  <c r="F35" i="16"/>
  <c r="F32" i="16"/>
  <c r="E11" i="16"/>
  <c r="E18" i="16"/>
  <c r="E14" i="16"/>
  <c r="E19" i="16"/>
  <c r="E12" i="16"/>
  <c r="E16" i="16"/>
  <c r="E17" i="16"/>
  <c r="E13" i="16"/>
  <c r="E15" i="16"/>
  <c r="E5" i="16"/>
  <c r="E2" i="16"/>
  <c r="E10" i="16"/>
  <c r="E7" i="16"/>
  <c r="E8" i="16"/>
  <c r="E6" i="16"/>
  <c r="E4" i="16"/>
  <c r="E9" i="16"/>
  <c r="E3" i="16"/>
  <c r="K90" i="13"/>
  <c r="B64" i="16"/>
  <c r="X90" i="13"/>
  <c r="L90" i="13"/>
  <c r="M91" i="13"/>
  <c r="N91" i="13"/>
  <c r="Z91" i="13" l="1"/>
  <c r="S92" i="13"/>
  <c r="AD91" i="13"/>
  <c r="B83" i="16"/>
  <c r="K91" i="13"/>
  <c r="L91" i="13"/>
  <c r="X91" i="13"/>
  <c r="M92" i="13"/>
  <c r="N92" i="13"/>
  <c r="Z92" i="13" l="1"/>
  <c r="S93" i="13"/>
  <c r="AD92" i="13"/>
  <c r="G52" i="13"/>
  <c r="K92" i="13"/>
  <c r="B55" i="17"/>
  <c r="C24" i="22"/>
  <c r="C55" i="17"/>
  <c r="D72" i="16"/>
  <c r="C72" i="16"/>
  <c r="E72" i="16"/>
  <c r="B24" i="22"/>
  <c r="E2" i="22" a="1"/>
  <c r="B52" i="13"/>
  <c r="A8" i="20"/>
  <c r="A9" i="20"/>
  <c r="A4" i="20"/>
  <c r="A7" i="20"/>
  <c r="A3" i="20"/>
  <c r="A10" i="20"/>
  <c r="A12" i="20"/>
  <c r="A11" i="20"/>
  <c r="A13" i="20"/>
  <c r="A15" i="20"/>
  <c r="A16" i="20"/>
  <c r="A6" i="20"/>
  <c r="A14" i="20"/>
  <c r="A17" i="20"/>
  <c r="A5" i="20"/>
  <c r="X92" i="13"/>
  <c r="M52" i="13"/>
  <c r="L92" i="13"/>
  <c r="M93" i="13"/>
  <c r="N93" i="13"/>
  <c r="K52" i="13"/>
  <c r="Z93" i="13" l="1"/>
  <c r="S94" i="13"/>
  <c r="AD93" i="13"/>
  <c r="E25" i="22"/>
  <c r="D25" i="22" s="1"/>
  <c r="E26" i="22"/>
  <c r="D26" i="22" s="1"/>
  <c r="E4" i="22"/>
  <c r="D4" i="22" s="1"/>
  <c r="E8" i="22"/>
  <c r="D8" i="22" s="1"/>
  <c r="E28" i="22"/>
  <c r="D28" i="22" s="1"/>
  <c r="E24" i="22"/>
  <c r="D24" i="22" s="1"/>
  <c r="E31" i="22"/>
  <c r="D31" i="22" s="1"/>
  <c r="E3" i="22"/>
  <c r="D3" i="22" s="1"/>
  <c r="E10" i="22"/>
  <c r="D10" i="22" s="1"/>
  <c r="E29" i="22"/>
  <c r="D29" i="22" s="1"/>
  <c r="E30" i="22"/>
  <c r="D30" i="22" s="1"/>
  <c r="E2" i="22"/>
  <c r="D2" i="22" s="1"/>
  <c r="E9" i="22"/>
  <c r="D9" i="22" s="1"/>
  <c r="E16" i="22"/>
  <c r="D16" i="22" s="1"/>
  <c r="E27" i="22"/>
  <c r="D27" i="22" s="1"/>
  <c r="E15" i="22"/>
  <c r="D15" i="22" s="1"/>
  <c r="E14" i="22"/>
  <c r="D14" i="22" s="1"/>
  <c r="E20" i="22"/>
  <c r="D20" i="22" s="1"/>
  <c r="E18" i="22"/>
  <c r="D18" i="22" s="1"/>
  <c r="E19" i="22"/>
  <c r="D19" i="22" s="1"/>
  <c r="E7" i="22"/>
  <c r="D7" i="22" s="1"/>
  <c r="E21" i="22"/>
  <c r="D21" i="22" s="1"/>
  <c r="E5" i="22"/>
  <c r="D5" i="22" s="1"/>
  <c r="E11" i="22"/>
  <c r="D11" i="22" s="1"/>
  <c r="E6" i="22"/>
  <c r="D6" i="22" s="1"/>
  <c r="E22" i="22"/>
  <c r="D22" i="22" s="1"/>
  <c r="E12" i="22"/>
  <c r="D12" i="22" s="1"/>
  <c r="E17" i="22"/>
  <c r="D17" i="22" s="1"/>
  <c r="E13" i="22"/>
  <c r="D13" i="22" s="1"/>
  <c r="E23" i="22"/>
  <c r="D23" i="22" s="1"/>
  <c r="C86" i="16"/>
  <c r="D61" i="16"/>
  <c r="D63" i="16"/>
  <c r="C84" i="16"/>
  <c r="D62" i="16"/>
  <c r="C85" i="16"/>
  <c r="D44" i="17"/>
  <c r="D45" i="17"/>
  <c r="B56" i="22"/>
  <c r="A42" i="22"/>
  <c r="G66" i="13"/>
  <c r="G65" i="13"/>
  <c r="G62" i="13"/>
  <c r="G59" i="13"/>
  <c r="G57" i="13"/>
  <c r="G56" i="13"/>
  <c r="G54" i="13"/>
  <c r="G63" i="13"/>
  <c r="G60" i="13"/>
  <c r="G58" i="13"/>
  <c r="G55" i="13"/>
  <c r="G67" i="13"/>
  <c r="G64" i="13"/>
  <c r="G61" i="13"/>
  <c r="G53" i="13"/>
  <c r="K93" i="13"/>
  <c r="L93" i="13"/>
  <c r="F2" i="22" a="1"/>
  <c r="B44" i="17"/>
  <c r="G2" i="22" a="1"/>
  <c r="B45" i="17"/>
  <c r="B63" i="16"/>
  <c r="B61" i="16"/>
  <c r="B62" i="16"/>
  <c r="B52" i="22"/>
  <c r="C54" i="22" s="1"/>
  <c r="B66" i="13"/>
  <c r="B64" i="13"/>
  <c r="B53" i="13"/>
  <c r="B61" i="13"/>
  <c r="B62" i="13"/>
  <c r="B58" i="13"/>
  <c r="B54" i="13"/>
  <c r="B59" i="13"/>
  <c r="B56" i="13"/>
  <c r="B65" i="13"/>
  <c r="B60" i="13"/>
  <c r="B55" i="13"/>
  <c r="B57" i="13"/>
  <c r="B67" i="13"/>
  <c r="B63" i="13"/>
  <c r="X93" i="13"/>
  <c r="L52" i="13"/>
  <c r="M62" i="13"/>
  <c r="N94" i="13"/>
  <c r="M94" i="13"/>
  <c r="M66" i="13"/>
  <c r="M59" i="13"/>
  <c r="K59" i="13" s="1"/>
  <c r="M61" i="13"/>
  <c r="M53" i="13"/>
  <c r="L59" i="13"/>
  <c r="M65" i="13"/>
  <c r="M63" i="13"/>
  <c r="K62" i="13"/>
  <c r="L53" i="13"/>
  <c r="M54" i="13"/>
  <c r="M64" i="13"/>
  <c r="K64" i="13" s="1"/>
  <c r="M60" i="13"/>
  <c r="L61" i="13"/>
  <c r="L62" i="13"/>
  <c r="K53" i="13"/>
  <c r="L54" i="13"/>
  <c r="M67" i="13"/>
  <c r="L60" i="13"/>
  <c r="K61" i="13"/>
  <c r="M58" i="13"/>
  <c r="K58" i="13" s="1"/>
  <c r="M56" i="13"/>
  <c r="L65" i="13"/>
  <c r="K63" i="13"/>
  <c r="K56" i="13"/>
  <c r="K54" i="13"/>
  <c r="L64" i="13"/>
  <c r="K60" i="13"/>
  <c r="M57" i="13"/>
  <c r="L58" i="13"/>
  <c r="M55" i="13"/>
  <c r="K65" i="13"/>
  <c r="L63" i="13"/>
  <c r="L56" i="13"/>
  <c r="K67" i="13"/>
  <c r="L67" i="13"/>
  <c r="L57" i="13"/>
  <c r="K57" i="13"/>
  <c r="K55" i="13"/>
  <c r="L55" i="13"/>
  <c r="Z94" i="13" l="1"/>
  <c r="S95" i="13"/>
  <c r="AD94" i="13"/>
  <c r="B85" i="16"/>
  <c r="G15" i="22"/>
  <c r="G28" i="22"/>
  <c r="G7" i="22"/>
  <c r="G14" i="22"/>
  <c r="G12" i="22"/>
  <c r="G30" i="22"/>
  <c r="G23" i="22"/>
  <c r="G22" i="22"/>
  <c r="G21" i="22"/>
  <c r="G19" i="22"/>
  <c r="G24" i="22"/>
  <c r="G17" i="22"/>
  <c r="G11" i="22"/>
  <c r="G20" i="22"/>
  <c r="G2" i="22"/>
  <c r="G25" i="22"/>
  <c r="G18" i="22"/>
  <c r="G27" i="22"/>
  <c r="G9" i="22"/>
  <c r="G31" i="22"/>
  <c r="G6" i="22"/>
  <c r="G3" i="22"/>
  <c r="G5" i="22"/>
  <c r="G4" i="22"/>
  <c r="G8" i="22"/>
  <c r="G26" i="22"/>
  <c r="G29" i="22"/>
  <c r="G13" i="22"/>
  <c r="G16" i="22"/>
  <c r="G10" i="22"/>
  <c r="F5" i="22"/>
  <c r="F15" i="22"/>
  <c r="F10" i="22"/>
  <c r="F26" i="22"/>
  <c r="F13" i="22"/>
  <c r="F22" i="22"/>
  <c r="F23" i="22"/>
  <c r="F4" i="22"/>
  <c r="F14" i="22"/>
  <c r="F9" i="22"/>
  <c r="F2" i="22"/>
  <c r="F30" i="22"/>
  <c r="F7" i="22"/>
  <c r="F21" i="22"/>
  <c r="F12" i="22"/>
  <c r="F31" i="22"/>
  <c r="F24" i="22"/>
  <c r="F17" i="22"/>
  <c r="F28" i="22"/>
  <c r="F19" i="22"/>
  <c r="F18" i="22"/>
  <c r="F16" i="22"/>
  <c r="F29" i="22"/>
  <c r="F3" i="22"/>
  <c r="F11" i="22"/>
  <c r="F27" i="22"/>
  <c r="F25" i="22"/>
  <c r="F20" i="22"/>
  <c r="F6" i="22"/>
  <c r="F8" i="22"/>
  <c r="B84" i="16"/>
  <c r="B66" i="17"/>
  <c r="B86" i="16"/>
  <c r="B67" i="17"/>
  <c r="O3" i="13"/>
  <c r="O54" i="13"/>
  <c r="O64" i="13"/>
  <c r="O61" i="13"/>
  <c r="C66" i="17"/>
  <c r="C67" i="17"/>
  <c r="O65" i="13"/>
  <c r="O5" i="13"/>
  <c r="O56" i="13"/>
  <c r="O4" i="13"/>
  <c r="O52" i="13"/>
  <c r="O66" i="13"/>
  <c r="O57" i="13"/>
  <c r="O60" i="13"/>
  <c r="O63" i="13"/>
  <c r="O58" i="13"/>
  <c r="O67" i="13"/>
  <c r="O62" i="13"/>
  <c r="O59" i="13"/>
  <c r="O53" i="13"/>
  <c r="O55" i="13"/>
  <c r="K94" i="13"/>
  <c r="L94" i="13"/>
  <c r="B51" i="22"/>
  <c r="K66" i="13"/>
  <c r="N64" i="13"/>
  <c r="N54" i="13"/>
  <c r="N5" i="13"/>
  <c r="N67" i="13"/>
  <c r="X94" i="13"/>
  <c r="N56" i="13"/>
  <c r="N60" i="13"/>
  <c r="N52" i="13"/>
  <c r="N53" i="13"/>
  <c r="M95" i="13"/>
  <c r="N95" i="13"/>
  <c r="N63" i="13"/>
  <c r="N61" i="13"/>
  <c r="L66" i="13"/>
  <c r="N55" i="13"/>
  <c r="N4" i="13"/>
  <c r="N66" i="13"/>
  <c r="N59" i="13"/>
  <c r="N62" i="13"/>
  <c r="N58" i="13"/>
  <c r="N3" i="13"/>
  <c r="N65" i="13"/>
  <c r="N57" i="13"/>
  <c r="N1" i="13"/>
  <c r="B51" i="13"/>
  <c r="Z95" i="13" l="1"/>
  <c r="S96" i="13"/>
  <c r="AD95" i="13"/>
  <c r="Z53" i="13"/>
  <c r="Z5" i="13"/>
  <c r="Z59" i="13"/>
  <c r="Z3" i="13"/>
  <c r="Z66" i="13"/>
  <c r="Z67" i="13"/>
  <c r="Z52" i="13"/>
  <c r="Z57" i="13"/>
  <c r="Z58" i="13"/>
  <c r="Z4" i="13"/>
  <c r="Z61" i="13"/>
  <c r="Z60" i="13"/>
  <c r="Z54" i="13"/>
  <c r="Z65" i="13"/>
  <c r="Z62" i="13"/>
  <c r="Z55" i="13"/>
  <c r="Z63" i="13"/>
  <c r="Z56" i="13"/>
  <c r="Z64" i="13"/>
  <c r="Y53" i="13"/>
  <c r="Y5" i="13"/>
  <c r="Y59" i="13"/>
  <c r="Y3" i="13"/>
  <c r="Y66" i="13"/>
  <c r="Y67" i="13"/>
  <c r="Y52" i="13"/>
  <c r="O6" i="13"/>
  <c r="O7" i="13"/>
  <c r="F65" i="13"/>
  <c r="F5" i="13"/>
  <c r="Y57" i="13"/>
  <c r="F62" i="13"/>
  <c r="F63" i="13"/>
  <c r="F58" i="13"/>
  <c r="F66" i="13"/>
  <c r="F59" i="13"/>
  <c r="F53" i="13"/>
  <c r="F55" i="13"/>
  <c r="F4" i="13"/>
  <c r="F60" i="13"/>
  <c r="F52" i="13"/>
  <c r="F56" i="13"/>
  <c r="F57" i="13"/>
  <c r="F67" i="13"/>
  <c r="Y58" i="13"/>
  <c r="Y4" i="13"/>
  <c r="Y61" i="13"/>
  <c r="F7" i="13"/>
  <c r="F6" i="13"/>
  <c r="Y60" i="13"/>
  <c r="Y54" i="13"/>
  <c r="Y65" i="13"/>
  <c r="Y62" i="13"/>
  <c r="Y55" i="13"/>
  <c r="Y63" i="13"/>
  <c r="Y56" i="13"/>
  <c r="Y64" i="13"/>
  <c r="F54" i="13"/>
  <c r="F64" i="13"/>
  <c r="F3" i="13"/>
  <c r="F61" i="13"/>
  <c r="K95" i="13"/>
  <c r="L95" i="13"/>
  <c r="C5" i="13"/>
  <c r="C7" i="13"/>
  <c r="C3" i="13"/>
  <c r="C6" i="13"/>
  <c r="C4" i="13"/>
  <c r="C67" i="13"/>
  <c r="C65" i="13"/>
  <c r="C56" i="13"/>
  <c r="C61" i="13"/>
  <c r="C66" i="13"/>
  <c r="C64" i="13"/>
  <c r="C57" i="13"/>
  <c r="C59" i="13"/>
  <c r="C63" i="13"/>
  <c r="C58" i="13"/>
  <c r="C60" i="13"/>
  <c r="C52" i="13"/>
  <c r="C62" i="13"/>
  <c r="C54" i="13"/>
  <c r="C53" i="13"/>
  <c r="C55" i="13"/>
  <c r="X95" i="13"/>
  <c r="N6" i="13"/>
  <c r="X59" i="13"/>
  <c r="X62" i="13"/>
  <c r="N96" i="13"/>
  <c r="M96" i="13"/>
  <c r="N7" i="13"/>
  <c r="X3" i="13"/>
  <c r="X55" i="13"/>
  <c r="X66" i="13"/>
  <c r="X63" i="13"/>
  <c r="X60" i="13"/>
  <c r="X58" i="13"/>
  <c r="X67" i="13"/>
  <c r="X53" i="13"/>
  <c r="X56" i="13"/>
  <c r="X54" i="13"/>
  <c r="X4" i="13"/>
  <c r="X57" i="13"/>
  <c r="X52" i="13"/>
  <c r="X5" i="13"/>
  <c r="X64" i="13"/>
  <c r="X65" i="13"/>
  <c r="X61" i="13"/>
  <c r="Z96" i="13" l="1"/>
  <c r="S97" i="13"/>
  <c r="AD96" i="13"/>
  <c r="Z7" i="13"/>
  <c r="Z6" i="13"/>
  <c r="Y7" i="13"/>
  <c r="Y6" i="13"/>
  <c r="K96" i="13"/>
  <c r="X7" i="13"/>
  <c r="M97" i="13"/>
  <c r="N97" i="13"/>
  <c r="L96" i="13"/>
  <c r="X96" i="13"/>
  <c r="X6" i="13"/>
  <c r="Z97" i="13" l="1"/>
  <c r="S98" i="13"/>
  <c r="AD97" i="13"/>
  <c r="K97" i="13"/>
  <c r="L97" i="13"/>
  <c r="X97" i="13"/>
  <c r="M98" i="13"/>
  <c r="N98" i="13"/>
  <c r="Z98" i="13" l="1"/>
  <c r="S99" i="13"/>
  <c r="AD98" i="13"/>
  <c r="L98" i="13"/>
  <c r="K98" i="13"/>
  <c r="X98" i="13"/>
  <c r="M99" i="13"/>
  <c r="N99" i="13"/>
  <c r="Z99" i="13" l="1"/>
  <c r="S100" i="13"/>
  <c r="AD99" i="13"/>
  <c r="L99" i="13"/>
  <c r="K99" i="13"/>
  <c r="X99" i="13"/>
  <c r="M100" i="13"/>
  <c r="N100" i="13"/>
  <c r="Z100" i="13" l="1"/>
  <c r="S101" i="13"/>
  <c r="AD100" i="13"/>
  <c r="K100" i="13"/>
  <c r="L100" i="13"/>
  <c r="M101" i="13"/>
  <c r="N101" i="13"/>
  <c r="X100" i="13"/>
  <c r="Z101" i="13" l="1"/>
  <c r="S102" i="13"/>
  <c r="AD101" i="13"/>
  <c r="L101" i="13"/>
  <c r="K101" i="13"/>
  <c r="N102" i="13"/>
  <c r="M102" i="13"/>
  <c r="X101" i="13"/>
  <c r="Z102" i="13" l="1"/>
  <c r="S103" i="13"/>
  <c r="AD102" i="13"/>
  <c r="K102" i="13"/>
  <c r="X102" i="13"/>
  <c r="N103" i="13"/>
  <c r="M103" i="13"/>
  <c r="L102" i="13"/>
  <c r="Z103" i="13" l="1"/>
  <c r="S104" i="13"/>
  <c r="AD103" i="13"/>
  <c r="K103" i="13"/>
  <c r="L103" i="13"/>
  <c r="M104" i="13"/>
  <c r="N104" i="13"/>
  <c r="X103" i="13"/>
  <c r="Z104" i="13" l="1"/>
  <c r="S105" i="13"/>
  <c r="AD104" i="13"/>
  <c r="L104" i="13"/>
  <c r="K104" i="13"/>
  <c r="X104" i="13"/>
  <c r="M105" i="13"/>
  <c r="N105" i="13"/>
  <c r="Z105" i="13" l="1"/>
  <c r="S106" i="13"/>
  <c r="AD105" i="13"/>
  <c r="L105" i="13"/>
  <c r="K105" i="13"/>
  <c r="X105" i="13"/>
  <c r="M106" i="13"/>
  <c r="N106" i="13"/>
  <c r="Z106" i="13" l="1"/>
  <c r="S107" i="13"/>
  <c r="AD106" i="13"/>
  <c r="K106" i="13"/>
  <c r="L106" i="13"/>
  <c r="X106" i="13"/>
  <c r="N107" i="13"/>
  <c r="M107" i="13"/>
  <c r="Z107" i="13" l="1"/>
  <c r="S108" i="13"/>
  <c r="AD107" i="13"/>
  <c r="K107" i="13"/>
  <c r="L107" i="13"/>
  <c r="X107" i="13"/>
  <c r="N108" i="13"/>
  <c r="M108" i="13"/>
  <c r="Z108" i="13" l="1"/>
  <c r="S109" i="13"/>
  <c r="AD108" i="13"/>
  <c r="L108" i="13"/>
  <c r="K108" i="13"/>
  <c r="X108" i="13"/>
  <c r="N109" i="13"/>
  <c r="M109" i="13"/>
  <c r="Z109" i="13" l="1"/>
  <c r="S110" i="13"/>
  <c r="AD109" i="13"/>
  <c r="L109" i="13"/>
  <c r="K109" i="13"/>
  <c r="X109" i="13"/>
  <c r="N110" i="13"/>
  <c r="M110" i="13"/>
  <c r="Z110" i="13" l="1"/>
  <c r="S111" i="13"/>
  <c r="AD110" i="13"/>
  <c r="K110" i="13"/>
  <c r="L110" i="13"/>
  <c r="X110" i="13"/>
  <c r="M111" i="13"/>
  <c r="N111" i="13"/>
  <c r="Z111" i="13" l="1"/>
  <c r="AD111" i="13"/>
  <c r="K111" i="13"/>
  <c r="X111" i="13"/>
  <c r="L111" i="13"/>
</calcChain>
</file>

<file path=xl/sharedStrings.xml><?xml version="1.0" encoding="utf-8"?>
<sst xmlns="http://schemas.openxmlformats.org/spreadsheetml/2006/main" count="3077" uniqueCount="495">
  <si>
    <t>1M</t>
  </si>
  <si>
    <t>3M</t>
  </si>
  <si>
    <t>1Y</t>
  </si>
  <si>
    <t>2Y</t>
  </si>
  <si>
    <t>3Y</t>
  </si>
  <si>
    <t>5Y</t>
  </si>
  <si>
    <t>7Y</t>
  </si>
  <si>
    <t>10Y</t>
  </si>
  <si>
    <t>Evaluation Date</t>
    <phoneticPr fontId="3" type="noConversion"/>
  </si>
  <si>
    <t>SetEvaluationDate</t>
    <phoneticPr fontId="3" type="noConversion"/>
  </si>
  <si>
    <t>ObjectId</t>
    <phoneticPr fontId="3" type="noConversion"/>
  </si>
  <si>
    <t>Currency</t>
    <phoneticPr fontId="3" type="noConversion"/>
  </si>
  <si>
    <t>Tenor</t>
    <phoneticPr fontId="3" type="noConversion"/>
  </si>
  <si>
    <t>Permanent</t>
    <phoneticPr fontId="3" type="noConversion"/>
  </si>
  <si>
    <t>Trigger</t>
    <phoneticPr fontId="3" type="noConversion"/>
  </si>
  <si>
    <t>Overwrite</t>
    <phoneticPr fontId="3" type="noConversion"/>
  </si>
  <si>
    <t>Error</t>
    <phoneticPr fontId="3" type="noConversion"/>
  </si>
  <si>
    <t>Calendar</t>
    <phoneticPr fontId="3" type="noConversion"/>
  </si>
  <si>
    <t>DayCounter</t>
    <phoneticPr fontId="3" type="noConversion"/>
  </si>
  <si>
    <t>ObjectID</t>
    <phoneticPr fontId="3" type="noConversion"/>
  </si>
  <si>
    <t>Quote</t>
    <phoneticPr fontId="3" type="noConversion"/>
  </si>
  <si>
    <t>QutoeObj</t>
    <phoneticPr fontId="3" type="noConversion"/>
  </si>
  <si>
    <t>TickValue</t>
    <phoneticPr fontId="3" type="noConversion"/>
  </si>
  <si>
    <t>Rate</t>
    <phoneticPr fontId="3" type="noConversion"/>
  </si>
  <si>
    <t>FixingDays</t>
    <phoneticPr fontId="3" type="noConversion"/>
  </si>
  <si>
    <t>Convention</t>
    <phoneticPr fontId="3" type="noConversion"/>
  </si>
  <si>
    <t>EndOfMonth</t>
    <phoneticPr fontId="3" type="noConversion"/>
  </si>
  <si>
    <t>TAIBOR</t>
    <phoneticPr fontId="2" type="noConversion"/>
  </si>
  <si>
    <t>FamilyName</t>
    <phoneticPr fontId="3" type="noConversion"/>
  </si>
  <si>
    <t>BDayConvention</t>
    <phoneticPr fontId="3" type="noConversion"/>
  </si>
  <si>
    <t>EndofMonth</t>
    <phoneticPr fontId="3" type="noConversion"/>
  </si>
  <si>
    <t>FwdCurve</t>
    <phoneticPr fontId="3" type="noConversion"/>
  </si>
  <si>
    <t>CPIndex</t>
    <phoneticPr fontId="3" type="noConversion"/>
  </si>
  <si>
    <t>3M</t>
    <phoneticPr fontId="3" type="noConversion"/>
  </si>
  <si>
    <t>MF</t>
    <phoneticPr fontId="3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</si>
  <si>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</si>
  <si>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</si>
  <si>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</si>
  <si>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</si>
  <si>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</si>
  <si>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</si>
  <si>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</si>
  <si>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</si>
  <si>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</si>
  <si>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</si>
  <si>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Permanent</t>
  </si>
  <si>
    <t>Trigger</t>
  </si>
  <si>
    <t>Overwrite</t>
  </si>
  <si>
    <t>qlPiecewiseYieldCurve</t>
    <phoneticPr fontId="3" type="noConversion"/>
  </si>
  <si>
    <t>Compounded</t>
  </si>
  <si>
    <t>YieldTSZeroRate</t>
    <phoneticPr fontId="3" type="noConversion"/>
  </si>
  <si>
    <t>Date</t>
    <phoneticPr fontId="3" type="noConversion"/>
  </si>
  <si>
    <t>Linear</t>
    <phoneticPr fontId="3" type="noConversion"/>
  </si>
  <si>
    <t>SettlDays</t>
    <phoneticPr fontId="3" type="noConversion"/>
  </si>
  <si>
    <t>FixedLegFrequency</t>
    <phoneticPr fontId="3" type="noConversion"/>
  </si>
  <si>
    <t>FixedLegConvention</t>
    <phoneticPr fontId="3" type="noConversion"/>
  </si>
  <si>
    <t>FixedLegDayCounter</t>
    <phoneticPr fontId="3" type="noConversion"/>
  </si>
  <si>
    <t>IborIndex</t>
    <phoneticPr fontId="3" type="noConversion"/>
  </si>
  <si>
    <t>Spread</t>
    <phoneticPr fontId="3" type="noConversion"/>
  </si>
  <si>
    <t>ForwardStart</t>
    <phoneticPr fontId="3" type="noConversion"/>
  </si>
  <si>
    <t>DiscountingCurve</t>
    <phoneticPr fontId="3" type="noConversion"/>
  </si>
  <si>
    <t>PillarDate</t>
    <phoneticPr fontId="3" type="noConversion"/>
  </si>
  <si>
    <t>CustomPillarDate</t>
    <phoneticPr fontId="3" type="noConversion"/>
  </si>
  <si>
    <t>0D</t>
  </si>
  <si>
    <t>Helper Obj</t>
    <phoneticPr fontId="3" type="noConversion"/>
  </si>
  <si>
    <t>zero rate</t>
    <phoneticPr fontId="3" type="noConversion"/>
  </si>
  <si>
    <t>Days</t>
    <phoneticPr fontId="3" type="noConversion"/>
  </si>
  <si>
    <t>DF</t>
    <phoneticPr fontId="2" type="noConversion"/>
  </si>
  <si>
    <t>Taiwan::TSEC</t>
  </si>
  <si>
    <t>6M</t>
  </si>
  <si>
    <t>SettingsEvaluationDate</t>
    <phoneticPr fontId="3" type="noConversion"/>
  </si>
  <si>
    <t>ZeroYield</t>
  </si>
  <si>
    <t>F</t>
  </si>
  <si>
    <t>SettleDate</t>
    <phoneticPr fontId="3" type="noConversion"/>
  </si>
  <si>
    <t>A/365F</t>
  </si>
  <si>
    <t>A/365F</t>
    <phoneticPr fontId="3" type="noConversion"/>
  </si>
  <si>
    <t>EffectiveDate</t>
    <phoneticPr fontId="3" type="noConversion"/>
  </si>
  <si>
    <t>TerminationDate</t>
    <phoneticPr fontId="3" type="noConversion"/>
  </si>
  <si>
    <t>TermDateConv</t>
    <phoneticPr fontId="3" type="noConversion"/>
  </si>
  <si>
    <t>GenRule</t>
    <phoneticPr fontId="3" type="noConversion"/>
  </si>
  <si>
    <t>FirstDate</t>
    <phoneticPr fontId="3" type="noConversion"/>
  </si>
  <si>
    <t>NextToLastDate</t>
    <phoneticPr fontId="3" type="noConversion"/>
  </si>
  <si>
    <t>Description</t>
    <phoneticPr fontId="3" type="noConversion"/>
  </si>
  <si>
    <t>SettlementDays</t>
    <phoneticPr fontId="3" type="noConversion"/>
  </si>
  <si>
    <t>FaceAmount</t>
    <phoneticPr fontId="3" type="noConversion"/>
  </si>
  <si>
    <t>ScheduleID</t>
    <phoneticPr fontId="3" type="noConversion"/>
  </si>
  <si>
    <t>Coupons</t>
    <phoneticPr fontId="3" type="noConversion"/>
  </si>
  <si>
    <t>PaymentBDC</t>
    <phoneticPr fontId="3" type="noConversion"/>
  </si>
  <si>
    <t>Redemption</t>
    <phoneticPr fontId="3" type="noConversion"/>
  </si>
  <si>
    <t>IssueDate</t>
    <phoneticPr fontId="3" type="noConversion"/>
  </si>
  <si>
    <t>PaymentCalendar</t>
    <phoneticPr fontId="3" type="noConversion"/>
  </si>
  <si>
    <t>Following</t>
  </si>
  <si>
    <t>YieldCurve</t>
    <phoneticPr fontId="3" type="noConversion"/>
  </si>
  <si>
    <t>SetPricingEngine</t>
    <phoneticPr fontId="3" type="noConversion"/>
  </si>
  <si>
    <t>Annual</t>
  </si>
  <si>
    <t>ZSpread</t>
    <phoneticPr fontId="3" type="noConversion"/>
  </si>
  <si>
    <t>Compounding</t>
    <phoneticPr fontId="3" type="noConversion"/>
  </si>
  <si>
    <t>Frequency</t>
    <phoneticPr fontId="3" type="noConversion"/>
  </si>
  <si>
    <t>SettlementDate</t>
    <phoneticPr fontId="3" type="noConversion"/>
  </si>
  <si>
    <t>Accuracy</t>
    <phoneticPr fontId="3" type="noConversion"/>
  </si>
  <si>
    <t>MaxIterations</t>
    <phoneticPr fontId="3" type="noConversion"/>
  </si>
  <si>
    <t>Guess</t>
    <phoneticPr fontId="3" type="noConversion"/>
  </si>
  <si>
    <t>Bond Object</t>
    <phoneticPr fontId="2" type="noConversion"/>
  </si>
  <si>
    <t>Schedule Obj</t>
    <phoneticPr fontId="2" type="noConversion"/>
  </si>
  <si>
    <t>ObjectID</t>
  </si>
  <si>
    <t>Annual</t>
    <phoneticPr fontId="2" type="noConversion"/>
  </si>
  <si>
    <t>Corp</t>
    <phoneticPr fontId="2" type="noConversion"/>
  </si>
  <si>
    <t>Corp Rate Help</t>
    <phoneticPr fontId="2" type="noConversion"/>
  </si>
  <si>
    <t>1Y</t>
    <phoneticPr fontId="2" type="noConversion"/>
  </si>
  <si>
    <t>4Y</t>
  </si>
  <si>
    <t>6Y</t>
  </si>
  <si>
    <t>8Y</t>
  </si>
  <si>
    <t>9Y</t>
  </si>
  <si>
    <t>MF</t>
  </si>
  <si>
    <t>Backward</t>
  </si>
  <si>
    <t>Pricing Eng Obj</t>
  </si>
  <si>
    <t>BondEngine</t>
  </si>
  <si>
    <t>YieldCurve</t>
  </si>
  <si>
    <t>Discount Curve</t>
  </si>
  <si>
    <t>RateDates</t>
  </si>
  <si>
    <t>CurveDiscounts</t>
  </si>
  <si>
    <t>Aa3(Moody's)</t>
  </si>
  <si>
    <t>AA</t>
    <phoneticPr fontId="2" type="noConversion"/>
  </si>
  <si>
    <t>A</t>
    <phoneticPr fontId="2" type="noConversion"/>
  </si>
  <si>
    <t>AAA</t>
    <phoneticPr fontId="2" type="noConversion"/>
  </si>
  <si>
    <t>BBB</t>
    <phoneticPr fontId="2" type="noConversion"/>
  </si>
  <si>
    <t>qlYieldTSDiscount</t>
  </si>
  <si>
    <t>Rating</t>
    <phoneticPr fontId="3" type="noConversion"/>
  </si>
  <si>
    <t>BondObj</t>
    <phoneticPr fontId="3" type="noConversion"/>
  </si>
  <si>
    <t>YieldCurve</t>
    <phoneticPr fontId="2" type="noConversion"/>
  </si>
  <si>
    <t>Calbr.Price</t>
    <phoneticPr fontId="3" type="noConversion"/>
  </si>
  <si>
    <t>Notional</t>
    <phoneticPr fontId="3" type="noConversion"/>
  </si>
  <si>
    <t>YieldfromClean</t>
    <phoneticPr fontId="3" type="noConversion"/>
  </si>
  <si>
    <t>DurationfromYield</t>
    <phoneticPr fontId="3" type="noConversion"/>
  </si>
  <si>
    <t>BpsfromYield</t>
    <phoneticPr fontId="3" type="noConversion"/>
  </si>
  <si>
    <t>Clean Price (THEO)</t>
    <phoneticPr fontId="3" type="noConversion"/>
  </si>
  <si>
    <t>Clean Price (Mkt)</t>
    <phoneticPr fontId="3" type="noConversion"/>
  </si>
  <si>
    <t>Market Value</t>
    <phoneticPr fontId="3" type="noConversion"/>
  </si>
  <si>
    <t>Book Value</t>
    <phoneticPr fontId="3" type="noConversion"/>
  </si>
  <si>
    <t>AAA</t>
  </si>
  <si>
    <t>AA+</t>
  </si>
  <si>
    <t>AA</t>
  </si>
  <si>
    <t>AA-</t>
  </si>
  <si>
    <t>A+</t>
  </si>
  <si>
    <t>A</t>
  </si>
  <si>
    <t>A-</t>
  </si>
  <si>
    <t>BBB+</t>
  </si>
  <si>
    <t>BBB</t>
  </si>
  <si>
    <t>BBB-</t>
  </si>
  <si>
    <t>Aaa</t>
  </si>
  <si>
    <t>Aa1</t>
  </si>
  <si>
    <t>Aa2</t>
  </si>
  <si>
    <t>Aa3</t>
  </si>
  <si>
    <t>A1</t>
  </si>
  <si>
    <t>A2</t>
  </si>
  <si>
    <t>A3</t>
  </si>
  <si>
    <t>Baa1</t>
  </si>
  <si>
    <t>Baa2</t>
  </si>
  <si>
    <t>Baa3</t>
  </si>
  <si>
    <t>twAAA</t>
  </si>
  <si>
    <t>twAA+</t>
  </si>
  <si>
    <t>twAA</t>
  </si>
  <si>
    <t>twAA-</t>
  </si>
  <si>
    <t>twA+</t>
  </si>
  <si>
    <t>twA</t>
  </si>
  <si>
    <t>twA-</t>
  </si>
  <si>
    <t>twBBB-</t>
  </si>
  <si>
    <t>twBBB+</t>
  </si>
  <si>
    <t>twBBB</t>
  </si>
  <si>
    <t>Rating Mapping</t>
    <phoneticPr fontId="2" type="noConversion"/>
  </si>
  <si>
    <t>AAAUSD3M=</t>
  </si>
  <si>
    <t>AAAUSD6M=</t>
  </si>
  <si>
    <t>AAAUSD1Y=</t>
  </si>
  <si>
    <t>AAAUSD2Y=</t>
  </si>
  <si>
    <t>AAAUSD3Y=</t>
  </si>
  <si>
    <t>AAAUSD5Y=</t>
  </si>
  <si>
    <t>AAAUSD7Y=</t>
  </si>
  <si>
    <t>AAAUSD10Y=</t>
  </si>
  <si>
    <t>AAAUSD15Y=</t>
  </si>
  <si>
    <t>AAAUSD20Y=</t>
  </si>
  <si>
    <t>AAUSD3M=</t>
  </si>
  <si>
    <t>AAUSD6M=</t>
  </si>
  <si>
    <t>AAUSD1Y=</t>
  </si>
  <si>
    <t>AAUSD2Y=</t>
  </si>
  <si>
    <t>AAUSD3Y=</t>
  </si>
  <si>
    <t>AAUSD5Y=</t>
  </si>
  <si>
    <t>AAUSD7Y=</t>
  </si>
  <si>
    <t>AAUSD10Y=</t>
  </si>
  <si>
    <t>AAUSD15Y=</t>
  </si>
  <si>
    <t>AAUSD20Y=</t>
  </si>
  <si>
    <t>AUSD3M=</t>
  </si>
  <si>
    <t>AUSD6M=</t>
  </si>
  <si>
    <t>AUSD1Y=</t>
  </si>
  <si>
    <t>AUSD2Y=</t>
  </si>
  <si>
    <t>AUSD3Y=</t>
  </si>
  <si>
    <t>AUSD5Y=</t>
  </si>
  <si>
    <t>AUSD7Y=</t>
  </si>
  <si>
    <t>AUSD10Y=</t>
  </si>
  <si>
    <t>AUSD15Y=</t>
  </si>
  <si>
    <t>AUSD20Y=</t>
  </si>
  <si>
    <t>BBBUSD3M=</t>
  </si>
  <si>
    <t>BBBUSD6M=</t>
  </si>
  <si>
    <t>BBBUSD1Y=</t>
  </si>
  <si>
    <t>BBBUSD2Y=</t>
  </si>
  <si>
    <t>BBBUSD3Y=</t>
  </si>
  <si>
    <t>BBBUSD5Y=</t>
  </si>
  <si>
    <t>BBBUSD7Y=</t>
  </si>
  <si>
    <t>BBBUSD10Y=</t>
  </si>
  <si>
    <t>BBBUSD15Y=</t>
  </si>
  <si>
    <t>BBBUSD20Y=</t>
  </si>
  <si>
    <t>15Y</t>
    <phoneticPr fontId="2" type="noConversion"/>
  </si>
  <si>
    <t>20Y</t>
    <phoneticPr fontId="2" type="noConversion"/>
  </si>
  <si>
    <t>30/360</t>
  </si>
  <si>
    <t>30/360</t>
    <phoneticPr fontId="2" type="noConversion"/>
  </si>
  <si>
    <t>USD</t>
    <phoneticPr fontId="3" type="noConversion"/>
  </si>
  <si>
    <t>A/360</t>
    <phoneticPr fontId="3" type="noConversion"/>
  </si>
  <si>
    <t>Semiannual</t>
  </si>
  <si>
    <t>USAAA</t>
    <phoneticPr fontId="2" type="noConversion"/>
  </si>
  <si>
    <t>USAA</t>
    <phoneticPr fontId="2" type="noConversion"/>
  </si>
  <si>
    <t>USA</t>
    <phoneticPr fontId="2" type="noConversion"/>
  </si>
  <si>
    <t>USBBB</t>
    <phoneticPr fontId="2" type="noConversion"/>
  </si>
  <si>
    <t>USAAADF</t>
    <phoneticPr fontId="2" type="noConversion"/>
  </si>
  <si>
    <t>USAADF</t>
    <phoneticPr fontId="2" type="noConversion"/>
  </si>
  <si>
    <t>USADF</t>
    <phoneticPr fontId="2" type="noConversion"/>
  </si>
  <si>
    <t>USBBBDF</t>
    <phoneticPr fontId="2" type="noConversion"/>
  </si>
  <si>
    <t>USD</t>
  </si>
  <si>
    <t>qlCalendarAdvance</t>
    <phoneticPr fontId="3" type="noConversion"/>
  </si>
  <si>
    <t>calendar</t>
    <phoneticPr fontId="3" type="noConversion"/>
  </si>
  <si>
    <t>StartDate</t>
    <phoneticPr fontId="3" type="noConversion"/>
  </si>
  <si>
    <t>Period</t>
    <phoneticPr fontId="3" type="noConversion"/>
  </si>
  <si>
    <t>BusinessDayConvention</t>
    <phoneticPr fontId="3" type="noConversion"/>
  </si>
  <si>
    <t>O/N</t>
  </si>
  <si>
    <t>1D</t>
    <phoneticPr fontId="2" type="noConversion"/>
  </si>
  <si>
    <t>F</t>
    <phoneticPr fontId="3" type="noConversion"/>
  </si>
  <si>
    <t>T/N</t>
  </si>
  <si>
    <t>S/N</t>
  </si>
  <si>
    <t>1W</t>
  </si>
  <si>
    <t>2W</t>
  </si>
  <si>
    <t>3W</t>
  </si>
  <si>
    <t>2M</t>
  </si>
  <si>
    <t>UnitedStates::Settlement</t>
    <phoneticPr fontId="2" type="noConversion"/>
  </si>
  <si>
    <t>4M</t>
  </si>
  <si>
    <t>5M</t>
  </si>
  <si>
    <t>12Y</t>
  </si>
  <si>
    <t>USDZC</t>
    <phoneticPr fontId="2" type="noConversion"/>
  </si>
  <si>
    <t>USDDF</t>
    <phoneticPr fontId="2" type="noConversion"/>
  </si>
  <si>
    <t>15Y</t>
  </si>
  <si>
    <t>20Y</t>
  </si>
  <si>
    <t>25Y</t>
  </si>
  <si>
    <t>30Y</t>
  </si>
  <si>
    <t>qlDepositRateHelper2</t>
    <phoneticPr fontId="3" type="noConversion"/>
  </si>
  <si>
    <t>F</t>
    <phoneticPr fontId="2" type="noConversion"/>
  </si>
  <si>
    <t>Discount</t>
    <phoneticPr fontId="2" type="noConversion"/>
  </si>
  <si>
    <t>qlYieldTSZeroRate</t>
  </si>
  <si>
    <t>Continuous</t>
  </si>
  <si>
    <t>US LIBOR</t>
    <phoneticPr fontId="2" type="noConversion"/>
  </si>
  <si>
    <t>US</t>
    <phoneticPr fontId="2" type="noConversion"/>
  </si>
  <si>
    <t>USIndex</t>
    <phoneticPr fontId="3" type="noConversion"/>
  </si>
  <si>
    <t>Currency</t>
  </si>
  <si>
    <t>Tenor</t>
  </si>
  <si>
    <t>Floating Index Obj</t>
    <phoneticPr fontId="3" type="noConversion"/>
  </si>
  <si>
    <t>USLIBOR3M</t>
    <phoneticPr fontId="2" type="noConversion"/>
  </si>
  <si>
    <t>AU3CB0278232</t>
  </si>
  <si>
    <t>AU3FN0050142</t>
  </si>
  <si>
    <t>AU3FN0052908</t>
  </si>
  <si>
    <t>AU3FN0054151</t>
  </si>
  <si>
    <t>AU3FN0054425</t>
  </si>
  <si>
    <t>AU3FN0055216</t>
  </si>
  <si>
    <t>AU3FN0057121</t>
  </si>
  <si>
    <t>XS2289799889</t>
  </si>
  <si>
    <t>AU3CB0268134</t>
  </si>
  <si>
    <t>AU3FN0053096</t>
  </si>
  <si>
    <t>AU3FN0054177</t>
  </si>
  <si>
    <t>AU3FN0055307</t>
  </si>
  <si>
    <t>AU3FN0055695</t>
  </si>
  <si>
    <t>AU3FN0058814</t>
  </si>
  <si>
    <t>XS2213043495</t>
  </si>
  <si>
    <t>XS2227817876</t>
  </si>
  <si>
    <t>US00206RGD89</t>
  </si>
  <si>
    <t>US00216NAB55</t>
  </si>
  <si>
    <t>US023135BY17</t>
  </si>
  <si>
    <t>US037833DY36</t>
  </si>
  <si>
    <t>US037833ED89</t>
  </si>
  <si>
    <t>US05252BCZ04</t>
  </si>
  <si>
    <t>US06407F2C54</t>
  </si>
  <si>
    <t>US064159JF41</t>
  </si>
  <si>
    <t>US136069TZ40</t>
  </si>
  <si>
    <t>US15238RAG74</t>
  </si>
  <si>
    <t>US191216DD90</t>
  </si>
  <si>
    <t>US21688AAM45</t>
  </si>
  <si>
    <t>US742718FM66</t>
  </si>
  <si>
    <t>US892331AD13</t>
  </si>
  <si>
    <t>US892331AM12</t>
  </si>
  <si>
    <t>US91282CAV37</t>
  </si>
  <si>
    <t>US92343VFL36</t>
  </si>
  <si>
    <t>US961214DT74</t>
  </si>
  <si>
    <t>USG91139AD00</t>
  </si>
  <si>
    <t>USG91139AE82</t>
  </si>
  <si>
    <t>USG91139AF57</t>
  </si>
  <si>
    <t>USJ5S39RAC82</t>
  </si>
  <si>
    <t>USQ68009AA98</t>
  </si>
  <si>
    <t>USU9273ADF94</t>
  </si>
  <si>
    <t>USY4949FAF28</t>
  </si>
  <si>
    <t>XS1624141435</t>
  </si>
  <si>
    <t>XS1637362507</t>
  </si>
  <si>
    <t>XS1706085773</t>
  </si>
  <si>
    <t>XS1832452103</t>
  </si>
  <si>
    <t>XS1935188422</t>
  </si>
  <si>
    <t>XS1978205869</t>
  </si>
  <si>
    <t>XS2052134496</t>
  </si>
  <si>
    <t>XS2068969141</t>
  </si>
  <si>
    <t>XS2079297946</t>
  </si>
  <si>
    <t>XS2100405013</t>
  </si>
  <si>
    <t>XS2158696950</t>
  </si>
  <si>
    <t>XS2158820394</t>
  </si>
  <si>
    <t>XS2179959221</t>
  </si>
  <si>
    <t>XS2190999834</t>
  </si>
  <si>
    <t>XS2208843503</t>
  </si>
  <si>
    <t>XS2208844493</t>
  </si>
  <si>
    <t>XS2218281942</t>
  </si>
  <si>
    <t>XS2236363227</t>
  </si>
  <si>
    <t>XS2262853265</t>
  </si>
  <si>
    <t>XS2265238639</t>
  </si>
  <si>
    <t>XS2294493544</t>
  </si>
  <si>
    <t>XS2315827209</t>
  </si>
  <si>
    <t>XS2315967989</t>
  </si>
  <si>
    <t>XS2341140932</t>
  </si>
  <si>
    <t>XS2364514708</t>
  </si>
  <si>
    <t>XS2384719667</t>
  </si>
  <si>
    <t>US00131MAH60</t>
  </si>
  <si>
    <t>US00182FBD78</t>
  </si>
  <si>
    <t>US06675GAQ82</t>
  </si>
  <si>
    <t>US10373QBM15</t>
  </si>
  <si>
    <t>US2027A1JS79</t>
  </si>
  <si>
    <t>US302154CU14</t>
  </si>
  <si>
    <t>US302154CX52</t>
  </si>
  <si>
    <t>US6325C1CK33</t>
  </si>
  <si>
    <t>US82460EAP51</t>
  </si>
  <si>
    <t>USY00284AW20</t>
  </si>
  <si>
    <t>USY3422VCS52</t>
  </si>
  <si>
    <t>XS1645476125</t>
  </si>
  <si>
    <t>XS1678969798</t>
  </si>
  <si>
    <t>XS1804840194</t>
  </si>
  <si>
    <t>XS1805611966</t>
  </si>
  <si>
    <t>XS1838931811</t>
  </si>
  <si>
    <t>XS1857641333</t>
  </si>
  <si>
    <t>XS1961939797</t>
  </si>
  <si>
    <t>XS1982691153</t>
  </si>
  <si>
    <t>XS1987800650</t>
  </si>
  <si>
    <t>XS2035552889</t>
  </si>
  <si>
    <t>XS2181902789</t>
  </si>
  <si>
    <t>XS2193950354</t>
  </si>
  <si>
    <t>XS2201843740</t>
  </si>
  <si>
    <t>XS2213668085</t>
  </si>
  <si>
    <t>XS2305450657</t>
  </si>
  <si>
    <t>XS2334572562</t>
  </si>
  <si>
    <t>Coupon Frequency</t>
    <phoneticPr fontId="2" type="noConversion"/>
  </si>
  <si>
    <t>Freq</t>
    <phoneticPr fontId="2" type="noConversion"/>
  </si>
  <si>
    <t>Quarterly</t>
  </si>
  <si>
    <t>Country</t>
    <phoneticPr fontId="2" type="noConversion"/>
  </si>
  <si>
    <t>CNH</t>
  </si>
  <si>
    <t>CNH</t>
    <phoneticPr fontId="2" type="noConversion"/>
  </si>
  <si>
    <t>CNY</t>
    <phoneticPr fontId="2" type="noConversion"/>
  </si>
  <si>
    <t>AUD</t>
  </si>
  <si>
    <t>AUD</t>
    <phoneticPr fontId="2" type="noConversion"/>
  </si>
  <si>
    <t>USD</t>
    <phoneticPr fontId="2" type="noConversion"/>
  </si>
  <si>
    <t>TWD</t>
    <phoneticPr fontId="2" type="noConversion"/>
  </si>
  <si>
    <t>UnitedStates::Settlement</t>
  </si>
  <si>
    <t>Australia</t>
  </si>
  <si>
    <t>China</t>
  </si>
  <si>
    <t>6M</t>
    <phoneticPr fontId="2" type="noConversion"/>
  </si>
  <si>
    <t>3M</t>
    <phoneticPr fontId="2" type="noConversion"/>
  </si>
  <si>
    <r>
      <rPr>
        <sz val="10"/>
        <color theme="1"/>
        <rFont val="微軟正黑體"/>
        <family val="2"/>
        <charset val="136"/>
      </rPr>
      <t xml:space="preserve">債券編碼
</t>
    </r>
    <r>
      <rPr>
        <sz val="10"/>
        <color theme="1"/>
        <rFont val="Calibri"/>
        <family val="2"/>
      </rPr>
      <t>ISIN</t>
    </r>
    <phoneticPr fontId="2" type="noConversion"/>
  </si>
  <si>
    <t>Fixed /
Floating</t>
    <phoneticPr fontId="2" type="noConversion"/>
  </si>
  <si>
    <t>Issue Date</t>
    <phoneticPr fontId="2" type="noConversion"/>
  </si>
  <si>
    <r>
      <rPr>
        <sz val="10"/>
        <color theme="1"/>
        <rFont val="微軟正黑體"/>
        <family val="2"/>
        <charset val="136"/>
      </rPr>
      <t>到期日</t>
    </r>
    <phoneticPr fontId="2" type="noConversion"/>
  </si>
  <si>
    <r>
      <rPr>
        <sz val="10"/>
        <color theme="1"/>
        <rFont val="微軟正黑體"/>
        <family val="2"/>
        <charset val="136"/>
      </rPr>
      <t>幣別</t>
    </r>
    <phoneticPr fontId="2" type="noConversion"/>
  </si>
  <si>
    <r>
      <rPr>
        <sz val="10"/>
        <color theme="1"/>
        <rFont val="微軟正黑體"/>
        <family val="2"/>
        <charset val="136"/>
      </rPr>
      <t>名目本金</t>
    </r>
    <phoneticPr fontId="2" type="noConversion"/>
  </si>
  <si>
    <t>Coupon</t>
    <phoneticPr fontId="2" type="noConversion"/>
  </si>
  <si>
    <t>FRN Margin</t>
    <phoneticPr fontId="2" type="noConversion"/>
  </si>
  <si>
    <t>Fixed</t>
  </si>
  <si>
    <t>NULL</t>
  </si>
  <si>
    <t>Floating</t>
  </si>
  <si>
    <t>A/365</t>
    <phoneticPr fontId="2" type="noConversion"/>
  </si>
  <si>
    <t>CNY</t>
    <phoneticPr fontId="2" type="noConversion"/>
  </si>
  <si>
    <t>AA-(Fitch)</t>
  </si>
  <si>
    <t>Baa1(Moody's)</t>
  </si>
  <si>
    <t>A1(Moody's)</t>
  </si>
  <si>
    <t>A(Fitch)</t>
  </si>
  <si>
    <t>A(S &amp; P)</t>
  </si>
  <si>
    <t>FR0124556699</t>
  </si>
  <si>
    <t>A+(Fitch)</t>
  </si>
  <si>
    <t>A2(Moody's)</t>
  </si>
  <si>
    <t>Aa2(Moody's)</t>
  </si>
  <si>
    <t>A+(S &amp; P)</t>
  </si>
  <si>
    <t>AA+(S &amp; P)</t>
  </si>
  <si>
    <t>A3(Moody's)</t>
  </si>
  <si>
    <t>A-(S &amp; P)</t>
  </si>
  <si>
    <t>Aaa(Moody's)</t>
  </si>
  <si>
    <t>BBB(S &amp; P)</t>
  </si>
  <si>
    <t>Aa1(Moody's)</t>
  </si>
  <si>
    <t>BBB+(S &amp; P)</t>
  </si>
  <si>
    <t>AA(S &amp; P)</t>
  </si>
  <si>
    <t>A-(Fitch)</t>
  </si>
  <si>
    <t>A</t>
    <phoneticPr fontId="2" type="noConversion"/>
  </si>
  <si>
    <t>USZCEng</t>
    <phoneticPr fontId="2" type="noConversion"/>
  </si>
  <si>
    <t>USZCDF</t>
    <phoneticPr fontId="2" type="noConversion"/>
  </si>
  <si>
    <t>M-Spread</t>
    <phoneticPr fontId="3" type="noConversion"/>
  </si>
  <si>
    <t>AAAAUD3M=</t>
  </si>
  <si>
    <t>AAAAUD6M=</t>
  </si>
  <si>
    <t>AAAAUD1Y=</t>
  </si>
  <si>
    <t>AAAAUD2Y=</t>
  </si>
  <si>
    <t>AAAAUD3Y=</t>
  </si>
  <si>
    <t>AAAAUD5Y=</t>
  </si>
  <si>
    <t>AAAAUD7Y=</t>
  </si>
  <si>
    <t>AAAAUD10Y=</t>
  </si>
  <si>
    <t>AAAUD3M=</t>
  </si>
  <si>
    <t>AAAUD6M=</t>
  </si>
  <si>
    <t>AAAUD1Y=</t>
  </si>
  <si>
    <t>AAAUD2Y=</t>
  </si>
  <si>
    <t>AAAUD3Y=</t>
  </si>
  <si>
    <t>AAAUD5Y=</t>
  </si>
  <si>
    <t>AAAUD7Y=</t>
  </si>
  <si>
    <t>AAAUD10Y=</t>
  </si>
  <si>
    <t>AAUD3M=</t>
  </si>
  <si>
    <t>AAUD6M=</t>
  </si>
  <si>
    <t>AAUD1Y=</t>
  </si>
  <si>
    <t>AAUD2Y=</t>
  </si>
  <si>
    <t>AAUD3Y=</t>
  </si>
  <si>
    <t>AAUD5Y=</t>
  </si>
  <si>
    <t>AAUD7Y=</t>
  </si>
  <si>
    <t>AAUD10Y=</t>
  </si>
  <si>
    <t>BBBAUD3M=</t>
  </si>
  <si>
    <t>BBBAUD6M=</t>
  </si>
  <si>
    <t>BBBAUD1Y=</t>
  </si>
  <si>
    <t>BBBAUD2Y=</t>
  </si>
  <si>
    <t>BBBAUD3Y=</t>
  </si>
  <si>
    <t>BBBAUD5Y=</t>
  </si>
  <si>
    <t>BBBAUD7Y=</t>
  </si>
  <si>
    <t>BBBAUD10Y=</t>
  </si>
  <si>
    <t>AACNYFIN3M=</t>
  </si>
  <si>
    <t>AACNYFIN6M=</t>
  </si>
  <si>
    <t>AACNYFIN1Y=</t>
  </si>
  <si>
    <t>AACNYFIN2Y=</t>
  </si>
  <si>
    <t>AACNYFIN3Y=</t>
  </si>
  <si>
    <t>AACNYFIN5Y=</t>
  </si>
  <si>
    <t>ACNYFIN3M=</t>
  </si>
  <si>
    <t>ACNYFIN6M=</t>
  </si>
  <si>
    <t>ACNYFIN1Y=</t>
  </si>
  <si>
    <t>ACNYFIN2Y=</t>
  </si>
  <si>
    <t>ACNYFIN3Y=</t>
  </si>
  <si>
    <t>ACNYFIN5Y=</t>
  </si>
  <si>
    <t>A/365F</t>
    <phoneticPr fontId="2" type="noConversion"/>
  </si>
  <si>
    <t>CNYAA</t>
    <phoneticPr fontId="2" type="noConversion"/>
  </si>
  <si>
    <t>CNYA</t>
    <phoneticPr fontId="2" type="noConversion"/>
  </si>
  <si>
    <t>CNY</t>
    <phoneticPr fontId="3" type="noConversion"/>
  </si>
  <si>
    <t>CNYAADF</t>
    <phoneticPr fontId="2" type="noConversion"/>
  </si>
  <si>
    <t>CNYADF</t>
    <phoneticPr fontId="2" type="noConversion"/>
  </si>
  <si>
    <t>AUD</t>
    <phoneticPr fontId="2" type="noConversion"/>
  </si>
  <si>
    <t>USD</t>
    <phoneticPr fontId="2" type="noConversion"/>
  </si>
  <si>
    <t>Description</t>
  </si>
  <si>
    <t>SettlementDays</t>
  </si>
  <si>
    <t>PaymentBDC</t>
  </si>
  <si>
    <t>FaceAmount</t>
  </si>
  <si>
    <t>ScheduleId</t>
  </si>
  <si>
    <t>FixingDays</t>
  </si>
  <si>
    <t>IsInArrears</t>
  </si>
  <si>
    <t>Floors</t>
  </si>
  <si>
    <t>Gearings</t>
  </si>
  <si>
    <t>IborIndex</t>
  </si>
  <si>
    <t>Spreads</t>
  </si>
  <si>
    <t>Caps</t>
  </si>
  <si>
    <t>Redemption</t>
  </si>
  <si>
    <t>IssueDate</t>
  </si>
  <si>
    <t>AUDAAA</t>
    <phoneticPr fontId="2" type="noConversion"/>
  </si>
  <si>
    <t>AUDAA</t>
    <phoneticPr fontId="2" type="noConversion"/>
  </si>
  <si>
    <t>AUDA</t>
    <phoneticPr fontId="2" type="noConversion"/>
  </si>
  <si>
    <t>AUDBBB</t>
    <phoneticPr fontId="2" type="noConversion"/>
  </si>
  <si>
    <t>AUDAAADF</t>
    <phoneticPr fontId="2" type="noConversion"/>
  </si>
  <si>
    <t>AUDAADF</t>
    <phoneticPr fontId="2" type="noConversion"/>
  </si>
  <si>
    <t>AUDADF</t>
    <phoneticPr fontId="2" type="noConversion"/>
  </si>
  <si>
    <t>AUDBBBDF</t>
    <phoneticPr fontId="2" type="noConversion"/>
  </si>
  <si>
    <t>AUD</t>
    <phoneticPr fontId="3" type="noConversion"/>
  </si>
  <si>
    <t>Quarterly</t>
    <phoneticPr fontId="3" type="noConversion"/>
  </si>
  <si>
    <t>7M</t>
  </si>
  <si>
    <t>8M</t>
  </si>
  <si>
    <t>9M</t>
  </si>
  <si>
    <t>10M</t>
  </si>
  <si>
    <t>11M</t>
  </si>
  <si>
    <t>AUIndex</t>
    <phoneticPr fontId="3" type="noConversion"/>
  </si>
  <si>
    <t>AU</t>
    <phoneticPr fontId="2" type="noConversion"/>
  </si>
  <si>
    <t>AU LIBOR</t>
    <phoneticPr fontId="2" type="noConversion"/>
  </si>
  <si>
    <t>AUDZC</t>
    <phoneticPr fontId="2" type="noConversion"/>
  </si>
  <si>
    <t>AUDDF</t>
    <phoneticPr fontId="2" type="noConversion"/>
  </si>
  <si>
    <t>AULIBOR3M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</si>
</sst>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-* #,##0.00_-;\-* #,##0.00_-;_-* &quot;-&quot;??_-;_-@_-"/>
    <numFmt numFmtId="176" formatCode="0.000000%"/>
    <numFmt numFmtId="177" formatCode="0.00000%"/>
    <numFmt numFmtId="178" formatCode="0_ "/>
    <numFmt numFmtId="179" formatCode="0.00000000_ "/>
    <numFmt numFmtId="180" formatCode="0_);[Red]\(0\)"/>
    <numFmt numFmtId="181" formatCode="#,##0_ "/>
    <numFmt numFmtId="182" formatCode="_-* #,##0_-;\-* #,##0_-;_-* &quot;-&quot;??_-;_-@_-"/>
    <numFmt numFmtId="183" formatCode="0.000%"/>
    <numFmt numFmtId="184" formatCode="0.00000"/>
    <numFmt numFmtId="185" formatCode="0.0000"/>
    <numFmt numFmtId="186" formatCode="_-* #,##0.0000_-;\-* #,##0.0000_-;_-* &quot;-&quot;??_-;_-@_-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indexed="12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2"/>
      <name val="Palatino Linotype"/>
      <family val="1"/>
    </font>
    <font>
      <sz val="12"/>
      <color theme="9" tint="-0.249977111117893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FF0000"/>
      <name val="Calibri"/>
      <family val="2"/>
    </font>
    <font>
      <sz val="11"/>
      <color theme="0"/>
      <name val="Calibri"/>
      <family val="2"/>
    </font>
    <font>
      <sz val="11"/>
      <color rgb="FF0000FF"/>
      <name val="Calibri"/>
      <family val="2"/>
    </font>
    <font>
      <sz val="10"/>
      <color theme="1"/>
      <name val="微軟正黑體"/>
      <family val="2"/>
      <charset val="136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4" fillId="0" borderId="0" xfId="0" applyFont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14" fontId="5" fillId="2" borderId="0" xfId="0" applyNumberFormat="1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3" borderId="0" xfId="0" applyFont="1" applyFill="1">
      <alignment vertical="center"/>
    </xf>
    <xf numFmtId="0" fontId="5" fillId="3" borderId="0" xfId="0" applyFont="1" applyFill="1">
      <alignment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8" fillId="5" borderId="0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5" fillId="6" borderId="0" xfId="1" applyNumberFormat="1" applyFont="1" applyFill="1">
      <alignment vertical="center"/>
    </xf>
    <xf numFmtId="14" fontId="7" fillId="0" borderId="0" xfId="0" applyNumberFormat="1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80" fontId="5" fillId="2" borderId="0" xfId="0" applyNumberFormat="1" applyFont="1" applyFill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14" fontId="9" fillId="0" borderId="0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6" fillId="8" borderId="1" xfId="0" applyFont="1" applyFill="1" applyBorder="1">
      <alignment vertical="center"/>
    </xf>
    <xf numFmtId="0" fontId="6" fillId="8" borderId="2" xfId="0" applyFont="1" applyFill="1" applyBorder="1">
      <alignment vertical="center"/>
    </xf>
    <xf numFmtId="0" fontId="6" fillId="8" borderId="3" xfId="0" applyFont="1" applyFill="1" applyBorder="1">
      <alignment vertical="center"/>
    </xf>
    <xf numFmtId="0" fontId="5" fillId="3" borderId="0" xfId="0" applyFont="1" applyFill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82" fontId="10" fillId="0" borderId="0" xfId="2" applyNumberFormat="1" applyFont="1">
      <alignment vertical="center"/>
    </xf>
    <xf numFmtId="182" fontId="10" fillId="0" borderId="0" xfId="0" applyNumberFormat="1" applyFont="1">
      <alignment vertical="center"/>
    </xf>
    <xf numFmtId="183" fontId="17" fillId="0" borderId="0" xfId="1" applyNumberFormat="1" applyFont="1">
      <alignment vertical="center"/>
    </xf>
    <xf numFmtId="2" fontId="16" fillId="0" borderId="0" xfId="0" applyNumberFormat="1" applyFont="1">
      <alignment vertical="center"/>
    </xf>
    <xf numFmtId="182" fontId="16" fillId="0" borderId="0" xfId="2" applyNumberFormat="1" applyFont="1">
      <alignment vertical="center"/>
    </xf>
    <xf numFmtId="0" fontId="10" fillId="4" borderId="0" xfId="0" applyFont="1" applyFill="1" applyAlignment="1">
      <alignment horizontal="center" vertical="center"/>
    </xf>
    <xf numFmtId="184" fontId="10" fillId="0" borderId="0" xfId="0" applyNumberFormat="1" applyFont="1">
      <alignment vertical="center"/>
    </xf>
    <xf numFmtId="0" fontId="4" fillId="9" borderId="0" xfId="0" applyFont="1" applyFill="1" applyBorder="1" applyAlignment="1">
      <alignment horizontal="center" vertical="center"/>
    </xf>
    <xf numFmtId="43" fontId="15" fillId="0" borderId="0" xfId="0" applyNumberFormat="1" applyFont="1">
      <alignment vertical="center"/>
    </xf>
    <xf numFmtId="2" fontId="10" fillId="0" borderId="0" xfId="0" applyNumberFormat="1" applyFont="1">
      <alignment vertical="center"/>
    </xf>
    <xf numFmtId="178" fontId="13" fillId="0" borderId="0" xfId="1" applyNumberFormat="1" applyFont="1">
      <alignment vertical="center"/>
    </xf>
    <xf numFmtId="14" fontId="13" fillId="0" borderId="0" xfId="0" applyNumberFormat="1" applyFont="1">
      <alignment vertical="center"/>
    </xf>
    <xf numFmtId="176" fontId="13" fillId="6" borderId="0" xfId="1" applyNumberFormat="1" applyFont="1" applyFill="1">
      <alignment vertical="center"/>
    </xf>
    <xf numFmtId="179" fontId="13" fillId="6" borderId="0" xfId="1" applyNumberFormat="1" applyFont="1" applyFill="1">
      <alignment vertical="center"/>
    </xf>
    <xf numFmtId="0" fontId="4" fillId="0" borderId="0" xfId="0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182" fontId="15" fillId="6" borderId="0" xfId="2" applyNumberFormat="1" applyFont="1" applyFill="1">
      <alignment vertical="center"/>
    </xf>
    <xf numFmtId="43" fontId="15" fillId="6" borderId="0" xfId="0" applyNumberFormat="1" applyFont="1" applyFill="1">
      <alignment vertical="center"/>
    </xf>
    <xf numFmtId="181" fontId="14" fillId="6" borderId="0" xfId="0" applyNumberFormat="1" applyFont="1" applyFill="1" applyAlignment="1">
      <alignment horizontal="center" vertical="center"/>
    </xf>
    <xf numFmtId="43" fontId="10" fillId="0" borderId="0" xfId="2" applyNumberFormat="1" applyFont="1">
      <alignment vertical="center"/>
    </xf>
    <xf numFmtId="0" fontId="5" fillId="10" borderId="0" xfId="0" applyFont="1" applyFill="1">
      <alignment vertical="center"/>
    </xf>
    <xf numFmtId="0" fontId="4" fillId="0" borderId="0" xfId="0" applyFont="1" applyBorder="1" applyAlignment="1">
      <alignment horizontal="center" vertical="center"/>
    </xf>
    <xf numFmtId="0" fontId="6" fillId="8" borderId="0" xfId="0" applyFont="1" applyFill="1" applyBorder="1">
      <alignment vertical="center"/>
    </xf>
    <xf numFmtId="183" fontId="5" fillId="6" borderId="0" xfId="1" applyNumberFormat="1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8" borderId="4" xfId="0" applyFont="1" applyFill="1" applyBorder="1">
      <alignment vertical="center"/>
    </xf>
    <xf numFmtId="0" fontId="6" fillId="8" borderId="5" xfId="0" applyFont="1" applyFill="1" applyBorder="1">
      <alignment vertical="center"/>
    </xf>
    <xf numFmtId="0" fontId="6" fillId="8" borderId="6" xfId="0" applyFont="1" applyFill="1" applyBorder="1">
      <alignment vertical="center"/>
    </xf>
    <xf numFmtId="176" fontId="13" fillId="6" borderId="7" xfId="1" applyNumberFormat="1" applyFont="1" applyFill="1" applyBorder="1">
      <alignment vertical="center"/>
    </xf>
    <xf numFmtId="179" fontId="13" fillId="6" borderId="4" xfId="1" applyNumberFormat="1" applyFont="1" applyFill="1" applyBorder="1">
      <alignment vertical="center"/>
    </xf>
    <xf numFmtId="176" fontId="13" fillId="6" borderId="8" xfId="1" applyNumberFormat="1" applyFont="1" applyFill="1" applyBorder="1">
      <alignment vertical="center"/>
    </xf>
    <xf numFmtId="179" fontId="13" fillId="6" borderId="5" xfId="1" applyNumberFormat="1" applyFont="1" applyFill="1" applyBorder="1">
      <alignment vertical="center"/>
    </xf>
    <xf numFmtId="176" fontId="13" fillId="6" borderId="9" xfId="1" applyNumberFormat="1" applyFont="1" applyFill="1" applyBorder="1">
      <alignment vertical="center"/>
    </xf>
    <xf numFmtId="179" fontId="13" fillId="6" borderId="6" xfId="1" applyNumberFormat="1" applyFont="1" applyFill="1" applyBorder="1">
      <alignment vertical="center"/>
    </xf>
    <xf numFmtId="0" fontId="18" fillId="0" borderId="0" xfId="0" applyFont="1">
      <alignment vertical="center"/>
    </xf>
    <xf numFmtId="177" fontId="5" fillId="6" borderId="0" xfId="1" applyNumberFormat="1" applyFont="1" applyFill="1">
      <alignment vertical="center"/>
    </xf>
    <xf numFmtId="179" fontId="5" fillId="6" borderId="0" xfId="1" applyNumberFormat="1" applyFont="1" applyFill="1">
      <alignment vertical="center"/>
    </xf>
    <xf numFmtId="0" fontId="6" fillId="0" borderId="0" xfId="0" applyFont="1">
      <alignment vertical="center"/>
    </xf>
    <xf numFmtId="183" fontId="9" fillId="0" borderId="0" xfId="0" applyNumberFormat="1" applyFont="1">
      <alignment vertical="center"/>
    </xf>
    <xf numFmtId="0" fontId="19" fillId="11" borderId="0" xfId="0" applyFont="1" applyFill="1">
      <alignment vertical="center"/>
    </xf>
    <xf numFmtId="0" fontId="20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77" fontId="7" fillId="0" borderId="0" xfId="1" applyNumberFormat="1" applyFont="1">
      <alignment vertical="center"/>
    </xf>
    <xf numFmtId="0" fontId="22" fillId="12" borderId="10" xfId="0" applyFont="1" applyFill="1" applyBorder="1" applyAlignment="1">
      <alignment horizontal="center" vertical="center" wrapText="1"/>
    </xf>
    <xf numFmtId="14" fontId="22" fillId="12" borderId="10" xfId="0" applyNumberFormat="1" applyFont="1" applyFill="1" applyBorder="1" applyAlignment="1">
      <alignment horizontal="center" vertical="center" wrapText="1"/>
    </xf>
    <xf numFmtId="181" fontId="22" fillId="12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82" fontId="4" fillId="0" borderId="0" xfId="2" applyNumberFormat="1" applyFont="1" applyBorder="1" applyAlignment="1">
      <alignment horizontal="center" vertical="center"/>
    </xf>
    <xf numFmtId="185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86" fontId="4" fillId="0" borderId="0" xfId="0" applyNumberFormat="1" applyFont="1" applyBorder="1" applyAlignment="1">
      <alignment horizontal="center" vertical="center"/>
    </xf>
    <xf numFmtId="0" fontId="10" fillId="13" borderId="0" xfId="0" applyFont="1" applyFill="1">
      <alignment vertical="center"/>
    </xf>
    <xf numFmtId="2" fontId="12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quotePrefix="1" applyFont="1" applyBorder="1" applyAlignment="1">
      <alignment horizontal="center" vertical="center"/>
    </xf>
    <xf numFmtId="0" fontId="10" fillId="4" borderId="0" xfId="0" applyFont="1" applyFill="1">
      <alignment vertical="center"/>
    </xf>
    <xf numFmtId="0" fontId="16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10" fontId="5" fillId="0" borderId="0" xfId="0" applyNumberFormat="1" applyFont="1">
      <alignment vertical="center"/>
    </xf>
    <xf numFmtId="0" fontId="4" fillId="0" borderId="0" xfId="0" applyFont="1" applyBorder="1" applyAlignment="1">
      <alignment horizontal="center"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chien/Desktop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obj_00015#0000</v>
          </cell>
        </row>
      </sheetData>
      <sheetData sheetId="1">
        <row r="12">
          <cell r="A12" t="e">
            <v>#NUM!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opLeftCell="A7" workbookViewId="0">
      <selection activeCell="D4" sqref="D4"/>
    </sheetView>
  </sheetViews>
  <sheetFormatPr defaultRowHeight="16.5" x14ac:dyDescent="0.25"/>
  <cols>
    <col min="1" max="1" width="9.125" customWidth="1"/>
    <col min="4" max="4" width="16.75" customWidth="1"/>
  </cols>
  <sheetData>
    <row r="1" spans="1:5" ht="25.5" x14ac:dyDescent="0.25">
      <c r="A1" s="92" t="s">
        <v>356</v>
      </c>
      <c r="B1" s="92" t="s">
        <v>357</v>
      </c>
      <c r="C1" s="92" t="s">
        <v>359</v>
      </c>
      <c r="D1" s="92"/>
    </row>
    <row r="2" spans="1:5" x14ac:dyDescent="0.25">
      <c r="A2" s="29">
        <v>1</v>
      </c>
      <c r="B2" t="s">
        <v>94</v>
      </c>
      <c r="C2" t="s">
        <v>361</v>
      </c>
      <c r="D2" t="s">
        <v>369</v>
      </c>
      <c r="E2" t="s">
        <v>383</v>
      </c>
    </row>
    <row r="3" spans="1:5" x14ac:dyDescent="0.25">
      <c r="A3" s="29">
        <v>2</v>
      </c>
      <c r="B3" t="s">
        <v>216</v>
      </c>
      <c r="C3" t="s">
        <v>362</v>
      </c>
      <c r="D3" t="s">
        <v>369</v>
      </c>
      <c r="E3" t="s">
        <v>383</v>
      </c>
    </row>
    <row r="4" spans="1:5" x14ac:dyDescent="0.25">
      <c r="A4" s="29">
        <v>4</v>
      </c>
      <c r="B4" t="s">
        <v>358</v>
      </c>
      <c r="C4" t="s">
        <v>364</v>
      </c>
      <c r="D4" t="s">
        <v>368</v>
      </c>
      <c r="E4" t="s">
        <v>213</v>
      </c>
    </row>
    <row r="5" spans="1:5" x14ac:dyDescent="0.25">
      <c r="C5" t="s">
        <v>365</v>
      </c>
      <c r="D5" t="s">
        <v>367</v>
      </c>
      <c r="E5" t="s">
        <v>213</v>
      </c>
    </row>
    <row r="6" spans="1:5" x14ac:dyDescent="0.25">
      <c r="A6" s="29">
        <v>1</v>
      </c>
      <c r="B6" t="s">
        <v>108</v>
      </c>
      <c r="C6" t="s">
        <v>366</v>
      </c>
      <c r="D6" t="s">
        <v>68</v>
      </c>
      <c r="E6" t="s">
        <v>383</v>
      </c>
    </row>
    <row r="7" spans="1:5" x14ac:dyDescent="0.25">
      <c r="A7" s="29">
        <v>2</v>
      </c>
      <c r="B7" t="s">
        <v>370</v>
      </c>
    </row>
    <row r="8" spans="1:5" x14ac:dyDescent="0.25">
      <c r="A8" s="29">
        <v>4</v>
      </c>
      <c r="B8" t="s">
        <v>371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37"/>
  <sheetViews>
    <sheetView tabSelected="1" workbookViewId="0">
      <selection activeCell="I21" sqref="I21"/>
    </sheetView>
  </sheetViews>
  <sheetFormatPr defaultColWidth="9" defaultRowHeight="15" x14ac:dyDescent="0.25"/>
  <cols>
    <col min="1" max="1" width="20.375" style="3" customWidth="1"/>
    <col min="2" max="3" width="14" style="3" customWidth="1"/>
    <col min="4" max="7" width="10.5" style="3" customWidth="1"/>
    <col min="8" max="8" width="16.375" style="3" customWidth="1"/>
    <col min="9" max="9" width="14" style="3" customWidth="1"/>
    <col min="10" max="10" width="5.5" style="3" customWidth="1"/>
    <col min="11" max="11" width="9" style="3" customWidth="1"/>
    <col min="12" max="12" width="6.125" style="3" customWidth="1"/>
    <col min="13" max="13" width="8" style="3" customWidth="1"/>
    <col min="14" max="14" width="12.25" style="3" customWidth="1"/>
    <col min="15" max="15" width="10.25" style="3" customWidth="1"/>
    <col min="16" max="16" width="10.375" style="3" customWidth="1"/>
    <col min="17" max="17" width="10.625" style="3" customWidth="1"/>
    <col min="18" max="18" width="12.25" style="3" customWidth="1"/>
    <col min="19" max="19" width="9" style="3"/>
    <col min="20" max="20" width="10" style="3" bestFit="1" customWidth="1"/>
    <col min="21" max="23" width="9" style="3"/>
    <col min="24" max="24" width="9.375" style="3" customWidth="1"/>
    <col min="25" max="16384" width="9" style="3"/>
  </cols>
  <sheetData>
    <row r="1" spans="1:24" x14ac:dyDescent="0.25">
      <c r="A1" s="1" t="s">
        <v>8</v>
      </c>
      <c r="B1" s="17">
        <v>44558</v>
      </c>
      <c r="C1" s="17"/>
      <c r="D1" s="25" t="s">
        <v>66</v>
      </c>
      <c r="E1" s="25" t="s">
        <v>51</v>
      </c>
      <c r="F1" s="25" t="s">
        <v>65</v>
      </c>
      <c r="G1" s="25" t="s">
        <v>67</v>
      </c>
    </row>
    <row r="2" spans="1:24" x14ac:dyDescent="0.25">
      <c r="A2" s="5" t="s">
        <v>9</v>
      </c>
      <c r="B2" s="3" t="b">
        <f>_xll.qlSettingsSetEvaluationDate(B1,B1)</f>
        <v>1</v>
      </c>
      <c r="D2" s="24">
        <f>E2-$B$1</f>
        <v>0</v>
      </c>
      <c r="E2" s="2">
        <f t="array" ref="E2:E28">_xll.qlPiecewiseYieldCurveDates(B24)</f>
        <v>44558</v>
      </c>
      <c r="F2" s="84">
        <f t="array" ref="F2:F28">_xll.qlYieldTSZeroRate(A42,$E$2:$E$28,A44,A45,A46,A47,A48)</f>
        <v>5.9999950095764639E-4</v>
      </c>
      <c r="G2" s="85">
        <f t="array" ref="G2:G28">_xll.qlYieldTSDiscount(A42,E2:E28,TRUE,B4)</f>
        <v>1</v>
      </c>
      <c r="H2" s="70" t="s">
        <v>64</v>
      </c>
      <c r="I2" s="70" t="s">
        <v>21</v>
      </c>
      <c r="J2" s="70" t="s">
        <v>19</v>
      </c>
      <c r="K2" s="70" t="s">
        <v>20</v>
      </c>
      <c r="L2" s="70" t="s">
        <v>12</v>
      </c>
      <c r="M2" s="70" t="s">
        <v>22</v>
      </c>
      <c r="N2" s="70" t="s">
        <v>13</v>
      </c>
      <c r="O2" s="70" t="s">
        <v>14</v>
      </c>
      <c r="P2" s="70" t="s">
        <v>15</v>
      </c>
      <c r="Q2" s="70" t="s">
        <v>20</v>
      </c>
      <c r="R2" s="8" t="s">
        <v>226</v>
      </c>
      <c r="S2" s="70" t="s">
        <v>227</v>
      </c>
      <c r="T2" s="70" t="s">
        <v>228</v>
      </c>
      <c r="U2" s="70" t="s">
        <v>229</v>
      </c>
      <c r="V2" s="70" t="s">
        <v>230</v>
      </c>
      <c r="W2" s="70" t="s">
        <v>26</v>
      </c>
      <c r="X2" s="70" t="s">
        <v>14</v>
      </c>
    </row>
    <row r="3" spans="1:24" x14ac:dyDescent="0.25">
      <c r="A3" s="1" t="s">
        <v>70</v>
      </c>
      <c r="B3" s="17">
        <f>_xll.qlSettingsEvaluationDate(B1)</f>
        <v>44558</v>
      </c>
      <c r="C3" s="17"/>
      <c r="D3" s="24">
        <f t="shared" ref="D3:D28" si="0">E3-$B$1</f>
        <v>1</v>
      </c>
      <c r="E3" s="2">
        <v>44559</v>
      </c>
      <c r="F3" s="84">
        <v>5.9999950000448621E-4</v>
      </c>
      <c r="G3" s="85">
        <v>0.9999983333361111</v>
      </c>
      <c r="H3" s="86" t="str">
        <f>I31</f>
        <v>obj_00020#0009</v>
      </c>
      <c r="I3" s="18" t="str">
        <f>_xll.qlSimpleQuote(,K3,M3,N3,O3,P3)</f>
        <v>obj_00001#0009</v>
      </c>
      <c r="K3" s="87">
        <f>Q3/100</f>
        <v>5.9999999999999995E-4</v>
      </c>
      <c r="L3" s="6" t="s">
        <v>231</v>
      </c>
      <c r="M3" s="3">
        <v>0.01</v>
      </c>
      <c r="N3" s="11" t="b">
        <v>0</v>
      </c>
      <c r="O3" s="34">
        <f>$B$4</f>
        <v>1</v>
      </c>
      <c r="P3" s="7" t="b">
        <v>1</v>
      </c>
      <c r="Q3" s="88">
        <v>0.06</v>
      </c>
      <c r="R3" s="28">
        <f>_xll.qlCalendarAdvance(S3,T3,U3,V3,W3,X3)</f>
        <v>44559</v>
      </c>
      <c r="S3" s="2" t="str">
        <f>$N$31</f>
        <v>UnitedStates::Settlement</v>
      </c>
      <c r="T3" s="2">
        <f>B1</f>
        <v>44558</v>
      </c>
      <c r="U3" s="6" t="s">
        <v>232</v>
      </c>
      <c r="V3" s="3" t="s">
        <v>233</v>
      </c>
      <c r="W3" s="3" t="b">
        <v>0</v>
      </c>
      <c r="X3" s="34">
        <f>$B$4</f>
        <v>1</v>
      </c>
    </row>
    <row r="4" spans="1:24" x14ac:dyDescent="0.25">
      <c r="A4" s="8" t="s">
        <v>14</v>
      </c>
      <c r="B4" s="3">
        <v>1</v>
      </c>
      <c r="D4" s="24">
        <f t="shared" si="0"/>
        <v>2</v>
      </c>
      <c r="E4" s="2">
        <v>44560</v>
      </c>
      <c r="F4" s="84">
        <v>6.9999930556113269E-4</v>
      </c>
      <c r="G4" s="85">
        <v>0.99999611112253084</v>
      </c>
      <c r="H4" s="86" t="str">
        <f t="shared" ref="H4:H13" si="1">I32</f>
        <v>obj_0001e#0009</v>
      </c>
      <c r="I4" s="18" t="str">
        <f>_xll.qlSimpleQuote(,K4,M4,N4,O4,P4)</f>
        <v>obj_00014#0009</v>
      </c>
      <c r="K4" s="87">
        <f t="shared" ref="K4:K28" si="2">Q4/100</f>
        <v>8.0000000000000004E-4</v>
      </c>
      <c r="L4" s="6" t="s">
        <v>234</v>
      </c>
      <c r="M4" s="3">
        <f>$M$3</f>
        <v>0.01</v>
      </c>
      <c r="N4" s="11" t="b">
        <v>0</v>
      </c>
      <c r="O4" s="34">
        <f t="shared" ref="O4:O28" si="3">$B$4</f>
        <v>1</v>
      </c>
      <c r="P4" s="7" t="b">
        <v>1</v>
      </c>
      <c r="Q4" s="88">
        <v>0.08</v>
      </c>
      <c r="R4" s="28">
        <f>_xll.qlCalendarAdvance(S4,T4,U4,V4,W4,X4)</f>
        <v>44560</v>
      </c>
      <c r="S4" s="2" t="str">
        <f t="shared" ref="S4:S28" si="4">$N$31</f>
        <v>UnitedStates::Settlement</v>
      </c>
      <c r="T4" s="2">
        <f>R3</f>
        <v>44559</v>
      </c>
      <c r="U4" s="6" t="s">
        <v>232</v>
      </c>
      <c r="V4" s="3" t="s">
        <v>233</v>
      </c>
      <c r="W4" s="3" t="b">
        <v>0</v>
      </c>
      <c r="X4" s="34">
        <f t="shared" ref="X4:X28" si="5">$B$4</f>
        <v>1</v>
      </c>
    </row>
    <row r="5" spans="1:24" x14ac:dyDescent="0.25">
      <c r="D5" s="24">
        <f t="shared" si="0"/>
        <v>6</v>
      </c>
      <c r="E5" s="2">
        <v>44564</v>
      </c>
      <c r="F5" s="84">
        <v>7.6666406481908816E-4</v>
      </c>
      <c r="G5" s="85">
        <v>0.99998722234722115</v>
      </c>
      <c r="H5" s="86" t="str">
        <f t="shared" si="1"/>
        <v>obj_00024#0009</v>
      </c>
      <c r="I5" s="18" t="str">
        <f>_xll.qlSimpleQuote(,K5,M5,N5,O5,P5)</f>
        <v>obj_00019#0009</v>
      </c>
      <c r="K5" s="87">
        <f t="shared" si="2"/>
        <v>8.0000000000000004E-4</v>
      </c>
      <c r="L5" s="6" t="s">
        <v>235</v>
      </c>
      <c r="M5" s="3">
        <f t="shared" ref="M5:M28" si="6">$M$3</f>
        <v>0.01</v>
      </c>
      <c r="N5" s="11" t="b">
        <v>0</v>
      </c>
      <c r="O5" s="34">
        <f t="shared" si="3"/>
        <v>1</v>
      </c>
      <c r="P5" s="7" t="b">
        <v>1</v>
      </c>
      <c r="Q5" s="88">
        <v>0.08</v>
      </c>
      <c r="R5" s="28">
        <f>_xll.qlCalendarAdvance(S5,T5,U5,V5,W5,X5)</f>
        <v>44564</v>
      </c>
      <c r="S5" s="2" t="str">
        <f t="shared" si="4"/>
        <v>UnitedStates::Settlement</v>
      </c>
      <c r="T5" s="2">
        <f>R4</f>
        <v>44560</v>
      </c>
      <c r="U5" s="6" t="s">
        <v>232</v>
      </c>
      <c r="V5" s="3" t="s">
        <v>233</v>
      </c>
      <c r="W5" s="3" t="b">
        <v>0</v>
      </c>
      <c r="X5" s="34">
        <f t="shared" si="5"/>
        <v>1</v>
      </c>
    </row>
    <row r="6" spans="1:24" x14ac:dyDescent="0.25">
      <c r="A6" s="3" t="s">
        <v>255</v>
      </c>
      <c r="B6" s="19" t="str">
        <f>_xll.qlIborIndex(B7,B8,B9,B10,B11,B12,B13,B14,B15,B16,B17,B18,B19)</f>
        <v>US#0008</v>
      </c>
      <c r="C6" s="19"/>
      <c r="D6" s="24">
        <f t="shared" si="0"/>
        <v>9</v>
      </c>
      <c r="E6" s="2">
        <v>44567</v>
      </c>
      <c r="F6" s="84">
        <v>1.2055416201170626E-3</v>
      </c>
      <c r="G6" s="85">
        <v>0.99996986191365833</v>
      </c>
      <c r="H6" s="86" t="str">
        <f t="shared" si="1"/>
        <v>obj_0001a#0009</v>
      </c>
      <c r="I6" s="18" t="str">
        <f>_xll.qlSimpleQuote(,K6,M6,N6,O6,P6)</f>
        <v>obj_0000e#0009</v>
      </c>
      <c r="K6" s="87">
        <f t="shared" si="2"/>
        <v>1.3500000000000001E-3</v>
      </c>
      <c r="L6" s="6" t="s">
        <v>236</v>
      </c>
      <c r="M6" s="3">
        <f t="shared" si="6"/>
        <v>0.01</v>
      </c>
      <c r="N6" s="11" t="b">
        <v>0</v>
      </c>
      <c r="O6" s="34">
        <f t="shared" si="3"/>
        <v>1</v>
      </c>
      <c r="P6" s="7" t="b">
        <v>1</v>
      </c>
      <c r="Q6" s="88">
        <v>0.13500000000000001</v>
      </c>
      <c r="R6" s="28">
        <f>_xll.qlCalendarAdvance(S6,T6,U6,V6,W6,X6)</f>
        <v>44567</v>
      </c>
      <c r="S6" s="2" t="str">
        <f t="shared" si="4"/>
        <v>UnitedStates::Settlement</v>
      </c>
      <c r="T6" s="2">
        <f>R4</f>
        <v>44560</v>
      </c>
      <c r="U6" s="6" t="s">
        <v>236</v>
      </c>
      <c r="V6" s="3" t="s">
        <v>233</v>
      </c>
      <c r="W6" s="3" t="b">
        <v>0</v>
      </c>
      <c r="X6" s="34">
        <f t="shared" si="5"/>
        <v>1</v>
      </c>
    </row>
    <row r="7" spans="1:24" x14ac:dyDescent="0.25">
      <c r="A7" s="8" t="s">
        <v>10</v>
      </c>
      <c r="B7" s="9" t="s">
        <v>256</v>
      </c>
      <c r="C7" s="9"/>
      <c r="D7" s="24">
        <f t="shared" si="0"/>
        <v>16</v>
      </c>
      <c r="E7" s="2">
        <v>44574</v>
      </c>
      <c r="F7" s="84">
        <v>1.2687189064691179E-3</v>
      </c>
      <c r="G7" s="85">
        <v>0.99994361408279142</v>
      </c>
      <c r="H7" s="86" t="str">
        <f t="shared" si="1"/>
        <v>obj_00022#0009</v>
      </c>
      <c r="I7" s="18" t="str">
        <f>_xll.qlSimpleQuote(,K7,M7,N7,O7,P7)</f>
        <v>obj_0000a#0009</v>
      </c>
      <c r="K7" s="87">
        <f t="shared" si="2"/>
        <v>1.3500000000000001E-3</v>
      </c>
      <c r="L7" s="6" t="s">
        <v>237</v>
      </c>
      <c r="M7" s="3">
        <f t="shared" si="6"/>
        <v>0.01</v>
      </c>
      <c r="N7" s="11" t="b">
        <v>0</v>
      </c>
      <c r="O7" s="34">
        <f t="shared" si="3"/>
        <v>1</v>
      </c>
      <c r="P7" s="7" t="b">
        <v>1</v>
      </c>
      <c r="Q7" s="88">
        <v>0.13500000000000001</v>
      </c>
      <c r="R7" s="28">
        <f>_xll.qlCalendarAdvance(S7,T7,U7,V7,W7,X7)</f>
        <v>44574</v>
      </c>
      <c r="S7" s="2" t="str">
        <f t="shared" si="4"/>
        <v>UnitedStates::Settlement</v>
      </c>
      <c r="T7" s="2">
        <f>$T$6</f>
        <v>44560</v>
      </c>
      <c r="U7" s="6" t="s">
        <v>237</v>
      </c>
      <c r="V7" s="3" t="s">
        <v>233</v>
      </c>
      <c r="W7" s="3" t="b">
        <v>0</v>
      </c>
      <c r="X7" s="34">
        <f t="shared" si="5"/>
        <v>1</v>
      </c>
    </row>
    <row r="8" spans="1:24" x14ac:dyDescent="0.25">
      <c r="A8" s="8" t="s">
        <v>28</v>
      </c>
      <c r="B8" s="9" t="s">
        <v>257</v>
      </c>
      <c r="C8" s="9"/>
      <c r="D8" s="24">
        <f t="shared" si="0"/>
        <v>23</v>
      </c>
      <c r="E8" s="2">
        <v>44581</v>
      </c>
      <c r="F8" s="84">
        <v>3.6213340825568107E-3</v>
      </c>
      <c r="G8" s="85">
        <v>0.9997686637515274</v>
      </c>
      <c r="H8" s="86" t="str">
        <f t="shared" si="1"/>
        <v>obj_0001d#0009</v>
      </c>
      <c r="I8" s="18" t="str">
        <f>_xll.qlSimpleQuote(,K8,M8,N8,O8,P8)</f>
        <v>obj_00007#0009</v>
      </c>
      <c r="K8" s="87">
        <f t="shared" si="2"/>
        <v>3.9000000000000003E-3</v>
      </c>
      <c r="L8" s="6" t="s">
        <v>238</v>
      </c>
      <c r="M8" s="3">
        <f t="shared" si="6"/>
        <v>0.01</v>
      </c>
      <c r="N8" s="11" t="b">
        <v>0</v>
      </c>
      <c r="O8" s="34">
        <f t="shared" si="3"/>
        <v>1</v>
      </c>
      <c r="P8" s="7" t="b">
        <v>1</v>
      </c>
      <c r="Q8" s="88">
        <v>0.39</v>
      </c>
      <c r="R8" s="28">
        <f>_xll.qlCalendarAdvance(S8,T8,U8,V8,W8,X8)</f>
        <v>44581</v>
      </c>
      <c r="S8" s="2" t="str">
        <f t="shared" si="4"/>
        <v>UnitedStates::Settlement</v>
      </c>
      <c r="T8" s="2">
        <f t="shared" ref="T8:T28" si="7">$T$6</f>
        <v>44560</v>
      </c>
      <c r="U8" s="6" t="s">
        <v>238</v>
      </c>
      <c r="V8" s="3" t="s">
        <v>233</v>
      </c>
      <c r="W8" s="3" t="b">
        <v>0</v>
      </c>
      <c r="X8" s="34">
        <f t="shared" si="5"/>
        <v>1</v>
      </c>
    </row>
    <row r="9" spans="1:24" x14ac:dyDescent="0.25">
      <c r="A9" s="8" t="s">
        <v>12</v>
      </c>
      <c r="B9" s="9" t="s">
        <v>33</v>
      </c>
      <c r="C9" s="9"/>
      <c r="D9" s="24">
        <f t="shared" si="0"/>
        <v>34</v>
      </c>
      <c r="E9" s="2">
        <v>44592</v>
      </c>
      <c r="F9" s="84">
        <v>1.3587415084350325E-3</v>
      </c>
      <c r="G9" s="85">
        <v>0.9998716826464682</v>
      </c>
      <c r="H9" s="86" t="str">
        <f t="shared" si="1"/>
        <v>obj_00023#0009</v>
      </c>
      <c r="I9" s="18" t="str">
        <f>_xll.qlSimpleQuote(,K9,M9,N9,O9,P9)</f>
        <v>obj_00006#0009</v>
      </c>
      <c r="K9" s="87">
        <f t="shared" si="2"/>
        <v>1.4000000000000002E-3</v>
      </c>
      <c r="L9" s="6" t="s">
        <v>0</v>
      </c>
      <c r="M9" s="3">
        <f t="shared" si="6"/>
        <v>0.01</v>
      </c>
      <c r="N9" s="11" t="b">
        <v>0</v>
      </c>
      <c r="O9" s="34">
        <f t="shared" si="3"/>
        <v>1</v>
      </c>
      <c r="P9" s="7" t="b">
        <v>1</v>
      </c>
      <c r="Q9" s="88">
        <v>0.14000000000000001</v>
      </c>
      <c r="R9" s="28">
        <f>_xll.qlCalendarAdvance(S9,T9,U9,V9,W9,X9)</f>
        <v>44592</v>
      </c>
      <c r="S9" s="2" t="str">
        <f t="shared" si="4"/>
        <v>UnitedStates::Settlement</v>
      </c>
      <c r="T9" s="2">
        <f t="shared" si="7"/>
        <v>44560</v>
      </c>
      <c r="U9" s="6" t="s">
        <v>0</v>
      </c>
      <c r="V9" s="3" t="s">
        <v>233</v>
      </c>
      <c r="W9" s="3" t="b">
        <v>0</v>
      </c>
      <c r="X9" s="34">
        <f t="shared" si="5"/>
        <v>1</v>
      </c>
    </row>
    <row r="10" spans="1:24" x14ac:dyDescent="0.25">
      <c r="A10" s="8" t="s">
        <v>24</v>
      </c>
      <c r="B10" s="9">
        <v>2</v>
      </c>
      <c r="C10" s="9"/>
      <c r="D10" s="24">
        <f t="shared" si="0"/>
        <v>62</v>
      </c>
      <c r="E10" s="2">
        <v>44620</v>
      </c>
      <c r="F10" s="84">
        <v>2.6832612525970133E-3</v>
      </c>
      <c r="G10" s="85">
        <v>0.99953798954398976</v>
      </c>
      <c r="H10" s="86" t="str">
        <f t="shared" si="1"/>
        <v>obj_0001c#0009</v>
      </c>
      <c r="I10" s="18" t="str">
        <f>_xll.qlSimpleQuote(,K10,M10,N10,O10,P10)</f>
        <v>obj_00008#0009</v>
      </c>
      <c r="K10" s="87">
        <f t="shared" si="2"/>
        <v>2.7500000000000003E-3</v>
      </c>
      <c r="L10" s="6" t="s">
        <v>239</v>
      </c>
      <c r="M10" s="3">
        <f t="shared" si="6"/>
        <v>0.01</v>
      </c>
      <c r="N10" s="11" t="b">
        <v>0</v>
      </c>
      <c r="O10" s="34">
        <f t="shared" si="3"/>
        <v>1</v>
      </c>
      <c r="P10" s="7" t="b">
        <v>1</v>
      </c>
      <c r="Q10" s="88">
        <v>0.27500000000000002</v>
      </c>
      <c r="R10" s="28">
        <f>_xll.qlCalendarAdvance(S10,T10,U10,V10,W10,X10)</f>
        <v>44620</v>
      </c>
      <c r="S10" s="2" t="str">
        <f t="shared" si="4"/>
        <v>UnitedStates::Settlement</v>
      </c>
      <c r="T10" s="2">
        <f t="shared" si="7"/>
        <v>44560</v>
      </c>
      <c r="U10" s="6" t="s">
        <v>239</v>
      </c>
      <c r="V10" s="3" t="s">
        <v>233</v>
      </c>
      <c r="W10" s="3" t="b">
        <v>0</v>
      </c>
      <c r="X10" s="34">
        <f t="shared" si="5"/>
        <v>1</v>
      </c>
    </row>
    <row r="11" spans="1:24" x14ac:dyDescent="0.25">
      <c r="A11" s="8" t="s">
        <v>11</v>
      </c>
      <c r="B11" s="9" t="s">
        <v>214</v>
      </c>
      <c r="C11" s="9"/>
      <c r="D11" s="24">
        <f t="shared" si="0"/>
        <v>92</v>
      </c>
      <c r="E11" s="2">
        <v>44650</v>
      </c>
      <c r="F11" s="84">
        <v>2.5089877887107706E-3</v>
      </c>
      <c r="G11" s="85">
        <v>0.99935901974744168</v>
      </c>
      <c r="H11" s="86" t="str">
        <f t="shared" si="1"/>
        <v>obj_00021#0009</v>
      </c>
      <c r="I11" s="18" t="str">
        <f>_xll.qlSimpleQuote(,K11,M11,N11,O11,P11)</f>
        <v>obj_00004#0009</v>
      </c>
      <c r="K11" s="87">
        <f t="shared" si="2"/>
        <v>2.5500000000000002E-3</v>
      </c>
      <c r="L11" s="6" t="s">
        <v>1</v>
      </c>
      <c r="M11" s="3">
        <f t="shared" si="6"/>
        <v>0.01</v>
      </c>
      <c r="N11" s="11" t="b">
        <v>0</v>
      </c>
      <c r="O11" s="34">
        <f t="shared" si="3"/>
        <v>1</v>
      </c>
      <c r="P11" s="7" t="b">
        <v>1</v>
      </c>
      <c r="Q11" s="88">
        <v>0.255</v>
      </c>
      <c r="R11" s="28">
        <f>_xll.qlCalendarAdvance(S11,T11,U11,V11,W11,X11)</f>
        <v>44650</v>
      </c>
      <c r="S11" s="2" t="str">
        <f t="shared" si="4"/>
        <v>UnitedStates::Settlement</v>
      </c>
      <c r="T11" s="2">
        <f t="shared" si="7"/>
        <v>44560</v>
      </c>
      <c r="U11" s="6" t="s">
        <v>1</v>
      </c>
      <c r="V11" s="3" t="s">
        <v>233</v>
      </c>
      <c r="W11" s="3" t="b">
        <v>0</v>
      </c>
      <c r="X11" s="34">
        <f t="shared" si="5"/>
        <v>1</v>
      </c>
    </row>
    <row r="12" spans="1:24" x14ac:dyDescent="0.25">
      <c r="A12" s="8" t="s">
        <v>17</v>
      </c>
      <c r="B12" s="10" t="s">
        <v>240</v>
      </c>
      <c r="C12" s="10"/>
      <c r="D12" s="24">
        <f t="shared" si="0"/>
        <v>125</v>
      </c>
      <c r="E12" s="2">
        <v>44683</v>
      </c>
      <c r="F12" s="84">
        <v>2.9125380808414734E-3</v>
      </c>
      <c r="G12" s="85">
        <v>0.9989892132446937</v>
      </c>
      <c r="H12" s="86" t="str">
        <f t="shared" si="1"/>
        <v>obj_0001f#0009</v>
      </c>
      <c r="I12" s="18" t="str">
        <f>_xll.qlSimpleQuote(,K12,M12,N12,O12,P12)</f>
        <v>obj_00015#0009</v>
      </c>
      <c r="K12" s="87">
        <f t="shared" si="2"/>
        <v>2.9499999999999999E-3</v>
      </c>
      <c r="L12" s="6" t="s">
        <v>241</v>
      </c>
      <c r="M12" s="3">
        <f t="shared" si="6"/>
        <v>0.01</v>
      </c>
      <c r="N12" s="11" t="b">
        <v>0</v>
      </c>
      <c r="O12" s="34">
        <f t="shared" si="3"/>
        <v>1</v>
      </c>
      <c r="P12" s="7" t="b">
        <v>1</v>
      </c>
      <c r="Q12" s="88">
        <v>0.29499999999999998</v>
      </c>
      <c r="R12" s="28">
        <f>_xll.qlCalendarAdvance(S12,T12,U12,V12,W12,X12)</f>
        <v>44683</v>
      </c>
      <c r="S12" s="2" t="str">
        <f t="shared" si="4"/>
        <v>UnitedStates::Settlement</v>
      </c>
      <c r="T12" s="2">
        <f t="shared" si="7"/>
        <v>44560</v>
      </c>
      <c r="U12" s="6" t="s">
        <v>241</v>
      </c>
      <c r="V12" s="3" t="s">
        <v>233</v>
      </c>
      <c r="W12" s="3" t="b">
        <v>0</v>
      </c>
      <c r="X12" s="34">
        <f t="shared" si="5"/>
        <v>1</v>
      </c>
    </row>
    <row r="13" spans="1:24" x14ac:dyDescent="0.25">
      <c r="A13" s="8" t="s">
        <v>29</v>
      </c>
      <c r="B13" s="9" t="s">
        <v>34</v>
      </c>
      <c r="C13" s="10"/>
      <c r="D13" s="24">
        <f t="shared" si="0"/>
        <v>154</v>
      </c>
      <c r="E13" s="2">
        <v>44712</v>
      </c>
      <c r="F13" s="84">
        <v>3.2146842173366038E-3</v>
      </c>
      <c r="G13" s="85">
        <v>0.99862577464288194</v>
      </c>
      <c r="H13" s="86" t="str">
        <f t="shared" si="1"/>
        <v>obj_0001b#0009</v>
      </c>
      <c r="I13" s="18" t="str">
        <f>_xll.qlSimpleQuote(,K13,M13,N13,O13,P13)</f>
        <v>obj_00010#0009</v>
      </c>
      <c r="K13" s="87">
        <f t="shared" si="2"/>
        <v>3.2500000000000003E-3</v>
      </c>
      <c r="L13" s="6" t="s">
        <v>242</v>
      </c>
      <c r="M13" s="3">
        <f t="shared" si="6"/>
        <v>0.01</v>
      </c>
      <c r="N13" s="11" t="b">
        <v>0</v>
      </c>
      <c r="O13" s="34">
        <f t="shared" si="3"/>
        <v>1</v>
      </c>
      <c r="P13" s="7" t="b">
        <v>1</v>
      </c>
      <c r="Q13" s="88">
        <v>0.32500000000000001</v>
      </c>
      <c r="R13" s="28">
        <f>_xll.qlCalendarAdvance(S13,T13,U13,V13,W13,X13)</f>
        <v>44712</v>
      </c>
      <c r="S13" s="2" t="str">
        <f t="shared" si="4"/>
        <v>UnitedStates::Settlement</v>
      </c>
      <c r="T13" s="2">
        <f t="shared" si="7"/>
        <v>44560</v>
      </c>
      <c r="U13" s="6" t="s">
        <v>242</v>
      </c>
      <c r="V13" s="3" t="s">
        <v>233</v>
      </c>
      <c r="W13" s="3" t="b">
        <v>0</v>
      </c>
      <c r="X13" s="34">
        <f t="shared" si="5"/>
        <v>1</v>
      </c>
    </row>
    <row r="14" spans="1:24" x14ac:dyDescent="0.25">
      <c r="A14" s="8" t="s">
        <v>30</v>
      </c>
      <c r="B14" s="9" t="b">
        <v>0</v>
      </c>
      <c r="C14" s="10"/>
      <c r="D14" s="24">
        <f t="shared" si="0"/>
        <v>367</v>
      </c>
      <c r="E14" s="2">
        <v>44925</v>
      </c>
      <c r="F14" s="84">
        <v>5.3102804269112578E-3</v>
      </c>
      <c r="G14" s="85">
        <v>0.99460109089960236</v>
      </c>
      <c r="H14" s="86" t="str">
        <f t="shared" ref="H14:H28" si="8">I48</f>
        <v>obj_000ed#0010</v>
      </c>
      <c r="I14" s="18" t="str">
        <f>_xll.qlSimpleQuote(,K14,M14,N14,O14,P14)</f>
        <v>obj_00003#0009</v>
      </c>
      <c r="K14" s="87">
        <f t="shared" si="2"/>
        <v>5.3500000000000006E-3</v>
      </c>
      <c r="L14" s="6" t="s">
        <v>2</v>
      </c>
      <c r="M14" s="3">
        <f t="shared" si="6"/>
        <v>0.01</v>
      </c>
      <c r="N14" s="11" t="b">
        <v>0</v>
      </c>
      <c r="O14" s="34">
        <f t="shared" si="3"/>
        <v>1</v>
      </c>
      <c r="P14" s="7" t="b">
        <v>1</v>
      </c>
      <c r="Q14" s="88">
        <v>0.53500000000000003</v>
      </c>
      <c r="R14" s="28">
        <f>_xll.qlCalendarAdvance(S14,T14,U14,V14,W14,X14)</f>
        <v>44925</v>
      </c>
      <c r="S14" s="2" t="str">
        <f t="shared" si="4"/>
        <v>UnitedStates::Settlement</v>
      </c>
      <c r="T14" s="2">
        <f t="shared" si="7"/>
        <v>44560</v>
      </c>
      <c r="U14" s="6" t="s">
        <v>2</v>
      </c>
      <c r="V14" s="3" t="s">
        <v>233</v>
      </c>
      <c r="W14" s="3" t="b">
        <v>0</v>
      </c>
      <c r="X14" s="34">
        <f t="shared" si="5"/>
        <v>1</v>
      </c>
    </row>
    <row r="15" spans="1:24" x14ac:dyDescent="0.25">
      <c r="A15" s="8" t="s">
        <v>18</v>
      </c>
      <c r="B15" s="9" t="s">
        <v>215</v>
      </c>
      <c r="C15" s="10"/>
      <c r="D15" s="24">
        <f t="shared" si="0"/>
        <v>735</v>
      </c>
      <c r="E15" s="2">
        <v>45293</v>
      </c>
      <c r="F15" s="84">
        <v>9.3954841263321175E-3</v>
      </c>
      <c r="G15" s="85">
        <v>0.98100036557839587</v>
      </c>
      <c r="H15" s="86" t="str">
        <f t="shared" si="8"/>
        <v>obj_000f3#0010</v>
      </c>
      <c r="I15" s="18" t="str">
        <f>_xll.qlSimpleQuote(,K15,M15,N15,O15,P15)</f>
        <v>obj_00011#0009</v>
      </c>
      <c r="K15" s="87">
        <f t="shared" si="2"/>
        <v>9.3500000000000007E-3</v>
      </c>
      <c r="L15" s="6" t="s">
        <v>3</v>
      </c>
      <c r="M15" s="3">
        <f t="shared" si="6"/>
        <v>0.01</v>
      </c>
      <c r="N15" s="11" t="b">
        <v>0</v>
      </c>
      <c r="O15" s="34">
        <f t="shared" si="3"/>
        <v>1</v>
      </c>
      <c r="P15" s="7" t="b">
        <v>1</v>
      </c>
      <c r="Q15" s="88">
        <v>0.93500000000000005</v>
      </c>
      <c r="R15" s="28">
        <f>_xll.qlCalendarAdvance(S15,T15,U15,V15,W15,X15)</f>
        <v>45293</v>
      </c>
      <c r="S15" s="2" t="str">
        <f t="shared" si="4"/>
        <v>UnitedStates::Settlement</v>
      </c>
      <c r="T15" s="2">
        <f t="shared" si="7"/>
        <v>44560</v>
      </c>
      <c r="U15" s="6" t="s">
        <v>3</v>
      </c>
      <c r="V15" s="3" t="s">
        <v>233</v>
      </c>
      <c r="W15" s="3" t="b">
        <v>0</v>
      </c>
      <c r="X15" s="34">
        <f t="shared" si="5"/>
        <v>1</v>
      </c>
    </row>
    <row r="16" spans="1:24" x14ac:dyDescent="0.25">
      <c r="A16" s="8" t="s">
        <v>31</v>
      </c>
      <c r="B16" s="9"/>
      <c r="C16" s="10"/>
      <c r="D16" s="24">
        <f t="shared" si="0"/>
        <v>1098</v>
      </c>
      <c r="E16" s="2">
        <v>45656</v>
      </c>
      <c r="F16" s="84">
        <v>1.1634036150071653E-2</v>
      </c>
      <c r="G16" s="85">
        <v>0.9651383594448214</v>
      </c>
      <c r="H16" s="86" t="str">
        <f t="shared" si="8"/>
        <v>obj_000eb#0010</v>
      </c>
      <c r="I16" s="18" t="str">
        <f>_xll.qlSimpleQuote(,K16,M16,N16,O16,P16)</f>
        <v>obj_00012#0009</v>
      </c>
      <c r="K16" s="87">
        <f t="shared" si="2"/>
        <v>1.1679999999999999E-2</v>
      </c>
      <c r="L16" s="6" t="s">
        <v>4</v>
      </c>
      <c r="M16" s="3">
        <f t="shared" si="6"/>
        <v>0.01</v>
      </c>
      <c r="N16" s="11" t="b">
        <v>0</v>
      </c>
      <c r="O16" s="34">
        <f t="shared" si="3"/>
        <v>1</v>
      </c>
      <c r="P16" s="7" t="b">
        <v>1</v>
      </c>
      <c r="Q16" s="88">
        <v>1.1679999999999999</v>
      </c>
      <c r="R16" s="28">
        <f>_xll.qlCalendarAdvance(S16,T16,U16,V16,W16,X16)</f>
        <v>45656</v>
      </c>
      <c r="S16" s="2" t="str">
        <f t="shared" si="4"/>
        <v>UnitedStates::Settlement</v>
      </c>
      <c r="T16" s="2">
        <f t="shared" si="7"/>
        <v>44560</v>
      </c>
      <c r="U16" s="6" t="s">
        <v>4</v>
      </c>
      <c r="V16" s="3" t="s">
        <v>233</v>
      </c>
      <c r="W16" s="3" t="b">
        <v>0</v>
      </c>
      <c r="X16" s="34">
        <f t="shared" si="5"/>
        <v>1</v>
      </c>
    </row>
    <row r="17" spans="1:24" x14ac:dyDescent="0.25">
      <c r="A17" s="8" t="s">
        <v>13</v>
      </c>
      <c r="B17" s="11" t="b">
        <v>0</v>
      </c>
      <c r="C17" s="10"/>
      <c r="D17" s="24">
        <f t="shared" si="0"/>
        <v>1463</v>
      </c>
      <c r="E17" s="2">
        <v>46021</v>
      </c>
      <c r="F17" s="84">
        <v>1.2636902920782966E-2</v>
      </c>
      <c r="G17" s="85">
        <v>0.94994141057369186</v>
      </c>
      <c r="H17" s="86" t="str">
        <f t="shared" si="8"/>
        <v>obj_000ea#0010</v>
      </c>
      <c r="I17" s="18" t="str">
        <f>_xll.qlSimpleQuote(,K17,M17,N17,O17,P17)</f>
        <v>obj_00018#0009</v>
      </c>
      <c r="K17" s="87">
        <f t="shared" si="2"/>
        <v>1.268E-2</v>
      </c>
      <c r="L17" s="6" t="s">
        <v>109</v>
      </c>
      <c r="M17" s="3">
        <f t="shared" si="6"/>
        <v>0.01</v>
      </c>
      <c r="N17" s="11" t="b">
        <v>0</v>
      </c>
      <c r="O17" s="34">
        <f t="shared" si="3"/>
        <v>1</v>
      </c>
      <c r="P17" s="7" t="b">
        <v>1</v>
      </c>
      <c r="Q17" s="88">
        <v>1.268</v>
      </c>
      <c r="R17" s="28">
        <f>_xll.qlCalendarAdvance(S17,T17,U17,V17,W17,X17)</f>
        <v>46021</v>
      </c>
      <c r="S17" s="2" t="str">
        <f t="shared" si="4"/>
        <v>UnitedStates::Settlement</v>
      </c>
      <c r="T17" s="2">
        <f t="shared" si="7"/>
        <v>44560</v>
      </c>
      <c r="U17" s="6" t="s">
        <v>109</v>
      </c>
      <c r="V17" s="3" t="s">
        <v>233</v>
      </c>
      <c r="W17" s="3" t="b">
        <v>0</v>
      </c>
      <c r="X17" s="34">
        <f t="shared" si="5"/>
        <v>1</v>
      </c>
    </row>
    <row r="18" spans="1:24" x14ac:dyDescent="0.25">
      <c r="A18" s="8" t="s">
        <v>14</v>
      </c>
      <c r="B18" s="34">
        <f>$B$4</f>
        <v>1</v>
      </c>
      <c r="C18" s="10"/>
      <c r="D18" s="24">
        <f t="shared" si="0"/>
        <v>1828</v>
      </c>
      <c r="E18" s="2">
        <v>46386</v>
      </c>
      <c r="F18" s="84">
        <v>1.3310488759883773E-2</v>
      </c>
      <c r="G18" s="85">
        <v>0.93464574481694607</v>
      </c>
      <c r="H18" s="86" t="str">
        <f t="shared" si="8"/>
        <v>obj_000f5#0010</v>
      </c>
      <c r="I18" s="18" t="str">
        <f>_xll.qlSimpleQuote(,K18,M18,N18,O18,P18)</f>
        <v>obj_0000c#0009</v>
      </c>
      <c r="K18" s="87">
        <f t="shared" si="2"/>
        <v>1.3349999999999999E-2</v>
      </c>
      <c r="L18" s="6" t="s">
        <v>5</v>
      </c>
      <c r="M18" s="3">
        <f t="shared" si="6"/>
        <v>0.01</v>
      </c>
      <c r="N18" s="11" t="b">
        <v>0</v>
      </c>
      <c r="O18" s="34">
        <f t="shared" si="3"/>
        <v>1</v>
      </c>
      <c r="P18" s="7" t="b">
        <v>1</v>
      </c>
      <c r="Q18" s="88">
        <v>1.335</v>
      </c>
      <c r="R18" s="28">
        <f>_xll.qlCalendarAdvance(S18,T18,U18,V18,W18,X18)</f>
        <v>46386</v>
      </c>
      <c r="S18" s="2" t="str">
        <f t="shared" si="4"/>
        <v>UnitedStates::Settlement</v>
      </c>
      <c r="T18" s="2">
        <f t="shared" si="7"/>
        <v>44560</v>
      </c>
      <c r="U18" s="6" t="s">
        <v>5</v>
      </c>
      <c r="V18" s="3" t="s">
        <v>233</v>
      </c>
      <c r="W18" s="3" t="b">
        <v>0</v>
      </c>
      <c r="X18" s="34">
        <f t="shared" si="5"/>
        <v>1</v>
      </c>
    </row>
    <row r="19" spans="1:24" x14ac:dyDescent="0.25">
      <c r="A19" s="8" t="s">
        <v>15</v>
      </c>
      <c r="B19" s="11" t="b">
        <v>1</v>
      </c>
      <c r="C19" s="10"/>
      <c r="D19" s="24">
        <f t="shared" si="0"/>
        <v>2193</v>
      </c>
      <c r="E19" s="2">
        <v>46751</v>
      </c>
      <c r="F19" s="84">
        <v>1.3783916382856054E-2</v>
      </c>
      <c r="G19" s="85">
        <v>0.91946157579179533</v>
      </c>
      <c r="H19" s="86" t="str">
        <f t="shared" si="8"/>
        <v>obj_000e7#0011</v>
      </c>
      <c r="I19" s="18" t="str">
        <f>_xll.qlSimpleQuote(,K19,M19,N19,O19,P19)</f>
        <v>obj_00000#0009</v>
      </c>
      <c r="K19" s="87">
        <f t="shared" si="2"/>
        <v>1.3819999999999999E-2</v>
      </c>
      <c r="L19" s="6" t="s">
        <v>110</v>
      </c>
      <c r="M19" s="3">
        <f t="shared" si="6"/>
        <v>0.01</v>
      </c>
      <c r="N19" s="11" t="b">
        <v>0</v>
      </c>
      <c r="O19" s="34">
        <f t="shared" si="3"/>
        <v>1</v>
      </c>
      <c r="P19" s="7" t="b">
        <v>1</v>
      </c>
      <c r="Q19" s="88">
        <v>1.3819999999999999</v>
      </c>
      <c r="R19" s="28">
        <f>_xll.qlCalendarAdvance(S19,T19,U19,V19,W19,X19)</f>
        <v>46751</v>
      </c>
      <c r="S19" s="2" t="str">
        <f t="shared" si="4"/>
        <v>UnitedStates::Settlement</v>
      </c>
      <c r="T19" s="2">
        <f t="shared" si="7"/>
        <v>44560</v>
      </c>
      <c r="U19" s="6" t="s">
        <v>110</v>
      </c>
      <c r="V19" s="3" t="s">
        <v>233</v>
      </c>
      <c r="W19" s="3" t="b">
        <v>0</v>
      </c>
      <c r="X19" s="34">
        <f t="shared" si="5"/>
        <v>1</v>
      </c>
    </row>
    <row r="20" spans="1:24" x14ac:dyDescent="0.25">
      <c r="D20" s="24">
        <f t="shared" si="0"/>
        <v>2562</v>
      </c>
      <c r="E20" s="2">
        <v>47120</v>
      </c>
      <c r="F20" s="84">
        <v>1.4236045757028486E-2</v>
      </c>
      <c r="G20" s="85">
        <v>0.90364997234496991</v>
      </c>
      <c r="H20" s="86" t="str">
        <f t="shared" si="8"/>
        <v>obj_000e9#0010</v>
      </c>
      <c r="I20" s="18" t="str">
        <f>_xll.qlSimpleQuote(,K20,M20,N20,O20,P20)</f>
        <v>obj_00005#0009</v>
      </c>
      <c r="K20" s="87">
        <f t="shared" si="2"/>
        <v>1.4239999999999999E-2</v>
      </c>
      <c r="L20" s="6" t="s">
        <v>6</v>
      </c>
      <c r="M20" s="3">
        <f t="shared" si="6"/>
        <v>0.01</v>
      </c>
      <c r="N20" s="11" t="b">
        <v>0</v>
      </c>
      <c r="O20" s="34">
        <f t="shared" si="3"/>
        <v>1</v>
      </c>
      <c r="P20" s="7" t="b">
        <v>1</v>
      </c>
      <c r="Q20" s="88">
        <v>1.4239999999999999</v>
      </c>
      <c r="R20" s="28">
        <f>_xll.qlCalendarAdvance(S20,T20,U20,V20,W20,X20)</f>
        <v>47120</v>
      </c>
      <c r="S20" s="2" t="str">
        <f t="shared" si="4"/>
        <v>UnitedStates::Settlement</v>
      </c>
      <c r="T20" s="2">
        <f t="shared" si="7"/>
        <v>44560</v>
      </c>
      <c r="U20" s="6" t="s">
        <v>6</v>
      </c>
      <c r="V20" s="3" t="s">
        <v>233</v>
      </c>
      <c r="W20" s="3" t="b">
        <v>0</v>
      </c>
      <c r="X20" s="34">
        <f t="shared" si="5"/>
        <v>1</v>
      </c>
    </row>
    <row r="21" spans="1:24" x14ac:dyDescent="0.25">
      <c r="D21" s="24">
        <f t="shared" si="0"/>
        <v>2925</v>
      </c>
      <c r="E21" s="2">
        <v>47483</v>
      </c>
      <c r="F21" s="84">
        <v>1.4769116431104332E-2</v>
      </c>
      <c r="G21" s="85">
        <v>0.88692126066421118</v>
      </c>
      <c r="H21" s="86" t="str">
        <f t="shared" si="8"/>
        <v>obj_000e8#0010</v>
      </c>
      <c r="I21" s="18" t="str">
        <f>_xll.qlSimpleQuote(,K21,M21,N21,O21,P21)</f>
        <v>obj_00017#0009</v>
      </c>
      <c r="K21" s="87">
        <f t="shared" si="2"/>
        <v>1.4785E-2</v>
      </c>
      <c r="L21" s="6" t="s">
        <v>111</v>
      </c>
      <c r="M21" s="3">
        <f t="shared" si="6"/>
        <v>0.01</v>
      </c>
      <c r="N21" s="11" t="b">
        <v>0</v>
      </c>
      <c r="O21" s="34">
        <f t="shared" si="3"/>
        <v>1</v>
      </c>
      <c r="P21" s="7" t="b">
        <v>1</v>
      </c>
      <c r="Q21" s="88">
        <v>1.4784999999999999</v>
      </c>
      <c r="R21" s="28">
        <f>_xll.qlCalendarAdvance(S21,T21,U21,V21,W21,X21)</f>
        <v>47483</v>
      </c>
      <c r="S21" s="2" t="str">
        <f t="shared" si="4"/>
        <v>UnitedStates::Settlement</v>
      </c>
      <c r="T21" s="2">
        <f t="shared" si="7"/>
        <v>44560</v>
      </c>
      <c r="U21" s="6" t="s">
        <v>111</v>
      </c>
      <c r="V21" s="3" t="s">
        <v>233</v>
      </c>
      <c r="W21" s="3" t="b">
        <v>0</v>
      </c>
      <c r="X21" s="34">
        <f t="shared" si="5"/>
        <v>1</v>
      </c>
    </row>
    <row r="22" spans="1:24" x14ac:dyDescent="0.25">
      <c r="D22" s="24">
        <f t="shared" si="0"/>
        <v>3289</v>
      </c>
      <c r="E22" s="2">
        <v>47847</v>
      </c>
      <c r="F22" s="84">
        <v>1.4837752914724309E-2</v>
      </c>
      <c r="G22" s="85">
        <v>0.87322732725497021</v>
      </c>
      <c r="H22" s="86" t="str">
        <f t="shared" si="8"/>
        <v>obj_000ef#0010</v>
      </c>
      <c r="I22" s="18" t="str">
        <f>_xll.qlSimpleQuote(,K22,M22,N22,O22,P22)</f>
        <v>obj_00002#0009</v>
      </c>
      <c r="K22" s="87">
        <f t="shared" si="2"/>
        <v>1.486E-2</v>
      </c>
      <c r="L22" s="6" t="s">
        <v>112</v>
      </c>
      <c r="M22" s="3">
        <f t="shared" si="6"/>
        <v>0.01</v>
      </c>
      <c r="N22" s="11" t="b">
        <v>0</v>
      </c>
      <c r="O22" s="34">
        <f t="shared" si="3"/>
        <v>1</v>
      </c>
      <c r="P22" s="7" t="b">
        <v>1</v>
      </c>
      <c r="Q22" s="88">
        <v>1.486</v>
      </c>
      <c r="R22" s="28">
        <f>_xll.qlCalendarAdvance(S22,T22,U22,V22,W22,X22)</f>
        <v>47847</v>
      </c>
      <c r="S22" s="2" t="str">
        <f t="shared" si="4"/>
        <v>UnitedStates::Settlement</v>
      </c>
      <c r="T22" s="2">
        <f t="shared" si="7"/>
        <v>44560</v>
      </c>
      <c r="U22" s="6" t="s">
        <v>112</v>
      </c>
      <c r="V22" s="3" t="s">
        <v>233</v>
      </c>
      <c r="W22" s="3" t="b">
        <v>0</v>
      </c>
      <c r="X22" s="34">
        <f t="shared" si="5"/>
        <v>1</v>
      </c>
    </row>
    <row r="23" spans="1:24" x14ac:dyDescent="0.25">
      <c r="D23" s="24">
        <f t="shared" si="0"/>
        <v>3654</v>
      </c>
      <c r="E23" s="2">
        <v>48212</v>
      </c>
      <c r="F23" s="84">
        <v>1.5136959098520558E-2</v>
      </c>
      <c r="G23" s="85">
        <v>0.85758057885218042</v>
      </c>
      <c r="H23" s="86" t="str">
        <f t="shared" si="8"/>
        <v>obj_000ee#0010</v>
      </c>
      <c r="I23" s="18" t="str">
        <f>_xll.qlSimpleQuote(,K23,M23,N23,O23,P23)</f>
        <v>obj_00016#0009</v>
      </c>
      <c r="K23" s="87">
        <f t="shared" si="2"/>
        <v>1.5149999999999999E-2</v>
      </c>
      <c r="L23" s="6" t="s">
        <v>7</v>
      </c>
      <c r="M23" s="3">
        <f t="shared" si="6"/>
        <v>0.01</v>
      </c>
      <c r="N23" s="11" t="b">
        <v>0</v>
      </c>
      <c r="O23" s="34">
        <f t="shared" si="3"/>
        <v>1</v>
      </c>
      <c r="P23" s="7" t="b">
        <v>1</v>
      </c>
      <c r="Q23" s="88">
        <v>1.5149999999999999</v>
      </c>
      <c r="R23" s="28">
        <f>_xll.qlCalendarAdvance(S23,T23,U23,V23,W23,X23)</f>
        <v>48212</v>
      </c>
      <c r="S23" s="2" t="str">
        <f t="shared" si="4"/>
        <v>UnitedStates::Settlement</v>
      </c>
      <c r="T23" s="2">
        <f t="shared" si="7"/>
        <v>44560</v>
      </c>
      <c r="U23" s="6" t="s">
        <v>7</v>
      </c>
      <c r="V23" s="3" t="s">
        <v>233</v>
      </c>
      <c r="W23" s="3" t="b">
        <v>0</v>
      </c>
      <c r="X23" s="34">
        <f t="shared" si="5"/>
        <v>1</v>
      </c>
    </row>
    <row r="24" spans="1:24" x14ac:dyDescent="0.25">
      <c r="A24" s="8" t="s">
        <v>48</v>
      </c>
      <c r="B24" s="13" t="str">
        <f>_xll.qlPiecewiseYieldCurve(B25,B26,B27,$H$3:$H$28,B29,B30,B31,B32,B33,B34,B35,B36,B37)</f>
        <v>USDZC#0012</v>
      </c>
      <c r="C24" s="13" t="str">
        <f>_xll.qlPiecewiseYieldCurve(C25,C26,C27,$H$3:$H$28,C29,C30,C31,C32,C33,C34,C35,C36,C37)</f>
        <v>USDDF#0012</v>
      </c>
      <c r="D24" s="24">
        <f t="shared" si="0"/>
        <v>4385</v>
      </c>
      <c r="E24" s="2">
        <v>48943</v>
      </c>
      <c r="F24" s="84">
        <v>1.5754058004490961E-2</v>
      </c>
      <c r="G24" s="85">
        <v>0.82539503351257748</v>
      </c>
      <c r="H24" s="86" t="str">
        <f t="shared" si="8"/>
        <v>obj_000f2#0010</v>
      </c>
      <c r="I24" s="18" t="str">
        <f>_xll.qlSimpleQuote(,K24,M24,N24,O24,P24)</f>
        <v>obj_0000d#0009</v>
      </c>
      <c r="K24" s="87">
        <f t="shared" si="2"/>
        <v>1.5740000000000001E-2</v>
      </c>
      <c r="L24" s="6" t="s">
        <v>243</v>
      </c>
      <c r="M24" s="3">
        <f t="shared" si="6"/>
        <v>0.01</v>
      </c>
      <c r="N24" s="11" t="b">
        <v>0</v>
      </c>
      <c r="O24" s="34">
        <f t="shared" si="3"/>
        <v>1</v>
      </c>
      <c r="P24" s="7" t="b">
        <v>1</v>
      </c>
      <c r="Q24" s="88">
        <v>1.5740000000000001</v>
      </c>
      <c r="R24" s="28">
        <f>_xll.qlCalendarAdvance(S24,T24,U24,V24,W24,X24)</f>
        <v>48943</v>
      </c>
      <c r="S24" s="2" t="str">
        <f t="shared" si="4"/>
        <v>UnitedStates::Settlement</v>
      </c>
      <c r="T24" s="2">
        <f t="shared" si="7"/>
        <v>44560</v>
      </c>
      <c r="U24" s="6" t="s">
        <v>243</v>
      </c>
      <c r="V24" s="3" t="s">
        <v>233</v>
      </c>
      <c r="W24" s="3" t="b">
        <v>0</v>
      </c>
      <c r="X24" s="34">
        <f t="shared" si="5"/>
        <v>1</v>
      </c>
    </row>
    <row r="25" spans="1:24" x14ac:dyDescent="0.25">
      <c r="A25" s="3" t="s">
        <v>35</v>
      </c>
      <c r="B25" s="3" t="s">
        <v>244</v>
      </c>
      <c r="C25" s="3" t="s">
        <v>245</v>
      </c>
      <c r="D25" s="24">
        <f t="shared" si="0"/>
        <v>5481</v>
      </c>
      <c r="E25" s="2">
        <v>50039</v>
      </c>
      <c r="F25" s="84">
        <v>1.6407999558882107E-2</v>
      </c>
      <c r="G25" s="85">
        <v>0.77894737240333611</v>
      </c>
      <c r="H25" s="86" t="str">
        <f t="shared" si="8"/>
        <v>obj_000ec#0010</v>
      </c>
      <c r="I25" s="18" t="str">
        <f>_xll.qlSimpleQuote(,K25,M25,N25,O25,P25)</f>
        <v>obj_00009#0009</v>
      </c>
      <c r="K25" s="87">
        <f t="shared" si="2"/>
        <v>1.636E-2</v>
      </c>
      <c r="L25" s="6" t="s">
        <v>246</v>
      </c>
      <c r="M25" s="3">
        <f t="shared" si="6"/>
        <v>0.01</v>
      </c>
      <c r="N25" s="11" t="b">
        <v>0</v>
      </c>
      <c r="O25" s="34">
        <f t="shared" si="3"/>
        <v>1</v>
      </c>
      <c r="P25" s="7" t="b">
        <v>1</v>
      </c>
      <c r="Q25" s="88">
        <v>1.6359999999999999</v>
      </c>
      <c r="R25" s="28">
        <f>_xll.qlCalendarAdvance(S25,T25,U25,V25,W25,X25)</f>
        <v>50039</v>
      </c>
      <c r="S25" s="2" t="str">
        <f t="shared" si="4"/>
        <v>UnitedStates::Settlement</v>
      </c>
      <c r="T25" s="2">
        <f t="shared" si="7"/>
        <v>44560</v>
      </c>
      <c r="U25" s="6" t="s">
        <v>246</v>
      </c>
      <c r="V25" s="3" t="s">
        <v>233</v>
      </c>
      <c r="W25" s="3" t="b">
        <v>0</v>
      </c>
      <c r="X25" s="34">
        <f t="shared" si="5"/>
        <v>1</v>
      </c>
    </row>
    <row r="26" spans="1:24" x14ac:dyDescent="0.25">
      <c r="A26" s="3" t="s">
        <v>36</v>
      </c>
      <c r="B26" s="3">
        <v>0</v>
      </c>
      <c r="C26" s="3">
        <v>0</v>
      </c>
      <c r="D26" s="24">
        <f t="shared" si="0"/>
        <v>7307</v>
      </c>
      <c r="E26" s="2">
        <v>51865</v>
      </c>
      <c r="F26" s="84">
        <v>1.7045315534635709E-2</v>
      </c>
      <c r="G26" s="85">
        <v>0.70753190345811368</v>
      </c>
      <c r="H26" s="86" t="str">
        <f t="shared" si="8"/>
        <v>obj_000f0#0010</v>
      </c>
      <c r="I26" s="18" t="str">
        <f>_xll.qlSimpleQuote(,K26,M26,N26,O26,P26)</f>
        <v>obj_0000f#0009</v>
      </c>
      <c r="K26" s="87">
        <f t="shared" si="2"/>
        <v>1.6959999999999999E-2</v>
      </c>
      <c r="L26" s="6" t="s">
        <v>247</v>
      </c>
      <c r="M26" s="3">
        <f t="shared" si="6"/>
        <v>0.01</v>
      </c>
      <c r="N26" s="11" t="b">
        <v>0</v>
      </c>
      <c r="O26" s="34">
        <f t="shared" si="3"/>
        <v>1</v>
      </c>
      <c r="P26" s="7" t="b">
        <v>1</v>
      </c>
      <c r="Q26" s="88">
        <v>1.696</v>
      </c>
      <c r="R26" s="28">
        <f>_xll.qlCalendarAdvance(S26,T26,U26,V26,W26,X26)</f>
        <v>51865</v>
      </c>
      <c r="S26" s="2" t="str">
        <f t="shared" si="4"/>
        <v>UnitedStates::Settlement</v>
      </c>
      <c r="T26" s="2">
        <f t="shared" si="7"/>
        <v>44560</v>
      </c>
      <c r="U26" s="6" t="s">
        <v>247</v>
      </c>
      <c r="V26" s="3" t="s">
        <v>233</v>
      </c>
      <c r="W26" s="3" t="b">
        <v>0</v>
      </c>
      <c r="X26" s="34">
        <f t="shared" si="5"/>
        <v>1</v>
      </c>
    </row>
    <row r="27" spans="1:24" x14ac:dyDescent="0.25">
      <c r="A27" s="3" t="s">
        <v>37</v>
      </c>
      <c r="B27" s="2" t="str">
        <f>B12</f>
        <v>UnitedStates::Settlement</v>
      </c>
      <c r="C27" s="2" t="str">
        <f>B27</f>
        <v>UnitedStates::Settlement</v>
      </c>
      <c r="D27" s="24">
        <f t="shared" si="0"/>
        <v>9134</v>
      </c>
      <c r="E27" s="2">
        <v>53692</v>
      </c>
      <c r="F27" s="84">
        <v>1.6844338089439338E-2</v>
      </c>
      <c r="G27" s="85">
        <v>0.65221677899701269</v>
      </c>
      <c r="H27" s="86" t="str">
        <f t="shared" si="8"/>
        <v>obj_000f4#0010</v>
      </c>
      <c r="I27" s="18" t="str">
        <f>_xll.qlSimpleQuote(,K27,M27,N27,O27,P27)</f>
        <v>obj_00013#0009</v>
      </c>
      <c r="K27" s="87">
        <f t="shared" si="2"/>
        <v>1.6830000000000001E-2</v>
      </c>
      <c r="L27" s="6" t="s">
        <v>248</v>
      </c>
      <c r="M27" s="3">
        <f t="shared" si="6"/>
        <v>0.01</v>
      </c>
      <c r="N27" s="11" t="b">
        <v>0</v>
      </c>
      <c r="O27" s="34">
        <f t="shared" si="3"/>
        <v>1</v>
      </c>
      <c r="P27" s="7" t="b">
        <v>1</v>
      </c>
      <c r="Q27" s="88">
        <v>1.6830000000000001</v>
      </c>
      <c r="R27" s="28">
        <f>_xll.qlCalendarAdvance(S27,T27,U27,V27,W27,X27)</f>
        <v>53692</v>
      </c>
      <c r="S27" s="2" t="str">
        <f t="shared" si="4"/>
        <v>UnitedStates::Settlement</v>
      </c>
      <c r="T27" s="2">
        <f t="shared" si="7"/>
        <v>44560</v>
      </c>
      <c r="U27" s="6" t="s">
        <v>248</v>
      </c>
      <c r="V27" s="3" t="s">
        <v>233</v>
      </c>
      <c r="W27" s="3" t="b">
        <v>0</v>
      </c>
      <c r="X27" s="34">
        <f t="shared" si="5"/>
        <v>1</v>
      </c>
    </row>
    <row r="28" spans="1:24" x14ac:dyDescent="0.25">
      <c r="A28" s="3" t="s">
        <v>38</v>
      </c>
      <c r="D28" s="24">
        <f t="shared" si="0"/>
        <v>10962</v>
      </c>
      <c r="E28" s="2">
        <v>55520</v>
      </c>
      <c r="F28" s="84">
        <v>1.6662353286331481E-2</v>
      </c>
      <c r="G28" s="85">
        <v>0.60207776903776511</v>
      </c>
      <c r="H28" s="86" t="str">
        <f t="shared" si="8"/>
        <v>obj_000f1#0010</v>
      </c>
      <c r="I28" s="18" t="str">
        <f>_xll.qlSimpleQuote(,K28,M28,N28,O28,P28)</f>
        <v>obj_0000b#0009</v>
      </c>
      <c r="K28" s="87">
        <f t="shared" si="2"/>
        <v>1.67E-2</v>
      </c>
      <c r="L28" s="6" t="s">
        <v>249</v>
      </c>
      <c r="M28" s="3">
        <f t="shared" si="6"/>
        <v>0.01</v>
      </c>
      <c r="N28" s="11" t="b">
        <v>0</v>
      </c>
      <c r="O28" s="34">
        <f t="shared" si="3"/>
        <v>1</v>
      </c>
      <c r="P28" s="7" t="b">
        <v>1</v>
      </c>
      <c r="Q28" s="88">
        <v>1.67</v>
      </c>
      <c r="R28" s="28">
        <f>_xll.qlCalendarAdvance(S28,T28,U28,V28,W28,X28)</f>
        <v>55520</v>
      </c>
      <c r="S28" s="2" t="str">
        <f t="shared" si="4"/>
        <v>UnitedStates::Settlement</v>
      </c>
      <c r="T28" s="2">
        <f t="shared" si="7"/>
        <v>44560</v>
      </c>
      <c r="U28" s="6" t="s">
        <v>249</v>
      </c>
      <c r="V28" s="3" t="s">
        <v>233</v>
      </c>
      <c r="W28" s="3" t="b">
        <v>0</v>
      </c>
      <c r="X28" s="34">
        <f t="shared" si="5"/>
        <v>1</v>
      </c>
    </row>
    <row r="29" spans="1:24" x14ac:dyDescent="0.25">
      <c r="A29" s="3" t="s">
        <v>39</v>
      </c>
      <c r="B29" s="3" t="str">
        <f>B15</f>
        <v>A/360</v>
      </c>
      <c r="C29" s="3" t="str">
        <f>B29</f>
        <v>A/360</v>
      </c>
      <c r="I29" s="18"/>
      <c r="K29" s="89"/>
      <c r="L29" s="6"/>
    </row>
    <row r="30" spans="1:24" x14ac:dyDescent="0.25">
      <c r="A30" s="3" t="s">
        <v>40</v>
      </c>
      <c r="D30" s="23"/>
      <c r="F30" s="84">
        <f>-LN(G27)/(D27/360)</f>
        <v>1.6844338089439342E-2</v>
      </c>
      <c r="G30" s="23"/>
      <c r="I30" s="70" t="s">
        <v>250</v>
      </c>
      <c r="J30" s="70" t="s">
        <v>10</v>
      </c>
      <c r="K30" s="70" t="s">
        <v>23</v>
      </c>
      <c r="L30" s="70" t="s">
        <v>12</v>
      </c>
      <c r="M30" s="70" t="s">
        <v>24</v>
      </c>
      <c r="N30" s="70" t="s">
        <v>17</v>
      </c>
      <c r="O30" s="70" t="s">
        <v>25</v>
      </c>
      <c r="P30" s="70" t="s">
        <v>26</v>
      </c>
      <c r="Q30" s="70" t="s">
        <v>18</v>
      </c>
      <c r="R30" s="70" t="s">
        <v>13</v>
      </c>
      <c r="S30" s="70" t="s">
        <v>14</v>
      </c>
      <c r="T30" s="70" t="s">
        <v>15</v>
      </c>
    </row>
    <row r="31" spans="1:24" x14ac:dyDescent="0.25">
      <c r="A31" s="3" t="s">
        <v>41</v>
      </c>
      <c r="D31" s="23"/>
      <c r="F31" s="23"/>
      <c r="G31" s="23"/>
      <c r="I31" s="14" t="str">
        <f>_xll.qlDepositRateHelper2(J31,K31,L31,M31,N31,O31,P31,Q31,R31,S31,T31)</f>
        <v>obj_00020#0009</v>
      </c>
      <c r="K31" s="13" t="str">
        <f t="shared" ref="K31:K41" si="9">I3</f>
        <v>obj_00001#0009</v>
      </c>
      <c r="L31" s="90" t="s">
        <v>232</v>
      </c>
      <c r="M31" s="90">
        <v>0</v>
      </c>
      <c r="N31" s="41" t="str">
        <f>$B$12</f>
        <v>UnitedStates::Settlement</v>
      </c>
      <c r="O31" s="39" t="s">
        <v>251</v>
      </c>
      <c r="P31" s="39" t="b">
        <f>$B$14</f>
        <v>0</v>
      </c>
      <c r="Q31" s="3" t="str">
        <f>$B$15</f>
        <v>A/360</v>
      </c>
      <c r="R31" s="11" t="b">
        <v>0</v>
      </c>
      <c r="S31" s="34">
        <f t="shared" ref="S31:S41" si="10">$B$4</f>
        <v>1</v>
      </c>
      <c r="T31" s="7" t="b">
        <v>1</v>
      </c>
    </row>
    <row r="32" spans="1:24" x14ac:dyDescent="0.25">
      <c r="A32" s="3" t="s">
        <v>42</v>
      </c>
      <c r="D32" s="23"/>
      <c r="F32" s="23"/>
      <c r="G32" s="23"/>
      <c r="I32" s="14" t="str">
        <f>_xll.qlDepositRateHelper2(J32,K32,L32,M32,N32,O32,P32,Q32,R32,S32,T32)</f>
        <v>obj_0001e#0009</v>
      </c>
      <c r="K32" s="13" t="str">
        <f t="shared" si="9"/>
        <v>obj_00014#0009</v>
      </c>
      <c r="L32" s="90" t="s">
        <v>232</v>
      </c>
      <c r="M32" s="90">
        <v>1</v>
      </c>
      <c r="N32" s="41" t="str">
        <f t="shared" ref="N32:N41" si="11">$B$12</f>
        <v>UnitedStates::Settlement</v>
      </c>
      <c r="O32" s="39" t="s">
        <v>251</v>
      </c>
      <c r="P32" s="39" t="b">
        <f t="shared" ref="P32:P41" si="12">$B$14</f>
        <v>0</v>
      </c>
      <c r="Q32" s="3" t="str">
        <f t="shared" ref="Q32:Q41" si="13">$B$15</f>
        <v>A/360</v>
      </c>
      <c r="R32" s="11" t="b">
        <v>0</v>
      </c>
      <c r="S32" s="34">
        <f t="shared" si="10"/>
        <v>1</v>
      </c>
      <c r="T32" s="7" t="b">
        <v>1</v>
      </c>
    </row>
    <row r="33" spans="1:26" x14ac:dyDescent="0.25">
      <c r="A33" s="3" t="s">
        <v>43</v>
      </c>
      <c r="B33" s="91" t="s">
        <v>71</v>
      </c>
      <c r="C33" s="23" t="s">
        <v>252</v>
      </c>
      <c r="D33" s="23"/>
      <c r="F33" s="23"/>
      <c r="G33" s="23"/>
      <c r="I33" s="14" t="str">
        <f>_xll.qlDepositRateHelper2(J33,K33,L33,M33,N33,O33,P33,Q33,R33,S33,T33)</f>
        <v>obj_00024#0009</v>
      </c>
      <c r="K33" s="13" t="str">
        <f t="shared" si="9"/>
        <v>obj_00019#0009</v>
      </c>
      <c r="L33" s="90" t="s">
        <v>232</v>
      </c>
      <c r="M33" s="90">
        <v>2</v>
      </c>
      <c r="N33" s="41" t="str">
        <f t="shared" si="11"/>
        <v>UnitedStates::Settlement</v>
      </c>
      <c r="O33" s="39" t="s">
        <v>251</v>
      </c>
      <c r="P33" s="39" t="b">
        <f t="shared" si="12"/>
        <v>0</v>
      </c>
      <c r="Q33" s="3" t="str">
        <f t="shared" si="13"/>
        <v>A/360</v>
      </c>
      <c r="R33" s="11" t="b">
        <v>0</v>
      </c>
      <c r="S33" s="34">
        <f t="shared" si="10"/>
        <v>1</v>
      </c>
      <c r="T33" s="7" t="b">
        <v>1</v>
      </c>
    </row>
    <row r="34" spans="1:26" x14ac:dyDescent="0.25">
      <c r="A34" s="3" t="s">
        <v>44</v>
      </c>
      <c r="B34" s="3" t="s">
        <v>52</v>
      </c>
      <c r="C34" s="3" t="s">
        <v>52</v>
      </c>
      <c r="D34" s="23"/>
      <c r="F34" s="23"/>
      <c r="G34" s="23"/>
      <c r="I34" s="14" t="str">
        <f>_xll.qlDepositRateHelper2(J34,K34,L34,M34,N34,O34,P34,Q34,R34,S34,T34)</f>
        <v>obj_0001a#0009</v>
      </c>
      <c r="K34" s="13" t="str">
        <f t="shared" si="9"/>
        <v>obj_0000e#0009</v>
      </c>
      <c r="L34" s="90" t="s">
        <v>236</v>
      </c>
      <c r="M34" s="90">
        <v>2</v>
      </c>
      <c r="N34" s="41" t="str">
        <f t="shared" si="11"/>
        <v>UnitedStates::Settlement</v>
      </c>
      <c r="O34" s="39" t="s">
        <v>251</v>
      </c>
      <c r="P34" s="39" t="b">
        <f t="shared" si="12"/>
        <v>0</v>
      </c>
      <c r="Q34" s="3" t="str">
        <f t="shared" si="13"/>
        <v>A/360</v>
      </c>
      <c r="R34" s="11" t="b">
        <v>0</v>
      </c>
      <c r="S34" s="34">
        <f t="shared" si="10"/>
        <v>1</v>
      </c>
      <c r="T34" s="7" t="b">
        <v>1</v>
      </c>
    </row>
    <row r="35" spans="1:26" x14ac:dyDescent="0.25">
      <c r="A35" s="3" t="s">
        <v>45</v>
      </c>
      <c r="B35" s="11" t="b">
        <v>0</v>
      </c>
      <c r="C35" s="11" t="b">
        <v>0</v>
      </c>
      <c r="D35" s="23"/>
      <c r="F35" s="23"/>
      <c r="G35" s="23"/>
      <c r="I35" s="14" t="str">
        <f>_xll.qlDepositRateHelper2(J35,K35,L35,M35,N35,O35,P35,Q35,R35,S35,T35)</f>
        <v>obj_00022#0009</v>
      </c>
      <c r="K35" s="13" t="str">
        <f t="shared" si="9"/>
        <v>obj_0000a#0009</v>
      </c>
      <c r="L35" s="90" t="s">
        <v>237</v>
      </c>
      <c r="M35" s="90">
        <f>M34</f>
        <v>2</v>
      </c>
      <c r="N35" s="41" t="str">
        <f t="shared" si="11"/>
        <v>UnitedStates::Settlement</v>
      </c>
      <c r="O35" s="39" t="s">
        <v>251</v>
      </c>
      <c r="P35" s="39" t="b">
        <f t="shared" si="12"/>
        <v>0</v>
      </c>
      <c r="Q35" s="3" t="str">
        <f t="shared" si="13"/>
        <v>A/360</v>
      </c>
      <c r="R35" s="11" t="b">
        <v>0</v>
      </c>
      <c r="S35" s="34">
        <f t="shared" si="10"/>
        <v>1</v>
      </c>
      <c r="T35" s="7" t="b">
        <v>1</v>
      </c>
    </row>
    <row r="36" spans="1:26" x14ac:dyDescent="0.25">
      <c r="A36" s="3" t="s">
        <v>46</v>
      </c>
      <c r="B36" s="34">
        <f>$B$4</f>
        <v>1</v>
      </c>
      <c r="C36" s="34">
        <f>$B$4</f>
        <v>1</v>
      </c>
      <c r="D36" s="23"/>
      <c r="F36" s="23"/>
      <c r="G36" s="23"/>
      <c r="I36" s="14" t="str">
        <f>_xll.qlDepositRateHelper2(J36,K36,L36,M36,N36,O36,P36,Q36,R36,S36,T36)</f>
        <v>obj_0001d#0009</v>
      </c>
      <c r="K36" s="13" t="str">
        <f t="shared" si="9"/>
        <v>obj_00007#0009</v>
      </c>
      <c r="L36" s="90" t="s">
        <v>238</v>
      </c>
      <c r="M36" s="90">
        <f t="shared" ref="M36:M41" si="14">M35</f>
        <v>2</v>
      </c>
      <c r="N36" s="41" t="str">
        <f t="shared" si="11"/>
        <v>UnitedStates::Settlement</v>
      </c>
      <c r="O36" s="39" t="s">
        <v>251</v>
      </c>
      <c r="P36" s="39" t="b">
        <f t="shared" si="12"/>
        <v>0</v>
      </c>
      <c r="Q36" s="3" t="str">
        <f t="shared" si="13"/>
        <v>A/360</v>
      </c>
      <c r="R36" s="11" t="b">
        <v>0</v>
      </c>
      <c r="S36" s="34">
        <f t="shared" si="10"/>
        <v>1</v>
      </c>
      <c r="T36" s="7" t="b">
        <v>1</v>
      </c>
    </row>
    <row r="37" spans="1:26" x14ac:dyDescent="0.25">
      <c r="A37" s="3" t="s">
        <v>47</v>
      </c>
      <c r="B37" s="11" t="b">
        <v>1</v>
      </c>
      <c r="C37" s="11" t="b">
        <v>1</v>
      </c>
      <c r="D37" s="23"/>
      <c r="F37" s="23"/>
      <c r="G37" s="23"/>
      <c r="I37" s="14" t="str">
        <f>_xll.qlDepositRateHelper2(J37,K37,L37,M37,N37,O37,P37,Q37,R37,S37,T37)</f>
        <v>obj_00023#0009</v>
      </c>
      <c r="K37" s="13" t="str">
        <f t="shared" si="9"/>
        <v>obj_00006#0009</v>
      </c>
      <c r="L37" s="90" t="s">
        <v>0</v>
      </c>
      <c r="M37" s="90">
        <f t="shared" si="14"/>
        <v>2</v>
      </c>
      <c r="N37" s="41" t="str">
        <f t="shared" si="11"/>
        <v>UnitedStates::Settlement</v>
      </c>
      <c r="O37" s="39" t="s">
        <v>251</v>
      </c>
      <c r="P37" s="39" t="b">
        <f t="shared" si="12"/>
        <v>0</v>
      </c>
      <c r="Q37" s="3" t="str">
        <f t="shared" si="13"/>
        <v>A/360</v>
      </c>
      <c r="R37" s="11" t="b">
        <v>0</v>
      </c>
      <c r="S37" s="34">
        <f t="shared" si="10"/>
        <v>1</v>
      </c>
      <c r="T37" s="7" t="b">
        <v>1</v>
      </c>
    </row>
    <row r="38" spans="1:26" x14ac:dyDescent="0.25">
      <c r="D38" s="23"/>
      <c r="E38" s="3" t="str">
        <f>_xll.ohRangeRetrieveError(E36)</f>
        <v/>
      </c>
      <c r="F38" s="23"/>
      <c r="G38" s="23"/>
      <c r="I38" s="14" t="str">
        <f>_xll.qlDepositRateHelper2(J38,K38,L38,M38,N38,O38,P38,Q38,R38,S38,T38)</f>
        <v>obj_0001c#0009</v>
      </c>
      <c r="K38" s="13" t="str">
        <f t="shared" si="9"/>
        <v>obj_00008#0009</v>
      </c>
      <c r="L38" s="90" t="s">
        <v>239</v>
      </c>
      <c r="M38" s="90">
        <f t="shared" si="14"/>
        <v>2</v>
      </c>
      <c r="N38" s="41" t="str">
        <f t="shared" si="11"/>
        <v>UnitedStates::Settlement</v>
      </c>
      <c r="O38" s="39" t="s">
        <v>251</v>
      </c>
      <c r="P38" s="39" t="b">
        <f t="shared" si="12"/>
        <v>0</v>
      </c>
      <c r="Q38" s="3" t="str">
        <f t="shared" si="13"/>
        <v>A/360</v>
      </c>
      <c r="R38" s="11" t="b">
        <v>0</v>
      </c>
      <c r="S38" s="34">
        <f t="shared" si="10"/>
        <v>1</v>
      </c>
      <c r="T38" s="7" t="b">
        <v>1</v>
      </c>
    </row>
    <row r="39" spans="1:26" x14ac:dyDescent="0.25">
      <c r="D39" s="23"/>
      <c r="F39" s="23"/>
      <c r="G39" s="23"/>
      <c r="I39" s="14" t="str">
        <f>_xll.qlDepositRateHelper2(J39,K39,L39,M39,N39,O39,P39,Q39,R39,S39,T39)</f>
        <v>obj_00021#0009</v>
      </c>
      <c r="K39" s="13" t="str">
        <f t="shared" si="9"/>
        <v>obj_00004#0009</v>
      </c>
      <c r="L39" s="90" t="s">
        <v>1</v>
      </c>
      <c r="M39" s="90">
        <f t="shared" si="14"/>
        <v>2</v>
      </c>
      <c r="N39" s="41" t="str">
        <f t="shared" si="11"/>
        <v>UnitedStates::Settlement</v>
      </c>
      <c r="O39" s="39" t="s">
        <v>251</v>
      </c>
      <c r="P39" s="39" t="b">
        <f t="shared" si="12"/>
        <v>0</v>
      </c>
      <c r="Q39" s="3" t="str">
        <f t="shared" si="13"/>
        <v>A/360</v>
      </c>
      <c r="R39" s="11" t="b">
        <v>0</v>
      </c>
      <c r="S39" s="34">
        <f t="shared" si="10"/>
        <v>1</v>
      </c>
      <c r="T39" s="7" t="b">
        <v>1</v>
      </c>
    </row>
    <row r="40" spans="1:26" x14ac:dyDescent="0.25">
      <c r="D40" s="23"/>
      <c r="F40" s="23"/>
      <c r="G40" s="23"/>
      <c r="I40" s="14" t="str">
        <f>_xll.qlDepositRateHelper2(J40,K40,L40,M40,N40,O40,P40,Q40,R40,S40,T40)</f>
        <v>obj_0001f#0009</v>
      </c>
      <c r="K40" s="13" t="str">
        <f t="shared" si="9"/>
        <v>obj_00015#0009</v>
      </c>
      <c r="L40" s="90" t="s">
        <v>241</v>
      </c>
      <c r="M40" s="90">
        <f t="shared" si="14"/>
        <v>2</v>
      </c>
      <c r="N40" s="41" t="str">
        <f t="shared" si="11"/>
        <v>UnitedStates::Settlement</v>
      </c>
      <c r="O40" s="39" t="s">
        <v>251</v>
      </c>
      <c r="P40" s="39" t="b">
        <f t="shared" si="12"/>
        <v>0</v>
      </c>
      <c r="Q40" s="3" t="str">
        <f t="shared" si="13"/>
        <v>A/360</v>
      </c>
      <c r="R40" s="11" t="b">
        <v>0</v>
      </c>
      <c r="S40" s="34">
        <f t="shared" si="10"/>
        <v>1</v>
      </c>
      <c r="T40" s="7" t="b">
        <v>1</v>
      </c>
    </row>
    <row r="41" spans="1:26" x14ac:dyDescent="0.25">
      <c r="A41" s="8" t="s">
        <v>50</v>
      </c>
      <c r="B41" s="3" t="s">
        <v>253</v>
      </c>
      <c r="D41" s="23"/>
      <c r="F41" s="23"/>
      <c r="G41" s="23"/>
      <c r="I41" s="14" t="str">
        <f>_xll.qlDepositRateHelper2(J41,K41,L41,M41,N41,O41,P41,Q41,R41,S41,T41)</f>
        <v>obj_0001b#0009</v>
      </c>
      <c r="K41" s="13" t="str">
        <f t="shared" si="9"/>
        <v>obj_00010#0009</v>
      </c>
      <c r="L41" s="90" t="s">
        <v>242</v>
      </c>
      <c r="M41" s="90">
        <f t="shared" si="14"/>
        <v>2</v>
      </c>
      <c r="N41" s="41" t="str">
        <f t="shared" si="11"/>
        <v>UnitedStates::Settlement</v>
      </c>
      <c r="O41" s="39" t="s">
        <v>251</v>
      </c>
      <c r="P41" s="39" t="b">
        <f t="shared" si="12"/>
        <v>0</v>
      </c>
      <c r="Q41" s="3" t="str">
        <f t="shared" si="13"/>
        <v>A/360</v>
      </c>
      <c r="R41" s="11" t="b">
        <v>0</v>
      </c>
      <c r="S41" s="34">
        <f t="shared" si="10"/>
        <v>1</v>
      </c>
      <c r="T41" s="7" t="b">
        <v>1</v>
      </c>
    </row>
    <row r="42" spans="1:26" x14ac:dyDescent="0.25">
      <c r="A42" s="15" t="str">
        <f>B24</f>
        <v>USDZC#0012</v>
      </c>
      <c r="D42" s="23"/>
      <c r="F42" s="23"/>
      <c r="G42" s="23"/>
      <c r="I42" s="14"/>
      <c r="K42" s="13"/>
      <c r="L42" s="6"/>
      <c r="M42" s="6"/>
      <c r="O42" s="6"/>
      <c r="P42" s="6"/>
      <c r="Q42" s="70"/>
    </row>
    <row r="43" spans="1:26" x14ac:dyDescent="0.25">
      <c r="A43" s="16"/>
      <c r="D43" s="23"/>
      <c r="F43" s="23"/>
      <c r="G43" s="23"/>
      <c r="I43" s="14"/>
      <c r="K43" s="13"/>
      <c r="L43" s="6"/>
      <c r="M43" s="6"/>
      <c r="O43" s="6"/>
      <c r="P43" s="6"/>
    </row>
    <row r="44" spans="1:26" x14ac:dyDescent="0.25">
      <c r="A44" s="9" t="s">
        <v>215</v>
      </c>
      <c r="D44" s="23"/>
      <c r="F44" s="23"/>
      <c r="G44" s="23"/>
      <c r="I44" s="14"/>
      <c r="K44" s="13"/>
      <c r="L44" s="6"/>
      <c r="M44" s="6"/>
      <c r="O44" s="6"/>
      <c r="P44" s="6"/>
    </row>
    <row r="45" spans="1:26" x14ac:dyDescent="0.25">
      <c r="A45" s="16" t="s">
        <v>254</v>
      </c>
      <c r="D45" s="23"/>
      <c r="F45" s="23"/>
      <c r="G45" s="23"/>
      <c r="H45" s="20"/>
      <c r="I45" s="14"/>
      <c r="K45" s="13"/>
      <c r="L45" s="6"/>
      <c r="M45" s="6"/>
      <c r="O45" s="6"/>
      <c r="P45" s="6"/>
    </row>
    <row r="46" spans="1:26" x14ac:dyDescent="0.25">
      <c r="A46" s="16" t="s">
        <v>105</v>
      </c>
      <c r="D46" s="23"/>
      <c r="F46" s="23"/>
      <c r="G46" s="23"/>
      <c r="H46" s="20"/>
      <c r="J46" s="70"/>
      <c r="K46" s="13"/>
      <c r="L46" s="6"/>
      <c r="M46" s="70"/>
      <c r="N46" s="70"/>
      <c r="O46" s="70"/>
      <c r="P46" s="70"/>
    </row>
    <row r="47" spans="1:26" x14ac:dyDescent="0.25">
      <c r="A47" s="16" t="b">
        <v>1</v>
      </c>
      <c r="D47" s="23"/>
      <c r="F47" s="23"/>
      <c r="G47" s="23"/>
      <c r="H47" s="20"/>
      <c r="I47" s="70"/>
      <c r="J47" s="70" t="s">
        <v>10</v>
      </c>
      <c r="K47" s="70" t="s">
        <v>23</v>
      </c>
      <c r="L47" s="70" t="s">
        <v>53</v>
      </c>
      <c r="M47" s="70" t="s">
        <v>12</v>
      </c>
      <c r="N47" s="70" t="s">
        <v>17</v>
      </c>
      <c r="O47" s="70" t="s">
        <v>54</v>
      </c>
      <c r="P47" s="70" t="s">
        <v>55</v>
      </c>
      <c r="Q47" s="70" t="s">
        <v>56</v>
      </c>
      <c r="R47" s="70" t="s">
        <v>57</v>
      </c>
      <c r="S47" s="70" t="s">
        <v>58</v>
      </c>
      <c r="T47" s="70" t="s">
        <v>59</v>
      </c>
      <c r="U47" s="21" t="s">
        <v>60</v>
      </c>
      <c r="V47" s="70" t="s">
        <v>61</v>
      </c>
      <c r="W47" s="70" t="s">
        <v>62</v>
      </c>
      <c r="X47" s="70" t="s">
        <v>13</v>
      </c>
      <c r="Y47" s="70" t="s">
        <v>14</v>
      </c>
      <c r="Z47" s="70" t="s">
        <v>15</v>
      </c>
    </row>
    <row r="48" spans="1:26" x14ac:dyDescent="0.25">
      <c r="A48" s="16">
        <f>B4</f>
        <v>1</v>
      </c>
      <c r="D48" s="23"/>
      <c r="F48" s="23"/>
      <c r="G48" s="23"/>
      <c r="H48" s="20"/>
      <c r="I48" s="14" t="str">
        <f>_xll.qlSwapRateHelper2(J48,K48,L48,M48,N48,O48,P48,Q48,R48,S48,T48,U48,V48,W48,X48,Y48,Z48)</f>
        <v>obj_000ed#0010</v>
      </c>
      <c r="K48" s="6" t="str">
        <f>I14</f>
        <v>obj_00003#0009</v>
      </c>
      <c r="L48" s="6">
        <v>2</v>
      </c>
      <c r="M48" s="6" t="s">
        <v>2</v>
      </c>
      <c r="N48" s="2" t="str">
        <f>$B$27</f>
        <v>UnitedStates::Settlement</v>
      </c>
      <c r="O48" s="3" t="s">
        <v>105</v>
      </c>
      <c r="P48" s="3" t="str">
        <f>$O$41</f>
        <v>F</v>
      </c>
      <c r="Q48" s="3" t="str">
        <f t="shared" ref="Q48:Q62" si="15">$B$15</f>
        <v>A/360</v>
      </c>
      <c r="R48" s="3" t="str">
        <f>$B$6</f>
        <v>US#0008</v>
      </c>
      <c r="S48" s="3">
        <v>0</v>
      </c>
      <c r="T48" s="3" t="s">
        <v>63</v>
      </c>
      <c r="X48" s="11" t="b">
        <v>0</v>
      </c>
      <c r="Y48" s="34">
        <f t="shared" ref="Y48:Y62" si="16">$B$4</f>
        <v>1</v>
      </c>
      <c r="Z48" s="7" t="b">
        <v>1</v>
      </c>
    </row>
    <row r="49" spans="1:26" x14ac:dyDescent="0.25">
      <c r="D49" s="23"/>
      <c r="F49" s="23"/>
      <c r="G49" s="23"/>
      <c r="H49" s="20"/>
      <c r="I49" s="14" t="str">
        <f>_xll.qlSwapRateHelper2(J49,K49,L49,M49,N49,O49,P49,Q49,R49,S49,T49,U49,V49,W49,X49,Y49,Z49)</f>
        <v>obj_000f3#0010</v>
      </c>
      <c r="K49" s="6" t="str">
        <f t="shared" ref="K49:K62" si="17">I15</f>
        <v>obj_00011#0009</v>
      </c>
      <c r="L49" s="6">
        <v>2</v>
      </c>
      <c r="M49" s="6" t="s">
        <v>3</v>
      </c>
      <c r="N49" s="2" t="str">
        <f t="shared" ref="N49:N62" si="18">$B$27</f>
        <v>UnitedStates::Settlement</v>
      </c>
      <c r="O49" s="3" t="s">
        <v>105</v>
      </c>
      <c r="P49" s="3" t="str">
        <f t="shared" ref="P49:P62" si="19">$O$41</f>
        <v>F</v>
      </c>
      <c r="Q49" s="3" t="str">
        <f t="shared" si="15"/>
        <v>A/360</v>
      </c>
      <c r="R49" s="3" t="str">
        <f t="shared" ref="R49:R62" si="20">$B$6</f>
        <v>US#0008</v>
      </c>
      <c r="S49" s="3">
        <v>0</v>
      </c>
      <c r="T49" s="3" t="s">
        <v>63</v>
      </c>
      <c r="X49" s="11" t="b">
        <v>0</v>
      </c>
      <c r="Y49" s="34">
        <f t="shared" si="16"/>
        <v>1</v>
      </c>
      <c r="Z49" s="7" t="b">
        <v>1</v>
      </c>
    </row>
    <row r="50" spans="1:26" x14ac:dyDescent="0.25">
      <c r="D50" s="23"/>
      <c r="F50" s="23"/>
      <c r="G50" s="23"/>
      <c r="H50" s="20"/>
      <c r="I50" s="14" t="str">
        <f>_xll.qlSwapRateHelper2(J50,K50,L50,M50,N50,O50,P50,Q50,R50,S50,T50,U50,V50,W50,X50,Y50,Z50)</f>
        <v>obj_000eb#0010</v>
      </c>
      <c r="K50" s="6" t="str">
        <f t="shared" si="17"/>
        <v>obj_00012#0009</v>
      </c>
      <c r="L50" s="6">
        <v>2</v>
      </c>
      <c r="M50" s="6" t="s">
        <v>4</v>
      </c>
      <c r="N50" s="2" t="str">
        <f t="shared" si="18"/>
        <v>UnitedStates::Settlement</v>
      </c>
      <c r="O50" s="3" t="s">
        <v>105</v>
      </c>
      <c r="P50" s="3" t="str">
        <f t="shared" si="19"/>
        <v>F</v>
      </c>
      <c r="Q50" s="3" t="str">
        <f t="shared" si="15"/>
        <v>A/360</v>
      </c>
      <c r="R50" s="3" t="str">
        <f t="shared" si="20"/>
        <v>US#0008</v>
      </c>
      <c r="S50" s="3">
        <v>0</v>
      </c>
      <c r="T50" s="3" t="s">
        <v>63</v>
      </c>
      <c r="X50" s="11" t="b">
        <v>0</v>
      </c>
      <c r="Y50" s="34">
        <f t="shared" si="16"/>
        <v>1</v>
      </c>
      <c r="Z50" s="7" t="b">
        <v>1</v>
      </c>
    </row>
    <row r="51" spans="1:26" x14ac:dyDescent="0.25">
      <c r="D51" s="23"/>
      <c r="F51" s="23"/>
      <c r="G51" s="23"/>
      <c r="H51" s="20"/>
      <c r="I51" s="14" t="str">
        <f>_xll.qlSwapRateHelper2(J51,K51,L51,M51,N51,O51,P51,Q51,R51,S51,T51,U51,V51,W51,X51,Y51,Z51)</f>
        <v>obj_000ea#0010</v>
      </c>
      <c r="K51" s="6" t="str">
        <f t="shared" si="17"/>
        <v>obj_00018#0009</v>
      </c>
      <c r="L51" s="6">
        <v>2</v>
      </c>
      <c r="M51" s="6" t="s">
        <v>109</v>
      </c>
      <c r="N51" s="2" t="str">
        <f t="shared" si="18"/>
        <v>UnitedStates::Settlement</v>
      </c>
      <c r="O51" s="3" t="s">
        <v>105</v>
      </c>
      <c r="P51" s="3" t="str">
        <f t="shared" si="19"/>
        <v>F</v>
      </c>
      <c r="Q51" s="3" t="str">
        <f t="shared" si="15"/>
        <v>A/360</v>
      </c>
      <c r="R51" s="3" t="str">
        <f t="shared" si="20"/>
        <v>US#0008</v>
      </c>
      <c r="S51" s="3">
        <v>0</v>
      </c>
      <c r="T51" s="3" t="s">
        <v>63</v>
      </c>
      <c r="X51" s="11" t="b">
        <v>0</v>
      </c>
      <c r="Y51" s="34">
        <f t="shared" si="16"/>
        <v>1</v>
      </c>
      <c r="Z51" s="7" t="b">
        <v>1</v>
      </c>
    </row>
    <row r="52" spans="1:26" ht="15.75" x14ac:dyDescent="0.25">
      <c r="A52" s="8" t="s">
        <v>260</v>
      </c>
      <c r="B52" s="83" t="str">
        <f>_xll.qlLibor(B53,B54,B55,B56,B57,B58,B59)</f>
        <v>USLIBOR3M#0012</v>
      </c>
      <c r="D52" s="23"/>
      <c r="F52" s="23"/>
      <c r="G52" s="23"/>
      <c r="H52" s="20"/>
      <c r="I52" s="14" t="str">
        <f>_xll.qlSwapRateHelper2(J52,K52,L52,M52,N52,O52,P52,Q52,R52,S52,T52,U52,V52,W52,X52,Y52,Z52)</f>
        <v>obj_000f5#0010</v>
      </c>
      <c r="K52" s="6" t="str">
        <f t="shared" si="17"/>
        <v>obj_0000c#0009</v>
      </c>
      <c r="L52" s="6">
        <v>2</v>
      </c>
      <c r="M52" s="6" t="s">
        <v>5</v>
      </c>
      <c r="N52" s="2" t="str">
        <f t="shared" si="18"/>
        <v>UnitedStates::Settlement</v>
      </c>
      <c r="O52" s="3" t="s">
        <v>105</v>
      </c>
      <c r="P52" s="3" t="str">
        <f t="shared" si="19"/>
        <v>F</v>
      </c>
      <c r="Q52" s="3" t="str">
        <f t="shared" si="15"/>
        <v>A/360</v>
      </c>
      <c r="R52" s="3" t="str">
        <f t="shared" si="20"/>
        <v>US#0008</v>
      </c>
      <c r="S52" s="3">
        <v>0</v>
      </c>
      <c r="T52" s="3" t="s">
        <v>63</v>
      </c>
      <c r="X52" s="11" t="b">
        <v>0</v>
      </c>
      <c r="Y52" s="34">
        <f t="shared" si="16"/>
        <v>1</v>
      </c>
      <c r="Z52" s="7" t="b">
        <v>1</v>
      </c>
    </row>
    <row r="53" spans="1:26" x14ac:dyDescent="0.25">
      <c r="A53" s="3" t="s">
        <v>35</v>
      </c>
      <c r="B53" s="3" t="s">
        <v>261</v>
      </c>
      <c r="G53" s="23"/>
      <c r="I53" s="14" t="str">
        <f>_xll.qlSwapRateHelper2(J53,K53,L53,M53,N53,O53,P53,Q53,R53,S53,T53,U53,V53,W53,X53,Y53,Z53)</f>
        <v>obj_000e7#0011</v>
      </c>
      <c r="K53" s="6" t="str">
        <f t="shared" si="17"/>
        <v>obj_00000#0009</v>
      </c>
      <c r="L53" s="6">
        <v>2</v>
      </c>
      <c r="M53" s="6" t="s">
        <v>110</v>
      </c>
      <c r="N53" s="2" t="str">
        <f t="shared" si="18"/>
        <v>UnitedStates::Settlement</v>
      </c>
      <c r="O53" s="3" t="s">
        <v>105</v>
      </c>
      <c r="P53" s="3" t="str">
        <f t="shared" si="19"/>
        <v>F</v>
      </c>
      <c r="Q53" s="3" t="str">
        <f t="shared" si="15"/>
        <v>A/360</v>
      </c>
      <c r="R53" s="3" t="str">
        <f t="shared" si="20"/>
        <v>US#0008</v>
      </c>
      <c r="S53" s="3">
        <v>0</v>
      </c>
      <c r="T53" s="3" t="s">
        <v>63</v>
      </c>
      <c r="X53" s="11" t="b">
        <v>0</v>
      </c>
      <c r="Y53" s="34">
        <f t="shared" si="16"/>
        <v>1</v>
      </c>
      <c r="Z53" s="7" t="b">
        <v>1</v>
      </c>
    </row>
    <row r="54" spans="1:26" x14ac:dyDescent="0.25">
      <c r="A54" s="3" t="s">
        <v>258</v>
      </c>
      <c r="B54" s="3" t="s">
        <v>225</v>
      </c>
      <c r="C54" s="3" t="b">
        <f>_xll.qlIndexAddFixings(B52,D54:D137,E54:E137,TRUE)</f>
        <v>1</v>
      </c>
      <c r="D54" s="2">
        <v>44435</v>
      </c>
      <c r="E54" s="109">
        <v>1.1888000000000001E-3</v>
      </c>
      <c r="G54" s="23"/>
      <c r="I54" s="14" t="str">
        <f>_xll.qlSwapRateHelper2(J54,K54,L54,M54,N54,O54,P54,Q54,R54,S54,T54,U54,V54,W54,X54,Y54,Z54)</f>
        <v>obj_000e9#0010</v>
      </c>
      <c r="K54" s="6" t="str">
        <f t="shared" si="17"/>
        <v>obj_00005#0009</v>
      </c>
      <c r="L54" s="6">
        <v>2</v>
      </c>
      <c r="M54" s="6" t="s">
        <v>6</v>
      </c>
      <c r="N54" s="2" t="str">
        <f t="shared" si="18"/>
        <v>UnitedStates::Settlement</v>
      </c>
      <c r="O54" s="3" t="s">
        <v>105</v>
      </c>
      <c r="P54" s="3" t="str">
        <f t="shared" si="19"/>
        <v>F</v>
      </c>
      <c r="Q54" s="3" t="str">
        <f t="shared" si="15"/>
        <v>A/360</v>
      </c>
      <c r="R54" s="3" t="str">
        <f t="shared" si="20"/>
        <v>US#0008</v>
      </c>
      <c r="S54" s="3">
        <v>0</v>
      </c>
      <c r="T54" s="3" t="s">
        <v>63</v>
      </c>
      <c r="X54" s="11" t="b">
        <v>0</v>
      </c>
      <c r="Y54" s="34">
        <f t="shared" si="16"/>
        <v>1</v>
      </c>
      <c r="Z54" s="7" t="b">
        <v>1</v>
      </c>
    </row>
    <row r="55" spans="1:26" x14ac:dyDescent="0.25">
      <c r="A55" s="3" t="s">
        <v>259</v>
      </c>
      <c r="B55" s="3" t="s">
        <v>1</v>
      </c>
      <c r="D55" s="2">
        <v>44439</v>
      </c>
      <c r="E55" s="3">
        <v>1.1762999999999999E-3</v>
      </c>
      <c r="G55" s="23"/>
      <c r="I55" s="14" t="str">
        <f>_xll.qlSwapRateHelper2(J55,K55,L55,M55,N55,O55,P55,Q55,R55,S55,T55,U55,V55,W55,X55,Y55,Z55)</f>
        <v>obj_000e8#0010</v>
      </c>
      <c r="K55" s="6" t="str">
        <f t="shared" si="17"/>
        <v>obj_00017#0009</v>
      </c>
      <c r="L55" s="6">
        <v>2</v>
      </c>
      <c r="M55" s="6" t="s">
        <v>111</v>
      </c>
      <c r="N55" s="2" t="str">
        <f t="shared" si="18"/>
        <v>UnitedStates::Settlement</v>
      </c>
      <c r="O55" s="3" t="s">
        <v>105</v>
      </c>
      <c r="P55" s="3" t="str">
        <f t="shared" si="19"/>
        <v>F</v>
      </c>
      <c r="Q55" s="3" t="str">
        <f t="shared" si="15"/>
        <v>A/360</v>
      </c>
      <c r="R55" s="3" t="str">
        <f t="shared" si="20"/>
        <v>US#0008</v>
      </c>
      <c r="S55" s="3">
        <v>0</v>
      </c>
      <c r="T55" s="3" t="s">
        <v>63</v>
      </c>
      <c r="X55" s="11" t="b">
        <v>0</v>
      </c>
      <c r="Y55" s="34">
        <f t="shared" si="16"/>
        <v>1</v>
      </c>
      <c r="Z55" s="7" t="b">
        <v>1</v>
      </c>
    </row>
    <row r="56" spans="1:26" x14ac:dyDescent="0.25">
      <c r="A56" s="3" t="s">
        <v>117</v>
      </c>
      <c r="B56" s="86" t="str">
        <f>B24</f>
        <v>USDZC#0012</v>
      </c>
      <c r="D56" s="2">
        <v>44442</v>
      </c>
      <c r="E56" s="3">
        <v>1.155E-3</v>
      </c>
      <c r="G56" s="23"/>
      <c r="I56" s="14" t="str">
        <f>_xll.qlSwapRateHelper2(J56,K56,L56,M56,N56,O56,P56,Q56,R56,S56,T56,U56,V56,W56,X56,Y56,Z56)</f>
        <v>obj_000ef#0010</v>
      </c>
      <c r="K56" s="6" t="str">
        <f t="shared" si="17"/>
        <v>obj_00002#0009</v>
      </c>
      <c r="L56" s="6">
        <v>2</v>
      </c>
      <c r="M56" s="6" t="s">
        <v>112</v>
      </c>
      <c r="N56" s="2" t="str">
        <f t="shared" si="18"/>
        <v>UnitedStates::Settlement</v>
      </c>
      <c r="O56" s="3" t="s">
        <v>105</v>
      </c>
      <c r="P56" s="3" t="str">
        <f t="shared" si="19"/>
        <v>F</v>
      </c>
      <c r="Q56" s="3" t="str">
        <f t="shared" si="15"/>
        <v>A/360</v>
      </c>
      <c r="R56" s="3" t="str">
        <f t="shared" si="20"/>
        <v>US#0008</v>
      </c>
      <c r="S56" s="3">
        <v>0</v>
      </c>
      <c r="T56" s="3" t="s">
        <v>63</v>
      </c>
      <c r="X56" s="11" t="b">
        <v>0</v>
      </c>
      <c r="Y56" s="34">
        <f t="shared" si="16"/>
        <v>1</v>
      </c>
      <c r="Z56" s="7" t="b">
        <v>1</v>
      </c>
    </row>
    <row r="57" spans="1:26" x14ac:dyDescent="0.25">
      <c r="A57" s="3" t="s">
        <v>45</v>
      </c>
      <c r="B57" s="11" t="b">
        <v>0</v>
      </c>
      <c r="D57" s="2">
        <v>44445</v>
      </c>
      <c r="E57" s="3">
        <v>1.1463000000000001E-3</v>
      </c>
      <c r="G57" s="23"/>
      <c r="I57" s="14" t="str">
        <f>_xll.qlSwapRateHelper2(J57,K57,L57,M57,N57,O57,P57,Q57,R57,S57,T57,U57,V57,W57,X57,Y57,Z57)</f>
        <v>obj_000ee#0010</v>
      </c>
      <c r="K57" s="6" t="str">
        <f t="shared" si="17"/>
        <v>obj_00016#0009</v>
      </c>
      <c r="L57" s="6">
        <v>2</v>
      </c>
      <c r="M57" s="6" t="s">
        <v>7</v>
      </c>
      <c r="N57" s="2" t="str">
        <f t="shared" si="18"/>
        <v>UnitedStates::Settlement</v>
      </c>
      <c r="O57" s="3" t="s">
        <v>105</v>
      </c>
      <c r="P57" s="3" t="str">
        <f t="shared" si="19"/>
        <v>F</v>
      </c>
      <c r="Q57" s="3" t="str">
        <f t="shared" si="15"/>
        <v>A/360</v>
      </c>
      <c r="R57" s="3" t="str">
        <f t="shared" si="20"/>
        <v>US#0008</v>
      </c>
      <c r="S57" s="3">
        <v>0</v>
      </c>
      <c r="T57" s="3" t="s">
        <v>63</v>
      </c>
      <c r="X57" s="11" t="b">
        <v>0</v>
      </c>
      <c r="Y57" s="34">
        <f t="shared" si="16"/>
        <v>1</v>
      </c>
      <c r="Z57" s="7" t="b">
        <v>1</v>
      </c>
    </row>
    <row r="58" spans="1:26" x14ac:dyDescent="0.25">
      <c r="A58" s="3" t="s">
        <v>46</v>
      </c>
      <c r="B58" s="34">
        <f>$B$4</f>
        <v>1</v>
      </c>
      <c r="D58" s="2">
        <v>44446</v>
      </c>
      <c r="E58" s="3">
        <v>1.16E-3</v>
      </c>
      <c r="G58" s="23"/>
      <c r="I58" s="14" t="str">
        <f>_xll.qlSwapRateHelper2(J58,K58,L58,M58,N58,O58,P58,Q58,R58,S58,T58,U58,V58,W58,X58,Y58,Z58)</f>
        <v>obj_000f2#0010</v>
      </c>
      <c r="K58" s="6" t="str">
        <f t="shared" si="17"/>
        <v>obj_0000d#0009</v>
      </c>
      <c r="L58" s="6">
        <v>2</v>
      </c>
      <c r="M58" s="6" t="s">
        <v>243</v>
      </c>
      <c r="N58" s="2" t="str">
        <f t="shared" si="18"/>
        <v>UnitedStates::Settlement</v>
      </c>
      <c r="O58" s="3" t="s">
        <v>105</v>
      </c>
      <c r="P58" s="3" t="str">
        <f t="shared" si="19"/>
        <v>F</v>
      </c>
      <c r="Q58" s="3" t="str">
        <f t="shared" si="15"/>
        <v>A/360</v>
      </c>
      <c r="R58" s="3" t="str">
        <f t="shared" si="20"/>
        <v>US#0008</v>
      </c>
      <c r="S58" s="3">
        <v>0</v>
      </c>
      <c r="T58" s="3" t="s">
        <v>63</v>
      </c>
      <c r="X58" s="11" t="b">
        <v>0</v>
      </c>
      <c r="Y58" s="34">
        <f t="shared" si="16"/>
        <v>1</v>
      </c>
      <c r="Z58" s="7" t="b">
        <v>1</v>
      </c>
    </row>
    <row r="59" spans="1:26" x14ac:dyDescent="0.25">
      <c r="A59" s="3" t="s">
        <v>47</v>
      </c>
      <c r="B59" s="11" t="b">
        <v>1</v>
      </c>
      <c r="D59" s="2">
        <v>44447</v>
      </c>
      <c r="E59" s="3">
        <v>1.1575000000000001E-3</v>
      </c>
      <c r="G59" s="23"/>
      <c r="I59" s="14" t="str">
        <f>_xll.qlSwapRateHelper2(J59,K59,L59,M59,N59,O59,P59,Q59,R59,S59,T59,U59,V59,W59,X59,Y59,Z59)</f>
        <v>obj_000ec#0010</v>
      </c>
      <c r="K59" s="6" t="str">
        <f t="shared" si="17"/>
        <v>obj_00009#0009</v>
      </c>
      <c r="L59" s="6">
        <v>2</v>
      </c>
      <c r="M59" s="6" t="s">
        <v>246</v>
      </c>
      <c r="N59" s="2" t="str">
        <f t="shared" si="18"/>
        <v>UnitedStates::Settlement</v>
      </c>
      <c r="O59" s="3" t="s">
        <v>105</v>
      </c>
      <c r="P59" s="3" t="str">
        <f t="shared" si="19"/>
        <v>F</v>
      </c>
      <c r="Q59" s="3" t="str">
        <f t="shared" si="15"/>
        <v>A/360</v>
      </c>
      <c r="R59" s="3" t="str">
        <f t="shared" si="20"/>
        <v>US#0008</v>
      </c>
      <c r="S59" s="3">
        <v>0</v>
      </c>
      <c r="T59" s="3" t="s">
        <v>63</v>
      </c>
      <c r="X59" s="11" t="b">
        <v>0</v>
      </c>
      <c r="Y59" s="34">
        <f t="shared" si="16"/>
        <v>1</v>
      </c>
      <c r="Z59" s="7" t="b">
        <v>1</v>
      </c>
    </row>
    <row r="60" spans="1:26" x14ac:dyDescent="0.25">
      <c r="D60" s="2">
        <v>44448</v>
      </c>
      <c r="E60" s="3">
        <v>1.1413E-3</v>
      </c>
      <c r="G60" s="23"/>
      <c r="I60" s="14" t="str">
        <f>_xll.qlSwapRateHelper2(J60,K60,L60,M60,N60,O60,P60,Q60,R60,S60,T60,U60,V60,W60,X60,Y60,Z60)</f>
        <v>obj_000f0#0010</v>
      </c>
      <c r="K60" s="6" t="str">
        <f t="shared" si="17"/>
        <v>obj_0000f#0009</v>
      </c>
      <c r="L60" s="6">
        <v>2</v>
      </c>
      <c r="M60" s="6" t="s">
        <v>247</v>
      </c>
      <c r="N60" s="2" t="str">
        <f t="shared" si="18"/>
        <v>UnitedStates::Settlement</v>
      </c>
      <c r="O60" s="3" t="s">
        <v>105</v>
      </c>
      <c r="P60" s="3" t="str">
        <f t="shared" si="19"/>
        <v>F</v>
      </c>
      <c r="Q60" s="3" t="str">
        <f t="shared" si="15"/>
        <v>A/360</v>
      </c>
      <c r="R60" s="3" t="str">
        <f t="shared" si="20"/>
        <v>US#0008</v>
      </c>
      <c r="S60" s="3">
        <v>0</v>
      </c>
      <c r="T60" s="3" t="s">
        <v>63</v>
      </c>
      <c r="X60" s="11" t="b">
        <v>0</v>
      </c>
      <c r="Y60" s="34">
        <f t="shared" si="16"/>
        <v>1</v>
      </c>
      <c r="Z60" s="7" t="b">
        <v>1</v>
      </c>
    </row>
    <row r="61" spans="1:26" x14ac:dyDescent="0.25">
      <c r="D61" s="2">
        <v>44449</v>
      </c>
      <c r="E61" s="3">
        <v>1.1575000000000001E-3</v>
      </c>
      <c r="G61" s="23"/>
      <c r="I61" s="14" t="str">
        <f>_xll.qlSwapRateHelper2(J61,K61,L61,M61,N61,O61,P61,Q61,R61,S61,T61,U61,V61,W61,X61,Y61,Z61)</f>
        <v>obj_000f4#0010</v>
      </c>
      <c r="K61" s="6" t="str">
        <f t="shared" si="17"/>
        <v>obj_00013#0009</v>
      </c>
      <c r="L61" s="6">
        <v>2</v>
      </c>
      <c r="M61" s="6" t="s">
        <v>248</v>
      </c>
      <c r="N61" s="2" t="str">
        <f t="shared" si="18"/>
        <v>UnitedStates::Settlement</v>
      </c>
      <c r="O61" s="3" t="s">
        <v>105</v>
      </c>
      <c r="P61" s="3" t="str">
        <f t="shared" si="19"/>
        <v>F</v>
      </c>
      <c r="Q61" s="3" t="str">
        <f t="shared" si="15"/>
        <v>A/360</v>
      </c>
      <c r="R61" s="3" t="str">
        <f t="shared" si="20"/>
        <v>US#0008</v>
      </c>
      <c r="S61" s="3">
        <v>0</v>
      </c>
      <c r="T61" s="3" t="s">
        <v>63</v>
      </c>
      <c r="X61" s="11" t="b">
        <v>0</v>
      </c>
      <c r="Y61" s="34">
        <f t="shared" si="16"/>
        <v>1</v>
      </c>
      <c r="Z61" s="7" t="b">
        <v>1</v>
      </c>
    </row>
    <row r="62" spans="1:26" x14ac:dyDescent="0.25">
      <c r="D62" s="2">
        <v>44452</v>
      </c>
      <c r="E62" s="3">
        <v>1.16E-3</v>
      </c>
      <c r="G62" s="23"/>
      <c r="I62" s="14" t="str">
        <f>_xll.qlSwapRateHelper2(J62,K62,L62,M62,N62,O62,P62,Q62,R62,S62,T62,U62,V62,W62,X62,Y62,Z62)</f>
        <v>obj_000f1#0010</v>
      </c>
      <c r="K62" s="6" t="str">
        <f t="shared" si="17"/>
        <v>obj_0000b#0009</v>
      </c>
      <c r="L62" s="6">
        <v>2</v>
      </c>
      <c r="M62" s="6" t="s">
        <v>249</v>
      </c>
      <c r="N62" s="2" t="str">
        <f t="shared" si="18"/>
        <v>UnitedStates::Settlement</v>
      </c>
      <c r="O62" s="3" t="s">
        <v>105</v>
      </c>
      <c r="P62" s="3" t="str">
        <f t="shared" si="19"/>
        <v>F</v>
      </c>
      <c r="Q62" s="3" t="str">
        <f t="shared" si="15"/>
        <v>A/360</v>
      </c>
      <c r="R62" s="3" t="str">
        <f t="shared" si="20"/>
        <v>US#0008</v>
      </c>
      <c r="S62" s="3">
        <v>0</v>
      </c>
      <c r="T62" s="3" t="s">
        <v>63</v>
      </c>
      <c r="X62" s="11" t="b">
        <v>0</v>
      </c>
      <c r="Y62" s="34">
        <f t="shared" si="16"/>
        <v>1</v>
      </c>
      <c r="Z62" s="7" t="b">
        <v>1</v>
      </c>
    </row>
    <row r="63" spans="1:26" x14ac:dyDescent="0.25">
      <c r="D63" s="2">
        <v>44453</v>
      </c>
      <c r="E63" s="3">
        <v>1.1799999999999998E-3</v>
      </c>
      <c r="G63" s="23"/>
    </row>
    <row r="64" spans="1:26" x14ac:dyDescent="0.25">
      <c r="D64" s="2">
        <v>44454</v>
      </c>
      <c r="E64" s="3">
        <v>1.1999999999999999E-3</v>
      </c>
      <c r="G64" s="23"/>
    </row>
    <row r="65" spans="4:7" x14ac:dyDescent="0.25">
      <c r="D65" s="2">
        <v>44455</v>
      </c>
      <c r="E65" s="3">
        <v>1.2199999999999999E-3</v>
      </c>
      <c r="G65" s="23"/>
    </row>
    <row r="66" spans="4:7" x14ac:dyDescent="0.25">
      <c r="D66" s="2">
        <v>44456</v>
      </c>
      <c r="E66" s="3">
        <v>1.2388E-3</v>
      </c>
      <c r="G66" s="23"/>
    </row>
    <row r="67" spans="4:7" x14ac:dyDescent="0.25">
      <c r="D67" s="2">
        <v>44459</v>
      </c>
      <c r="E67" s="3">
        <v>1.2538E-3</v>
      </c>
      <c r="G67" s="23"/>
    </row>
    <row r="68" spans="4:7" x14ac:dyDescent="0.25">
      <c r="D68" s="2">
        <v>44460</v>
      </c>
      <c r="E68" s="3">
        <v>1.2837999999999999E-3</v>
      </c>
      <c r="G68" s="23"/>
    </row>
    <row r="69" spans="4:7" x14ac:dyDescent="0.25">
      <c r="D69" s="2">
        <v>44461</v>
      </c>
      <c r="E69" s="3">
        <v>1.2925E-3</v>
      </c>
      <c r="G69" s="23"/>
    </row>
    <row r="70" spans="4:7" x14ac:dyDescent="0.25">
      <c r="D70" s="2">
        <v>44462</v>
      </c>
      <c r="E70" s="3">
        <v>1.3225000000000001E-3</v>
      </c>
      <c r="G70" s="23"/>
    </row>
    <row r="71" spans="4:7" x14ac:dyDescent="0.25">
      <c r="D71" s="2">
        <v>44463</v>
      </c>
      <c r="E71" s="3">
        <v>1.3225000000000001E-3</v>
      </c>
      <c r="G71" s="23"/>
    </row>
    <row r="72" spans="4:7" x14ac:dyDescent="0.25">
      <c r="D72" s="2">
        <v>44466</v>
      </c>
      <c r="E72" s="3">
        <v>1.3175000000000001E-3</v>
      </c>
      <c r="G72" s="23"/>
    </row>
    <row r="73" spans="4:7" x14ac:dyDescent="0.25">
      <c r="D73" s="2">
        <v>44467</v>
      </c>
      <c r="E73" s="3">
        <v>1.315E-3</v>
      </c>
      <c r="G73" s="23"/>
    </row>
    <row r="74" spans="4:7" x14ac:dyDescent="0.25">
      <c r="D74" s="2">
        <v>44468</v>
      </c>
      <c r="E74" s="3">
        <v>1.3087999999999999E-3</v>
      </c>
      <c r="G74" s="23"/>
    </row>
    <row r="75" spans="4:7" x14ac:dyDescent="0.25">
      <c r="D75" s="2">
        <v>44469</v>
      </c>
      <c r="E75" s="3">
        <v>1.3013E-3</v>
      </c>
      <c r="G75" s="23"/>
    </row>
    <row r="76" spans="4:7" x14ac:dyDescent="0.25">
      <c r="D76" s="2">
        <v>44470</v>
      </c>
      <c r="E76" s="3">
        <v>1.3312999999999999E-3</v>
      </c>
      <c r="G76" s="23"/>
    </row>
    <row r="77" spans="4:7" x14ac:dyDescent="0.25">
      <c r="D77" s="2">
        <v>44473</v>
      </c>
      <c r="E77" s="3">
        <v>1.2662999999999999E-3</v>
      </c>
      <c r="G77" s="23"/>
    </row>
    <row r="78" spans="4:7" x14ac:dyDescent="0.25">
      <c r="D78" s="2">
        <v>44474</v>
      </c>
      <c r="E78" s="3">
        <v>1.24E-3</v>
      </c>
      <c r="G78" s="23"/>
    </row>
    <row r="79" spans="4:7" x14ac:dyDescent="0.25">
      <c r="D79" s="2">
        <v>44475</v>
      </c>
      <c r="E79" s="3">
        <v>1.24E-3</v>
      </c>
      <c r="G79" s="23"/>
    </row>
    <row r="80" spans="4:7" x14ac:dyDescent="0.25">
      <c r="D80" s="2">
        <v>44476</v>
      </c>
      <c r="E80" s="3">
        <v>1.2363000000000001E-3</v>
      </c>
      <c r="F80" s="3">
        <v>0</v>
      </c>
    </row>
    <row r="81" spans="4:5" x14ac:dyDescent="0.25">
      <c r="D81" s="2">
        <v>44477</v>
      </c>
      <c r="E81" s="3">
        <v>1.2113E-3</v>
      </c>
    </row>
    <row r="82" spans="4:5" x14ac:dyDescent="0.25">
      <c r="D82" s="2">
        <v>44480</v>
      </c>
      <c r="E82" s="3">
        <v>1.2175E-3</v>
      </c>
    </row>
    <row r="83" spans="4:5" x14ac:dyDescent="0.25">
      <c r="D83" s="2">
        <v>44481</v>
      </c>
      <c r="E83" s="3">
        <v>1.2675E-3</v>
      </c>
    </row>
    <row r="84" spans="4:5" x14ac:dyDescent="0.25">
      <c r="D84" s="2">
        <v>44482</v>
      </c>
      <c r="E84" s="3">
        <v>1.2374999999999999E-3</v>
      </c>
    </row>
    <row r="85" spans="4:5" x14ac:dyDescent="0.25">
      <c r="D85" s="2">
        <v>44483</v>
      </c>
      <c r="E85" s="3">
        <v>1.2225000000000001E-3</v>
      </c>
    </row>
    <row r="86" spans="4:5" x14ac:dyDescent="0.25">
      <c r="D86" s="2">
        <v>44484</v>
      </c>
      <c r="E86" s="3">
        <v>1.2363000000000001E-3</v>
      </c>
    </row>
    <row r="87" spans="4:5" x14ac:dyDescent="0.25">
      <c r="D87" s="2">
        <v>44487</v>
      </c>
      <c r="E87" s="3">
        <v>1.315E-3</v>
      </c>
    </row>
    <row r="88" spans="4:5" x14ac:dyDescent="0.25">
      <c r="D88" s="2">
        <v>44488</v>
      </c>
      <c r="E88" s="3">
        <v>1.2950000000000001E-3</v>
      </c>
    </row>
    <row r="89" spans="4:5" x14ac:dyDescent="0.25">
      <c r="D89" s="2">
        <v>44489</v>
      </c>
      <c r="E89" s="3">
        <v>1.2825E-3</v>
      </c>
    </row>
    <row r="90" spans="4:5" x14ac:dyDescent="0.25">
      <c r="D90" s="2">
        <v>44490</v>
      </c>
      <c r="E90" s="3">
        <v>1.2388E-3</v>
      </c>
    </row>
    <row r="91" spans="4:5" x14ac:dyDescent="0.25">
      <c r="D91" s="2">
        <v>44491</v>
      </c>
      <c r="E91" s="3">
        <v>1.2488E-3</v>
      </c>
    </row>
    <row r="92" spans="4:5" x14ac:dyDescent="0.25">
      <c r="D92" s="2">
        <v>44494</v>
      </c>
      <c r="E92" s="3">
        <v>1.3450000000000001E-3</v>
      </c>
    </row>
    <row r="93" spans="4:5" x14ac:dyDescent="0.25">
      <c r="D93" s="2">
        <v>44495</v>
      </c>
      <c r="E93" s="3">
        <v>1.3588000000000001E-3</v>
      </c>
    </row>
    <row r="94" spans="4:5" x14ac:dyDescent="0.25">
      <c r="D94" s="2">
        <v>44496</v>
      </c>
      <c r="E94" s="3">
        <v>1.2863E-3</v>
      </c>
    </row>
    <row r="95" spans="4:5" x14ac:dyDescent="0.25">
      <c r="D95" s="2">
        <v>44497</v>
      </c>
      <c r="E95" s="3">
        <v>1.3163000000000001E-3</v>
      </c>
    </row>
    <row r="96" spans="4:5" x14ac:dyDescent="0.25">
      <c r="D96" s="2">
        <v>44498</v>
      </c>
      <c r="E96" s="3">
        <v>1.3225000000000001E-3</v>
      </c>
    </row>
    <row r="97" spans="4:5" x14ac:dyDescent="0.25">
      <c r="D97" s="2">
        <v>44501</v>
      </c>
      <c r="E97" s="3">
        <v>1.4088E-3</v>
      </c>
    </row>
    <row r="98" spans="4:5" x14ac:dyDescent="0.25">
      <c r="D98" s="2">
        <v>44502</v>
      </c>
      <c r="E98" s="3">
        <v>1.4499999999999999E-3</v>
      </c>
    </row>
    <row r="99" spans="4:5" x14ac:dyDescent="0.25">
      <c r="D99" s="2">
        <v>44503</v>
      </c>
      <c r="E99" s="3">
        <v>1.3975000000000001E-3</v>
      </c>
    </row>
    <row r="100" spans="4:5" x14ac:dyDescent="0.25">
      <c r="D100" s="2">
        <v>44504</v>
      </c>
      <c r="E100" s="3">
        <v>1.4438000000000001E-3</v>
      </c>
    </row>
    <row r="101" spans="4:5" x14ac:dyDescent="0.25">
      <c r="D101" s="2">
        <v>44505</v>
      </c>
      <c r="E101" s="3">
        <v>1.4274999999999999E-3</v>
      </c>
    </row>
    <row r="102" spans="4:5" x14ac:dyDescent="0.25">
      <c r="D102" s="2">
        <v>44508</v>
      </c>
      <c r="E102" s="3">
        <v>1.4563E-3</v>
      </c>
    </row>
    <row r="103" spans="4:5" x14ac:dyDescent="0.25">
      <c r="D103" s="2">
        <v>44509</v>
      </c>
      <c r="E103" s="3">
        <v>1.495E-3</v>
      </c>
    </row>
    <row r="104" spans="4:5" x14ac:dyDescent="0.25">
      <c r="D104" s="2">
        <v>44510</v>
      </c>
      <c r="E104" s="3">
        <v>1.5437999999999999E-3</v>
      </c>
    </row>
    <row r="105" spans="4:5" x14ac:dyDescent="0.25">
      <c r="D105" s="2">
        <v>44511</v>
      </c>
      <c r="E105" s="3">
        <v>1.56E-3</v>
      </c>
    </row>
    <row r="106" spans="4:5" x14ac:dyDescent="0.25">
      <c r="D106" s="2">
        <v>44512</v>
      </c>
      <c r="E106" s="3">
        <v>1.5499999999999999E-3</v>
      </c>
    </row>
    <row r="107" spans="4:5" x14ac:dyDescent="0.25">
      <c r="D107" s="2">
        <v>44515</v>
      </c>
      <c r="E107" s="3">
        <v>1.5788E-3</v>
      </c>
    </row>
    <row r="108" spans="4:5" x14ac:dyDescent="0.25">
      <c r="D108" s="2">
        <v>44516</v>
      </c>
      <c r="E108" s="3">
        <v>1.6000000000000001E-3</v>
      </c>
    </row>
    <row r="109" spans="4:5" x14ac:dyDescent="0.25">
      <c r="D109" s="2">
        <v>44517</v>
      </c>
      <c r="E109" s="3">
        <v>1.575E-3</v>
      </c>
    </row>
    <row r="110" spans="4:5" x14ac:dyDescent="0.25">
      <c r="D110" s="2">
        <v>44518</v>
      </c>
      <c r="E110" s="3">
        <v>1.5962999999999999E-3</v>
      </c>
    </row>
    <row r="111" spans="4:5" x14ac:dyDescent="0.25">
      <c r="D111" s="2">
        <v>44519</v>
      </c>
      <c r="E111" s="3">
        <v>1.64E-3</v>
      </c>
    </row>
    <row r="112" spans="4:5" x14ac:dyDescent="0.25">
      <c r="D112" s="2">
        <v>44522</v>
      </c>
      <c r="E112" s="3">
        <v>1.6963E-3</v>
      </c>
    </row>
    <row r="113" spans="4:5" x14ac:dyDescent="0.25">
      <c r="D113" s="2">
        <v>44523</v>
      </c>
      <c r="E113" s="3">
        <v>1.7799999999999999E-3</v>
      </c>
    </row>
    <row r="114" spans="4:5" x14ac:dyDescent="0.25">
      <c r="D114" s="2">
        <v>44524</v>
      </c>
      <c r="E114" s="3">
        <v>1.8024999999999998E-3</v>
      </c>
    </row>
    <row r="115" spans="4:5" x14ac:dyDescent="0.25">
      <c r="D115" s="2">
        <v>44525</v>
      </c>
      <c r="E115" s="3">
        <v>1.7563000000000001E-3</v>
      </c>
    </row>
    <row r="116" spans="4:5" x14ac:dyDescent="0.25">
      <c r="D116" s="2">
        <v>44526</v>
      </c>
      <c r="E116" s="3">
        <v>1.7538E-3</v>
      </c>
    </row>
    <row r="117" spans="4:5" x14ac:dyDescent="0.25">
      <c r="D117" s="2">
        <v>44529</v>
      </c>
      <c r="E117" s="3">
        <v>1.7088000000000001E-3</v>
      </c>
    </row>
    <row r="118" spans="4:5" x14ac:dyDescent="0.25">
      <c r="D118" s="2">
        <v>44530</v>
      </c>
      <c r="E118" s="3">
        <v>1.7324999999999999E-3</v>
      </c>
    </row>
    <row r="119" spans="4:5" x14ac:dyDescent="0.25">
      <c r="D119" s="2">
        <v>44531</v>
      </c>
      <c r="E119" s="3">
        <v>1.7463000000000001E-3</v>
      </c>
    </row>
    <row r="120" spans="4:5" x14ac:dyDescent="0.25">
      <c r="D120" s="2">
        <v>44532</v>
      </c>
      <c r="E120" s="3">
        <v>1.8013E-3</v>
      </c>
    </row>
    <row r="121" spans="4:5" x14ac:dyDescent="0.25">
      <c r="D121" s="2">
        <v>44533</v>
      </c>
      <c r="E121" s="3">
        <v>1.8763E-3</v>
      </c>
    </row>
    <row r="122" spans="4:5" x14ac:dyDescent="0.25">
      <c r="D122" s="2">
        <v>44536</v>
      </c>
      <c r="E122" s="3">
        <v>1.9E-3</v>
      </c>
    </row>
    <row r="123" spans="4:5" x14ac:dyDescent="0.25">
      <c r="D123" s="2">
        <v>44537</v>
      </c>
      <c r="E123" s="3">
        <v>1.9824999999999999E-3</v>
      </c>
    </row>
    <row r="124" spans="4:5" x14ac:dyDescent="0.25">
      <c r="D124" s="2">
        <v>44538</v>
      </c>
      <c r="E124" s="3">
        <v>2.0050000000000003E-3</v>
      </c>
    </row>
    <row r="125" spans="4:5" x14ac:dyDescent="0.25">
      <c r="D125" s="2">
        <v>44539</v>
      </c>
      <c r="E125" s="3">
        <v>2.0087999999999998E-3</v>
      </c>
    </row>
    <row r="126" spans="4:5" x14ac:dyDescent="0.25">
      <c r="D126" s="2">
        <v>44540</v>
      </c>
      <c r="E126" s="3">
        <v>1.9824999999999999E-3</v>
      </c>
    </row>
    <row r="127" spans="4:5" x14ac:dyDescent="0.25">
      <c r="D127" s="2">
        <v>44543</v>
      </c>
      <c r="E127" s="3">
        <v>2.0275000000000002E-3</v>
      </c>
    </row>
    <row r="128" spans="4:5" x14ac:dyDescent="0.25">
      <c r="D128" s="2">
        <v>44544</v>
      </c>
      <c r="E128" s="3">
        <v>2.1088000000000001E-3</v>
      </c>
    </row>
    <row r="129" spans="4:5" x14ac:dyDescent="0.25">
      <c r="D129" s="2">
        <v>44545</v>
      </c>
      <c r="E129" s="3">
        <v>2.1562999999999999E-3</v>
      </c>
    </row>
    <row r="130" spans="4:5" x14ac:dyDescent="0.25">
      <c r="D130" s="2">
        <v>44546</v>
      </c>
      <c r="E130" s="3">
        <v>2.1362999999999998E-3</v>
      </c>
    </row>
    <row r="131" spans="4:5" x14ac:dyDescent="0.25">
      <c r="D131" s="2">
        <v>44547</v>
      </c>
      <c r="E131" s="3">
        <v>2.1263000000000002E-3</v>
      </c>
    </row>
    <row r="132" spans="4:5" x14ac:dyDescent="0.25">
      <c r="D132" s="2">
        <v>44550</v>
      </c>
      <c r="E132" s="3">
        <v>2.1424999999999999E-3</v>
      </c>
    </row>
    <row r="133" spans="4:5" x14ac:dyDescent="0.25">
      <c r="D133" s="2">
        <v>44551</v>
      </c>
      <c r="E133" s="3">
        <v>2.16E-3</v>
      </c>
    </row>
    <row r="134" spans="4:5" x14ac:dyDescent="0.25">
      <c r="D134" s="2">
        <v>44552</v>
      </c>
      <c r="E134" s="3">
        <v>2.1138000000000003E-3</v>
      </c>
    </row>
    <row r="135" spans="4:5" x14ac:dyDescent="0.25">
      <c r="D135" s="2">
        <v>44553</v>
      </c>
      <c r="E135" s="3">
        <v>2.1974999999999998E-3</v>
      </c>
    </row>
    <row r="136" spans="4:5" x14ac:dyDescent="0.25">
      <c r="D136" s="2">
        <v>44554</v>
      </c>
      <c r="E136" s="3">
        <v>2.1787999999999998E-3</v>
      </c>
    </row>
    <row r="137" spans="4:5" x14ac:dyDescent="0.25">
      <c r="D137" s="2">
        <v>44441</v>
      </c>
      <c r="E137" s="3">
        <v>1.155E-3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Z110"/>
  <sheetViews>
    <sheetView workbookViewId="0">
      <selection activeCell="B6" sqref="B6"/>
    </sheetView>
  </sheetViews>
  <sheetFormatPr defaultColWidth="9" defaultRowHeight="15" x14ac:dyDescent="0.25"/>
  <cols>
    <col min="1" max="1" width="15.75" style="3" customWidth="1"/>
    <col min="2" max="2" width="14" style="3" customWidth="1"/>
    <col min="3" max="3" width="9.25" style="3" customWidth="1"/>
    <col min="4" max="4" width="9.625" style="3" customWidth="1"/>
    <col min="5" max="5" width="10.5" style="3" customWidth="1"/>
    <col min="6" max="6" width="10.75" style="3" customWidth="1"/>
    <col min="7" max="7" width="16.375" style="3" customWidth="1"/>
    <col min="8" max="8" width="14" style="3" customWidth="1"/>
    <col min="9" max="9" width="5.75" style="3" customWidth="1"/>
    <col min="10" max="10" width="5.25" style="3" customWidth="1"/>
    <col min="11" max="11" width="17.25" style="3" customWidth="1"/>
    <col min="12" max="12" width="11.375" style="3" customWidth="1"/>
    <col min="13" max="13" width="10.375" style="3" customWidth="1"/>
    <col min="14" max="14" width="12.25" style="3" customWidth="1"/>
    <col min="15" max="15" width="10.25" style="3" customWidth="1"/>
    <col min="16" max="16" width="10.375" style="3" customWidth="1"/>
    <col min="17" max="17" width="10.625" style="3" customWidth="1"/>
    <col min="18" max="18" width="12.875" style="3" customWidth="1"/>
    <col min="19" max="19" width="9" style="3"/>
    <col min="20" max="20" width="10" style="3" bestFit="1" customWidth="1"/>
    <col min="21" max="23" width="9" style="3"/>
    <col min="24" max="24" width="9.375" style="3" customWidth="1"/>
    <col min="25" max="25" width="12.25" style="3" customWidth="1"/>
    <col min="26" max="26" width="9.75" style="3" customWidth="1"/>
    <col min="27" max="16384" width="9" style="3"/>
  </cols>
  <sheetData>
    <row r="1" spans="1:24" ht="15.75" thickBot="1" x14ac:dyDescent="0.3">
      <c r="A1" s="1" t="s">
        <v>8</v>
      </c>
      <c r="B1" s="17">
        <f>'ql-US-ZC'!B1</f>
        <v>44558</v>
      </c>
      <c r="C1" s="25" t="s">
        <v>66</v>
      </c>
      <c r="D1" s="25" t="s">
        <v>51</v>
      </c>
      <c r="E1" s="25" t="s">
        <v>65</v>
      </c>
      <c r="F1" s="25" t="s">
        <v>67</v>
      </c>
      <c r="G1" s="3" t="s">
        <v>126</v>
      </c>
    </row>
    <row r="2" spans="1:24" ht="15.75" thickBot="1" x14ac:dyDescent="0.3">
      <c r="A2" s="5"/>
      <c r="C2" s="59">
        <f>D2-$B$1</f>
        <v>0</v>
      </c>
      <c r="D2" s="60">
        <f t="array" ref="D2:D12">_xll.qlPiecewiseYieldCurveDates(B24)</f>
        <v>44558</v>
      </c>
      <c r="E2" s="77">
        <f t="array" ref="E2:E12">_xll.qlYieldTSZeroRate(B24,$D$2:$D$12,$A$51,$A$52,$A$53,$A$54,$A$55)</f>
        <v>-1.3902415674719073E-3</v>
      </c>
      <c r="F2" s="78">
        <f t="array" ref="F2:F12">_xll.qlYieldTSDiscount(B24,D2:D12,TRUE,B5)</f>
        <v>1</v>
      </c>
      <c r="G2" s="4" t="s">
        <v>64</v>
      </c>
      <c r="H2" s="4" t="s">
        <v>21</v>
      </c>
      <c r="I2" s="4" t="s">
        <v>16</v>
      </c>
      <c r="J2" s="4" t="s">
        <v>19</v>
      </c>
      <c r="K2" s="4" t="s">
        <v>20</v>
      </c>
      <c r="L2" s="4" t="s">
        <v>12</v>
      </c>
      <c r="M2" s="4" t="s">
        <v>22</v>
      </c>
      <c r="N2" s="4" t="s">
        <v>13</v>
      </c>
      <c r="O2" s="4" t="s">
        <v>14</v>
      </c>
      <c r="P2" s="4" t="s">
        <v>15</v>
      </c>
      <c r="Q2" s="4"/>
      <c r="R2" s="8"/>
      <c r="S2" s="4"/>
      <c r="T2" s="4"/>
      <c r="U2" s="4"/>
      <c r="V2" s="4"/>
      <c r="W2" s="4"/>
      <c r="X2" s="4"/>
    </row>
    <row r="3" spans="1:24" x14ac:dyDescent="0.25">
      <c r="A3" s="1"/>
      <c r="B3" s="17"/>
      <c r="C3" s="59">
        <f t="shared" ref="C3:C12" si="0">D3-$B$1</f>
        <v>92</v>
      </c>
      <c r="D3" s="60">
        <v>44650</v>
      </c>
      <c r="E3" s="79">
        <v>-1.3902415684664451E-3</v>
      </c>
      <c r="F3" s="80">
        <v>1.0003553470772057</v>
      </c>
      <c r="G3" s="74" t="str">
        <f>H49</f>
        <v>obj_00191#0008</v>
      </c>
      <c r="H3" s="18" t="str">
        <f>_xll.qlSimpleQuote(,K3,M3,N3,O3,P3)</f>
        <v>obj_0018c#0008</v>
      </c>
      <c r="I3" s="3" t="str">
        <f>_xll.ohRangeRetrieveError(H3)</f>
        <v/>
      </c>
      <c r="K3" s="72">
        <f>R3/100</f>
        <v>-1.3900000000000002E-3</v>
      </c>
      <c r="L3" s="36" t="s">
        <v>1</v>
      </c>
      <c r="M3" s="3">
        <v>0.01</v>
      </c>
      <c r="N3" s="11" t="b">
        <v>0</v>
      </c>
      <c r="O3" s="34">
        <f>$B$5</f>
        <v>1</v>
      </c>
      <c r="P3" s="7" t="b">
        <v>1</v>
      </c>
      <c r="Q3" s="3" t="s">
        <v>170</v>
      </c>
      <c r="R3" s="88">
        <v>-0.13900000000000001</v>
      </c>
      <c r="S3" s="2"/>
      <c r="T3" s="2"/>
      <c r="U3" s="6"/>
      <c r="X3" s="34"/>
    </row>
    <row r="4" spans="1:24" x14ac:dyDescent="0.25">
      <c r="A4" s="1" t="s">
        <v>73</v>
      </c>
      <c r="B4" s="17">
        <f>_xll.qlCalendarAdvance('ql-US-ZC'!B12,B1,"2D",V3,W3,X3)</f>
        <v>44560</v>
      </c>
      <c r="C4" s="59">
        <f t="shared" si="0"/>
        <v>184</v>
      </c>
      <c r="D4" s="60">
        <v>44742</v>
      </c>
      <c r="E4" s="79">
        <v>4.837381214809323E-4</v>
      </c>
      <c r="F4" s="80">
        <v>0.99975278663350442</v>
      </c>
      <c r="G4" s="75" t="str">
        <f t="shared" ref="G4:G42" si="1">H50</f>
        <v>obj_001b0#0008</v>
      </c>
      <c r="H4" s="18" t="str">
        <f>_xll.qlSimpleQuote(,K4,M4,N4,O4,P4)</f>
        <v>obj_00187#0008</v>
      </c>
      <c r="I4" s="3" t="str">
        <f>_xll.ohRangeRetrieveError(H4)</f>
        <v/>
      </c>
      <c r="K4" s="72">
        <f t="shared" ref="K4:K42" si="2">R4/100</f>
        <v>5.0999999999999993E-4</v>
      </c>
      <c r="L4" s="36" t="s">
        <v>69</v>
      </c>
      <c r="M4" s="3">
        <f>$M$3</f>
        <v>0.01</v>
      </c>
      <c r="N4" s="11" t="b">
        <v>0</v>
      </c>
      <c r="O4" s="34">
        <f t="shared" ref="O4:O42" si="3">$B$5</f>
        <v>1</v>
      </c>
      <c r="P4" s="7" t="b">
        <v>1</v>
      </c>
      <c r="Q4" s="3" t="s">
        <v>171</v>
      </c>
      <c r="R4" s="88">
        <v>5.0999999999999997E-2</v>
      </c>
      <c r="S4" s="2"/>
      <c r="T4" s="2"/>
      <c r="U4" s="6"/>
      <c r="X4" s="34"/>
    </row>
    <row r="5" spans="1:24" x14ac:dyDescent="0.25">
      <c r="A5" s="8" t="s">
        <v>14</v>
      </c>
      <c r="B5" s="3">
        <f>'ql-US-ZC'!B4</f>
        <v>1</v>
      </c>
      <c r="C5" s="59">
        <f t="shared" si="0"/>
        <v>367</v>
      </c>
      <c r="D5" s="60">
        <v>44925</v>
      </c>
      <c r="E5" s="79">
        <v>3.6213921937453051E-3</v>
      </c>
      <c r="F5" s="80">
        <v>0.99631499819216829</v>
      </c>
      <c r="G5" s="75" t="str">
        <f t="shared" si="1"/>
        <v>obj_001a9#0008</v>
      </c>
      <c r="H5" s="18" t="str">
        <f>_xll.qlSimpleQuote(,K5,M5,N5,O5,P5)</f>
        <v>obj_0018a#0008</v>
      </c>
      <c r="I5" s="3" t="str">
        <f>_xll.ohRangeRetrieveError(H5)</f>
        <v/>
      </c>
      <c r="K5" s="72">
        <f t="shared" si="2"/>
        <v>3.7000000000000002E-3</v>
      </c>
      <c r="L5" s="36" t="s">
        <v>2</v>
      </c>
      <c r="M5" s="3">
        <f t="shared" ref="M5:M42" si="4">$M$3</f>
        <v>0.01</v>
      </c>
      <c r="N5" s="11" t="b">
        <v>0</v>
      </c>
      <c r="O5" s="34">
        <f t="shared" si="3"/>
        <v>1</v>
      </c>
      <c r="P5" s="7" t="b">
        <v>1</v>
      </c>
      <c r="Q5" s="3" t="s">
        <v>172</v>
      </c>
      <c r="R5" s="88">
        <v>0.37</v>
      </c>
      <c r="S5" s="2"/>
      <c r="T5" s="2"/>
      <c r="U5" s="6"/>
      <c r="X5" s="34"/>
    </row>
    <row r="6" spans="1:24" x14ac:dyDescent="0.25">
      <c r="B6" s="19"/>
      <c r="C6" s="59">
        <f t="shared" si="0"/>
        <v>735</v>
      </c>
      <c r="D6" s="60">
        <v>45293</v>
      </c>
      <c r="E6" s="79">
        <v>8.1511518014602234E-3</v>
      </c>
      <c r="F6" s="80">
        <v>0.98349577708139491</v>
      </c>
      <c r="G6" s="75" t="str">
        <f t="shared" si="1"/>
        <v>obj_0019d#0008</v>
      </c>
      <c r="H6" s="18" t="str">
        <f>_xll.qlSimpleQuote(,K6,M6,N6,O6,P6)</f>
        <v>obj_00189#0008</v>
      </c>
      <c r="I6" s="3" t="str">
        <f>_xll.ohRangeRetrieveError(H6)</f>
        <v/>
      </c>
      <c r="K6" s="72">
        <f t="shared" si="2"/>
        <v>8.199999999999999E-3</v>
      </c>
      <c r="L6" s="36" t="s">
        <v>3</v>
      </c>
      <c r="M6" s="3">
        <f t="shared" si="4"/>
        <v>0.01</v>
      </c>
      <c r="N6" s="11" t="b">
        <v>0</v>
      </c>
      <c r="O6" s="34">
        <f t="shared" si="3"/>
        <v>1</v>
      </c>
      <c r="P6" s="7" t="b">
        <v>1</v>
      </c>
      <c r="Q6" s="3" t="s">
        <v>173</v>
      </c>
      <c r="R6" s="88">
        <v>0.82</v>
      </c>
      <c r="S6" s="2"/>
      <c r="T6" s="2"/>
      <c r="U6" s="6"/>
      <c r="X6" s="34"/>
    </row>
    <row r="7" spans="1:24" x14ac:dyDescent="0.25">
      <c r="A7" s="8"/>
      <c r="B7" s="9"/>
      <c r="C7" s="59">
        <f t="shared" si="0"/>
        <v>1098</v>
      </c>
      <c r="D7" s="60">
        <v>45656</v>
      </c>
      <c r="E7" s="79">
        <v>1.1009115712491111E-2</v>
      </c>
      <c r="F7" s="80">
        <v>0.96697967445937139</v>
      </c>
      <c r="G7" s="75" t="str">
        <f t="shared" si="1"/>
        <v>obj_00196#0008</v>
      </c>
      <c r="H7" s="18" t="str">
        <f>_xll.qlSimpleQuote(,K7,M7,N7,O7,P7)</f>
        <v>obj_00185#0008</v>
      </c>
      <c r="I7" s="3" t="str">
        <f>_xll.ohRangeRetrieveError(H7)</f>
        <v/>
      </c>
      <c r="K7" s="72">
        <f t="shared" si="2"/>
        <v>1.1169999999999999E-2</v>
      </c>
      <c r="L7" s="36" t="s">
        <v>4</v>
      </c>
      <c r="M7" s="3">
        <f t="shared" si="4"/>
        <v>0.01</v>
      </c>
      <c r="N7" s="11" t="b">
        <v>0</v>
      </c>
      <c r="O7" s="34">
        <f t="shared" si="3"/>
        <v>1</v>
      </c>
      <c r="P7" s="7" t="b">
        <v>1</v>
      </c>
      <c r="Q7" s="3" t="s">
        <v>174</v>
      </c>
      <c r="R7" s="88">
        <v>1.117</v>
      </c>
      <c r="S7" s="2"/>
      <c r="T7" s="2"/>
      <c r="U7" s="6"/>
      <c r="X7" s="34"/>
    </row>
    <row r="8" spans="1:24" x14ac:dyDescent="0.25">
      <c r="A8" s="8"/>
      <c r="B8" s="9"/>
      <c r="C8" s="59">
        <f t="shared" si="0"/>
        <v>1828</v>
      </c>
      <c r="D8" s="60">
        <v>46386</v>
      </c>
      <c r="E8" s="79">
        <v>1.466013510517954E-2</v>
      </c>
      <c r="F8" s="80">
        <v>0.92826232507774564</v>
      </c>
      <c r="G8" s="75" t="str">
        <f t="shared" si="1"/>
        <v>obj_0019e#0008</v>
      </c>
      <c r="H8" s="18" t="str">
        <f>_xll.qlSimpleQuote(,K8,M8,N8,O8,P8)</f>
        <v>obj_0018b#0008</v>
      </c>
      <c r="I8" s="3" t="str">
        <f>_xll.ohRangeRetrieveError(H8)</f>
        <v/>
      </c>
      <c r="K8" s="72">
        <f t="shared" si="2"/>
        <v>1.481E-2</v>
      </c>
      <c r="L8" s="36" t="s">
        <v>5</v>
      </c>
      <c r="M8" s="3">
        <f t="shared" si="4"/>
        <v>0.01</v>
      </c>
      <c r="N8" s="11" t="b">
        <v>0</v>
      </c>
      <c r="O8" s="34">
        <f t="shared" si="3"/>
        <v>1</v>
      </c>
      <c r="P8" s="7" t="b">
        <v>1</v>
      </c>
      <c r="Q8" s="3" t="s">
        <v>175</v>
      </c>
      <c r="R8" s="88">
        <v>1.4810000000000001</v>
      </c>
      <c r="S8" s="2"/>
      <c r="T8" s="2"/>
      <c r="U8" s="6"/>
      <c r="X8" s="34"/>
    </row>
    <row r="9" spans="1:24" x14ac:dyDescent="0.25">
      <c r="A9" s="8"/>
      <c r="B9" s="9"/>
      <c r="C9" s="59">
        <f t="shared" si="0"/>
        <v>2562</v>
      </c>
      <c r="D9" s="60">
        <v>47120</v>
      </c>
      <c r="E9" s="79">
        <v>1.7105803128438159E-2</v>
      </c>
      <c r="F9" s="80">
        <v>0.88538181385241566</v>
      </c>
      <c r="G9" s="75" t="str">
        <f t="shared" si="1"/>
        <v>obj_001ad#0008</v>
      </c>
      <c r="H9" s="18" t="str">
        <f>_xll.qlSimpleQuote(,K9,M9,N9,O9,P9)</f>
        <v>obj_0018d#0008</v>
      </c>
      <c r="I9" s="3" t="str">
        <f>_xll.ohRangeRetrieveError(H9)</f>
        <v/>
      </c>
      <c r="K9" s="72">
        <f t="shared" si="2"/>
        <v>1.719E-2</v>
      </c>
      <c r="L9" s="36" t="s">
        <v>6</v>
      </c>
      <c r="M9" s="3">
        <f t="shared" si="4"/>
        <v>0.01</v>
      </c>
      <c r="N9" s="11" t="b">
        <v>0</v>
      </c>
      <c r="O9" s="34">
        <f t="shared" si="3"/>
        <v>1</v>
      </c>
      <c r="P9" s="7" t="b">
        <v>1</v>
      </c>
      <c r="Q9" s="3" t="s">
        <v>176</v>
      </c>
      <c r="R9" s="88">
        <v>1.7190000000000001</v>
      </c>
      <c r="S9" s="2"/>
      <c r="T9" s="2"/>
      <c r="U9" s="6"/>
      <c r="X9" s="34"/>
    </row>
    <row r="10" spans="1:24" x14ac:dyDescent="0.25">
      <c r="A10" s="8"/>
      <c r="B10" s="9"/>
      <c r="C10" s="59">
        <f t="shared" si="0"/>
        <v>3654</v>
      </c>
      <c r="D10" s="60">
        <v>48212</v>
      </c>
      <c r="E10" s="79">
        <v>1.9672857512686708E-2</v>
      </c>
      <c r="F10" s="80">
        <v>0.81899319526463776</v>
      </c>
      <c r="G10" s="75" t="str">
        <f t="shared" si="1"/>
        <v>obj_0019f#0008</v>
      </c>
      <c r="H10" s="18" t="str">
        <f>_xll.qlSimpleQuote(,K10,M10,N10,O10,P10)</f>
        <v>obj_00188#0008</v>
      </c>
      <c r="I10" s="3" t="str">
        <f>_xll.ohRangeRetrieveError(H10)</f>
        <v/>
      </c>
      <c r="K10" s="72">
        <f t="shared" si="2"/>
        <v>1.9689999999999999E-2</v>
      </c>
      <c r="L10" s="36" t="s">
        <v>7</v>
      </c>
      <c r="M10" s="3">
        <f t="shared" si="4"/>
        <v>0.01</v>
      </c>
      <c r="N10" s="11" t="b">
        <v>0</v>
      </c>
      <c r="O10" s="34">
        <f t="shared" si="3"/>
        <v>1</v>
      </c>
      <c r="P10" s="7" t="b">
        <v>1</v>
      </c>
      <c r="Q10" s="3" t="s">
        <v>177</v>
      </c>
      <c r="R10" s="88">
        <v>1.9690000000000001</v>
      </c>
      <c r="S10" s="2"/>
      <c r="T10" s="2"/>
      <c r="U10" s="6"/>
      <c r="X10" s="34"/>
    </row>
    <row r="11" spans="1:24" x14ac:dyDescent="0.25">
      <c r="A11" s="8"/>
      <c r="B11" s="9"/>
      <c r="C11" s="59">
        <f t="shared" si="0"/>
        <v>5481</v>
      </c>
      <c r="D11" s="60">
        <v>50039</v>
      </c>
      <c r="E11" s="79">
        <v>2.2370158041315182E-2</v>
      </c>
      <c r="F11" s="80">
        <v>0.71135359211738813</v>
      </c>
      <c r="G11" s="75" t="str">
        <f t="shared" si="1"/>
        <v>obj_001b3#0008</v>
      </c>
      <c r="H11" s="18" t="str">
        <f>_xll.qlSimpleQuote(,K11,M11,N11,O11,P11)</f>
        <v>obj_00186#0008</v>
      </c>
      <c r="I11" s="3" t="str">
        <f>_xll.ohRangeRetrieveError(H11)</f>
        <v/>
      </c>
      <c r="K11" s="72">
        <f t="shared" si="2"/>
        <v>2.2210000000000001E-2</v>
      </c>
      <c r="L11" s="36" t="s">
        <v>210</v>
      </c>
      <c r="M11" s="3">
        <f t="shared" si="4"/>
        <v>0.01</v>
      </c>
      <c r="N11" s="11" t="b">
        <v>0</v>
      </c>
      <c r="O11" s="34">
        <f t="shared" si="3"/>
        <v>1</v>
      </c>
      <c r="P11" s="7" t="b">
        <v>1</v>
      </c>
      <c r="Q11" s="3" t="s">
        <v>178</v>
      </c>
      <c r="R11" s="88">
        <v>2.2210000000000001</v>
      </c>
      <c r="S11" s="2"/>
      <c r="T11" s="2"/>
      <c r="U11" s="6"/>
      <c r="X11" s="34"/>
    </row>
    <row r="12" spans="1:24" ht="15.75" thickBot="1" x14ac:dyDescent="0.3">
      <c r="A12" s="8"/>
      <c r="B12" s="10"/>
      <c r="C12" s="59">
        <f t="shared" si="0"/>
        <v>7307</v>
      </c>
      <c r="D12" s="60">
        <v>51865</v>
      </c>
      <c r="E12" s="81">
        <v>2.3685678292957535E-2</v>
      </c>
      <c r="F12" s="82">
        <v>0.61831732910284232</v>
      </c>
      <c r="G12" s="76" t="str">
        <f t="shared" si="1"/>
        <v>obj_0019c#0008</v>
      </c>
      <c r="H12" s="18" t="str">
        <f>_xll.qlSimpleQuote(,K12,M12,N12,O12,P12)</f>
        <v>obj_0017b#0008</v>
      </c>
      <c r="K12" s="72">
        <f t="shared" si="2"/>
        <v>2.342E-2</v>
      </c>
      <c r="L12" s="36" t="s">
        <v>211</v>
      </c>
      <c r="M12" s="3">
        <f t="shared" si="4"/>
        <v>0.01</v>
      </c>
      <c r="N12" s="11" t="b">
        <v>0</v>
      </c>
      <c r="O12" s="34">
        <f t="shared" si="3"/>
        <v>1</v>
      </c>
      <c r="P12" s="7" t="b">
        <v>1</v>
      </c>
      <c r="Q12" s="3" t="s">
        <v>179</v>
      </c>
      <c r="R12" s="88">
        <v>2.3420000000000001</v>
      </c>
      <c r="S12" s="2"/>
      <c r="T12" s="2"/>
      <c r="U12" s="6"/>
      <c r="X12" s="34"/>
    </row>
    <row r="13" spans="1:24" x14ac:dyDescent="0.25">
      <c r="A13" s="8"/>
      <c r="B13" s="9"/>
      <c r="C13" s="59"/>
      <c r="D13" s="60"/>
      <c r="E13" s="77">
        <f t="array" ref="E13:E23">_xll.qlYieldTSZeroRate(B23,$D$2:$D$12,$A$51,$A$52,$A$53,$A$54,$A$55)</f>
        <v>4.5574027736148453E-3</v>
      </c>
      <c r="F13" s="78">
        <f t="array" ref="F13:F23">_xll.qlYieldTSDiscount(B23,D2:D12,TRUE,B5)</f>
        <v>1</v>
      </c>
      <c r="G13" s="43" t="str">
        <f t="shared" si="1"/>
        <v>obj_00197#0008</v>
      </c>
      <c r="H13" s="18" t="str">
        <f>_xll.qlSimpleQuote(,K13,M13,N13,O13,P13)</f>
        <v>obj_00178#0008</v>
      </c>
      <c r="K13" s="72">
        <f t="shared" si="2"/>
        <v>4.5599999999999998E-3</v>
      </c>
      <c r="L13" s="36" t="s">
        <v>1</v>
      </c>
      <c r="M13" s="3">
        <f t="shared" si="4"/>
        <v>0.01</v>
      </c>
      <c r="N13" s="11" t="b">
        <v>0</v>
      </c>
      <c r="O13" s="34">
        <f t="shared" si="3"/>
        <v>1</v>
      </c>
      <c r="P13" s="7" t="b">
        <v>1</v>
      </c>
      <c r="Q13" s="3" t="s">
        <v>180</v>
      </c>
      <c r="R13" s="88">
        <v>0.45600000000000002</v>
      </c>
      <c r="S13" s="2"/>
      <c r="T13" s="2"/>
      <c r="U13" s="6"/>
      <c r="X13" s="34"/>
    </row>
    <row r="14" spans="1:24" x14ac:dyDescent="0.25">
      <c r="A14" s="8"/>
      <c r="B14" s="9"/>
      <c r="C14" s="59"/>
      <c r="D14" s="60"/>
      <c r="E14" s="79">
        <v>4.5574027737036397E-3</v>
      </c>
      <c r="F14" s="80">
        <v>0.99883600836668451</v>
      </c>
      <c r="G14" s="44" t="str">
        <f t="shared" si="1"/>
        <v>obj_001aa#0008</v>
      </c>
      <c r="H14" s="18" t="str">
        <f>_xll.qlSimpleQuote(,K14,M14,N14,O14,P14)</f>
        <v>obj_00176#0008</v>
      </c>
      <c r="K14" s="72">
        <f t="shared" si="2"/>
        <v>5.1900000000000002E-3</v>
      </c>
      <c r="L14" s="36" t="s">
        <v>69</v>
      </c>
      <c r="M14" s="3">
        <f t="shared" si="4"/>
        <v>0.01</v>
      </c>
      <c r="N14" s="11" t="b">
        <v>0</v>
      </c>
      <c r="O14" s="34">
        <f t="shared" si="3"/>
        <v>1</v>
      </c>
      <c r="P14" s="7" t="b">
        <v>1</v>
      </c>
      <c r="Q14" s="3" t="s">
        <v>181</v>
      </c>
      <c r="R14" s="88">
        <v>0.51900000000000002</v>
      </c>
      <c r="S14" s="2"/>
      <c r="T14" s="2"/>
      <c r="U14" s="6"/>
      <c r="X14" s="34"/>
    </row>
    <row r="15" spans="1:24" x14ac:dyDescent="0.25">
      <c r="A15" s="8"/>
      <c r="B15" s="9"/>
      <c r="C15" s="59"/>
      <c r="D15" s="60"/>
      <c r="E15" s="79">
        <v>5.1201346408450178E-3</v>
      </c>
      <c r="F15" s="80">
        <v>0.99738646354342309</v>
      </c>
      <c r="G15" s="44" t="str">
        <f t="shared" si="1"/>
        <v>obj_001a2#0008</v>
      </c>
      <c r="H15" s="18" t="str">
        <f>_xll.qlSimpleQuote(,K15,M15,N15,O15,P15)</f>
        <v>obj_0017d#0008</v>
      </c>
      <c r="K15" s="72">
        <f t="shared" si="2"/>
        <v>6.0299999999999998E-3</v>
      </c>
      <c r="L15" s="36" t="s">
        <v>2</v>
      </c>
      <c r="M15" s="3">
        <f t="shared" si="4"/>
        <v>0.01</v>
      </c>
      <c r="N15" s="11" t="b">
        <v>0</v>
      </c>
      <c r="O15" s="34">
        <f t="shared" si="3"/>
        <v>1</v>
      </c>
      <c r="P15" s="7" t="b">
        <v>1</v>
      </c>
      <c r="Q15" s="3" t="s">
        <v>182</v>
      </c>
      <c r="R15" s="88">
        <v>0.60299999999999998</v>
      </c>
      <c r="S15" s="2"/>
      <c r="T15" s="2"/>
      <c r="U15" s="6"/>
      <c r="X15" s="34"/>
    </row>
    <row r="16" spans="1:24" x14ac:dyDescent="0.25">
      <c r="A16" s="8"/>
      <c r="B16" s="9"/>
      <c r="C16" s="24"/>
      <c r="D16" s="2"/>
      <c r="E16" s="79">
        <v>5.9321623317923865E-3</v>
      </c>
      <c r="F16" s="80">
        <v>0.99397073944919978</v>
      </c>
      <c r="G16" s="44" t="str">
        <f t="shared" si="1"/>
        <v>obj_00198#0008</v>
      </c>
      <c r="H16" s="18" t="str">
        <f>_xll.qlSimpleQuote(,K16,M16,N16,O16,P16)</f>
        <v>obj_0017f#0008</v>
      </c>
      <c r="K16" s="72">
        <f t="shared" si="2"/>
        <v>9.5499999999999995E-3</v>
      </c>
      <c r="L16" s="36" t="s">
        <v>3</v>
      </c>
      <c r="M16" s="3">
        <f t="shared" si="4"/>
        <v>0.01</v>
      </c>
      <c r="N16" s="11" t="b">
        <v>0</v>
      </c>
      <c r="O16" s="34">
        <f t="shared" si="3"/>
        <v>1</v>
      </c>
      <c r="P16" s="7" t="b">
        <v>1</v>
      </c>
      <c r="Q16" s="3" t="s">
        <v>183</v>
      </c>
      <c r="R16" s="88">
        <v>0.95499999999999996</v>
      </c>
      <c r="S16" s="2"/>
      <c r="T16" s="2"/>
      <c r="U16" s="6"/>
      <c r="X16" s="34"/>
    </row>
    <row r="17" spans="1:25" x14ac:dyDescent="0.25">
      <c r="A17" s="8"/>
      <c r="B17" s="9"/>
      <c r="C17" s="24"/>
      <c r="D17" s="2"/>
      <c r="E17" s="79">
        <v>9.4800751810528334E-3</v>
      </c>
      <c r="F17" s="80">
        <v>0.98083095483614369</v>
      </c>
      <c r="G17" s="44" t="str">
        <f t="shared" si="1"/>
        <v>obj_00199#0008</v>
      </c>
      <c r="H17" s="18" t="str">
        <f>_xll.qlSimpleQuote(,K17,M17,N17,O17,P17)</f>
        <v>obj_00181#0008</v>
      </c>
      <c r="K17" s="72">
        <f t="shared" si="2"/>
        <v>1.261E-2</v>
      </c>
      <c r="L17" s="36" t="s">
        <v>4</v>
      </c>
      <c r="M17" s="3">
        <f t="shared" si="4"/>
        <v>0.01</v>
      </c>
      <c r="N17" s="11" t="b">
        <v>0</v>
      </c>
      <c r="O17" s="34">
        <f t="shared" si="3"/>
        <v>1</v>
      </c>
      <c r="P17" s="7" t="b">
        <v>1</v>
      </c>
      <c r="Q17" s="3" t="s">
        <v>184</v>
      </c>
      <c r="R17" s="88">
        <v>1.2609999999999999</v>
      </c>
      <c r="S17" s="2"/>
      <c r="T17" s="2"/>
      <c r="U17" s="6"/>
      <c r="X17" s="2"/>
      <c r="Y17" s="6"/>
    </row>
    <row r="18" spans="1:25" x14ac:dyDescent="0.25">
      <c r="A18" s="8"/>
      <c r="B18" s="9"/>
      <c r="C18" s="24"/>
      <c r="D18" s="2"/>
      <c r="E18" s="79">
        <v>1.2429236491094491E-2</v>
      </c>
      <c r="F18" s="80">
        <v>0.96280038682941538</v>
      </c>
      <c r="G18" s="44" t="str">
        <f t="shared" si="1"/>
        <v>obj_001ab#0008</v>
      </c>
      <c r="H18" s="18" t="str">
        <f>_xll.qlSimpleQuote(,K18,M18,N18,O18,P18)</f>
        <v>obj_00183#0008</v>
      </c>
      <c r="K18" s="72">
        <f t="shared" si="2"/>
        <v>1.6810000000000002E-2</v>
      </c>
      <c r="L18" s="36" t="s">
        <v>5</v>
      </c>
      <c r="M18" s="3">
        <f t="shared" si="4"/>
        <v>0.01</v>
      </c>
      <c r="N18" s="11" t="b">
        <v>0</v>
      </c>
      <c r="O18" s="34">
        <f t="shared" si="3"/>
        <v>1</v>
      </c>
      <c r="P18" s="7" t="b">
        <v>1</v>
      </c>
      <c r="Q18" s="3" t="s">
        <v>185</v>
      </c>
      <c r="R18" s="88">
        <v>1.681</v>
      </c>
      <c r="Y18" s="6"/>
    </row>
    <row r="19" spans="1:25" x14ac:dyDescent="0.25">
      <c r="A19" s="8"/>
      <c r="B19" s="9"/>
      <c r="C19" s="24"/>
      <c r="D19" s="2"/>
      <c r="E19" s="79">
        <v>1.6649266415312693E-2</v>
      </c>
      <c r="F19" s="80">
        <v>0.91893372558617992</v>
      </c>
      <c r="G19" s="44" t="str">
        <f t="shared" si="1"/>
        <v>obj_00193#0008</v>
      </c>
      <c r="H19" s="18" t="str">
        <f>_xll.qlSimpleQuote(,K19,M19,N19,O19,P19)</f>
        <v>obj_00177#0008</v>
      </c>
      <c r="K19" s="72">
        <f t="shared" si="2"/>
        <v>2.0579999999999998E-2</v>
      </c>
      <c r="L19" s="36" t="s">
        <v>6</v>
      </c>
      <c r="M19" s="3">
        <f t="shared" si="4"/>
        <v>0.01</v>
      </c>
      <c r="N19" s="11" t="b">
        <v>0</v>
      </c>
      <c r="O19" s="34">
        <f t="shared" si="3"/>
        <v>1</v>
      </c>
      <c r="P19" s="7" t="b">
        <v>1</v>
      </c>
      <c r="Q19" s="3" t="s">
        <v>186</v>
      </c>
      <c r="R19" s="88">
        <v>2.0579999999999998</v>
      </c>
      <c r="S19" s="4"/>
      <c r="T19" s="4"/>
      <c r="Y19" s="6"/>
    </row>
    <row r="20" spans="1:25" x14ac:dyDescent="0.25">
      <c r="A20" s="110" t="s">
        <v>48</v>
      </c>
      <c r="B20" s="110"/>
      <c r="C20" s="24"/>
      <c r="D20" s="2"/>
      <c r="E20" s="79">
        <v>2.055958234898821E-2</v>
      </c>
      <c r="F20" s="80">
        <v>0.86388493650889364</v>
      </c>
      <c r="G20" s="44" t="str">
        <f t="shared" si="1"/>
        <v>obj_00195#0008</v>
      </c>
      <c r="H20" s="18" t="str">
        <f>_xll.qlSimpleQuote(,K20,M20,N20,O20,P20)</f>
        <v>obj_00182#0008</v>
      </c>
      <c r="I20" s="4"/>
      <c r="J20" s="4"/>
      <c r="K20" s="72">
        <f t="shared" si="2"/>
        <v>2.392E-2</v>
      </c>
      <c r="L20" s="36" t="s">
        <v>7</v>
      </c>
      <c r="M20" s="3">
        <f t="shared" si="4"/>
        <v>0.01</v>
      </c>
      <c r="N20" s="11" t="b">
        <v>0</v>
      </c>
      <c r="O20" s="34">
        <f t="shared" si="3"/>
        <v>1</v>
      </c>
      <c r="P20" s="7" t="b">
        <v>1</v>
      </c>
      <c r="Q20" s="3" t="s">
        <v>187</v>
      </c>
      <c r="R20" s="88">
        <v>2.3919999999999999</v>
      </c>
      <c r="S20" s="4"/>
      <c r="T20" s="4"/>
      <c r="Y20" s="6"/>
    </row>
    <row r="21" spans="1:25" x14ac:dyDescent="0.25">
      <c r="A21" s="4" t="s">
        <v>220</v>
      </c>
      <c r="B21" s="13" t="str">
        <f>_xll.qlPiecewiseYieldCurve(A21,B26,B27,$G$33:$G$42,B29,B30,B31,B32,B33,B34,B35,B36,B37)</f>
        <v>USBBB#0008</v>
      </c>
      <c r="C21" s="24"/>
      <c r="D21" s="2"/>
      <c r="E21" s="79">
        <v>2.4032115042140534E-2</v>
      </c>
      <c r="F21" s="80">
        <v>0.78354563981901615</v>
      </c>
      <c r="G21" s="44" t="str">
        <f t="shared" si="1"/>
        <v>obj_001a5#0008</v>
      </c>
      <c r="H21" s="18" t="str">
        <f>_xll.qlSimpleQuote(,K21,M21,N21,O21,P21)</f>
        <v>obj_0017c#0008</v>
      </c>
      <c r="I21" s="4"/>
      <c r="J21" s="4"/>
      <c r="K21" s="72">
        <f t="shared" si="2"/>
        <v>2.6120000000000001E-2</v>
      </c>
      <c r="L21" s="36" t="s">
        <v>210</v>
      </c>
      <c r="M21" s="3">
        <f t="shared" si="4"/>
        <v>0.01</v>
      </c>
      <c r="N21" s="11" t="b">
        <v>0</v>
      </c>
      <c r="O21" s="34">
        <f t="shared" si="3"/>
        <v>1</v>
      </c>
      <c r="P21" s="7" t="b">
        <v>1</v>
      </c>
      <c r="Q21" s="3" t="s">
        <v>188</v>
      </c>
      <c r="R21" s="88">
        <v>2.6120000000000001</v>
      </c>
      <c r="S21" s="4"/>
      <c r="T21" s="4"/>
      <c r="Y21" s="6"/>
    </row>
    <row r="22" spans="1:25" ht="15.75" thickBot="1" x14ac:dyDescent="0.3">
      <c r="A22" s="4" t="s">
        <v>219</v>
      </c>
      <c r="B22" s="13" t="str">
        <f>_xll.qlPiecewiseYieldCurve(A22,B26,B27,$G$23:$G$32,B29,B30,B31,B32,B33,B34,B35,B36,B37)</f>
        <v>USA#0008</v>
      </c>
      <c r="C22" s="24"/>
      <c r="D22" s="2"/>
      <c r="E22" s="79">
        <v>2.6356654331278241E-2</v>
      </c>
      <c r="F22" s="80">
        <v>0.66946254363231505</v>
      </c>
      <c r="G22" s="45" t="str">
        <f t="shared" si="1"/>
        <v>obj_001ac#0008</v>
      </c>
      <c r="H22" s="18" t="str">
        <f>_xll.qlSimpleQuote(,K22,M22,N22,O22,P22)</f>
        <v>obj_00179#0008</v>
      </c>
      <c r="I22" s="4"/>
      <c r="J22" s="4"/>
      <c r="K22" s="72">
        <f t="shared" si="2"/>
        <v>2.666E-2</v>
      </c>
      <c r="L22" s="36" t="s">
        <v>211</v>
      </c>
      <c r="M22" s="3">
        <f t="shared" si="4"/>
        <v>0.01</v>
      </c>
      <c r="N22" s="11" t="b">
        <v>0</v>
      </c>
      <c r="O22" s="34">
        <f t="shared" si="3"/>
        <v>1</v>
      </c>
      <c r="P22" s="7" t="b">
        <v>1</v>
      </c>
      <c r="Q22" s="3" t="s">
        <v>189</v>
      </c>
      <c r="R22" s="88">
        <v>2.6659999999999999</v>
      </c>
      <c r="S22" s="4"/>
      <c r="T22" s="4"/>
      <c r="Y22" s="6"/>
    </row>
    <row r="23" spans="1:25" ht="15.75" thickBot="1" x14ac:dyDescent="0.3">
      <c r="A23" s="4" t="s">
        <v>218</v>
      </c>
      <c r="B23" s="13" t="str">
        <f>_xll.qlPiecewiseYieldCurve(A23,B26,B27,$G$13:$G$22,B29,B30,B31,B32,B33,B34,B35,B36,B37)</f>
        <v>USAA#0008</v>
      </c>
      <c r="C23" s="24"/>
      <c r="D23" s="2"/>
      <c r="E23" s="81">
        <v>2.6836683530536858E-2</v>
      </c>
      <c r="F23" s="82">
        <v>0.58000988683091603</v>
      </c>
      <c r="G23" s="43" t="str">
        <f t="shared" si="1"/>
        <v>obj_001a8#0008</v>
      </c>
      <c r="H23" s="18" t="str">
        <f>_xll.qlSimpleQuote(,K23,M23,N23,O23,P23)</f>
        <v>obj_00175#0008</v>
      </c>
      <c r="I23" s="4"/>
      <c r="J23" s="4"/>
      <c r="K23" s="72">
        <f t="shared" si="2"/>
        <v>7.1599999999999997E-3</v>
      </c>
      <c r="L23" s="36" t="s">
        <v>1</v>
      </c>
      <c r="M23" s="3">
        <f t="shared" si="4"/>
        <v>0.01</v>
      </c>
      <c r="N23" s="11" t="b">
        <v>0</v>
      </c>
      <c r="O23" s="34">
        <f t="shared" si="3"/>
        <v>1</v>
      </c>
      <c r="P23" s="7" t="b">
        <v>1</v>
      </c>
      <c r="Q23" s="3" t="s">
        <v>190</v>
      </c>
      <c r="R23" s="88">
        <v>0.71599999999999997</v>
      </c>
      <c r="S23" s="4"/>
      <c r="T23" s="4"/>
      <c r="Y23" s="6"/>
    </row>
    <row r="24" spans="1:25" x14ac:dyDescent="0.25">
      <c r="A24" s="4" t="s">
        <v>217</v>
      </c>
      <c r="B24" s="13" t="str">
        <f>_xll.qlPiecewiseYieldCurve(A24,B26,B27,$G$3:$G$12,B29,B30,B31,B32,B33,B34,B35,B36,B37)</f>
        <v>USAAA#0008</v>
      </c>
      <c r="C24" s="24"/>
      <c r="D24" s="2"/>
      <c r="E24" s="77">
        <f t="array" ref="E24:E34">_xll.qlYieldTSZeroRate(B22,$D$2:$D$12,$A$51,$A$52,$A$53,$A$54,$A$55)</f>
        <v>7.1535994365135658E-3</v>
      </c>
      <c r="F24" s="78">
        <f t="array" ref="F24:F34">_xll.qlYieldTSDiscount(B22,D2:D12,TRUE,B5)</f>
        <v>1</v>
      </c>
      <c r="G24" s="44" t="str">
        <f t="shared" si="1"/>
        <v>obj_00194#0008</v>
      </c>
      <c r="H24" s="18" t="str">
        <f>_xll.qlSimpleQuote(,K24,M24,N24,O24,P24)</f>
        <v>obj_0017a#0008</v>
      </c>
      <c r="I24" s="4"/>
      <c r="J24" s="4"/>
      <c r="K24" s="72">
        <f t="shared" si="2"/>
        <v>9.6499999999999989E-3</v>
      </c>
      <c r="L24" s="36" t="s">
        <v>69</v>
      </c>
      <c r="M24" s="3">
        <f t="shared" si="4"/>
        <v>0.01</v>
      </c>
      <c r="N24" s="11" t="b">
        <v>0</v>
      </c>
      <c r="O24" s="34">
        <f t="shared" si="3"/>
        <v>1</v>
      </c>
      <c r="P24" s="7" t="b">
        <v>1</v>
      </c>
      <c r="Q24" s="3" t="s">
        <v>191</v>
      </c>
      <c r="R24" s="88">
        <v>0.96499999999999997</v>
      </c>
      <c r="S24" s="4"/>
      <c r="T24" s="4"/>
      <c r="Y24" s="6"/>
    </row>
    <row r="25" spans="1:25" x14ac:dyDescent="0.25">
      <c r="A25" s="3" t="s">
        <v>35</v>
      </c>
      <c r="B25" s="3" t="s">
        <v>106</v>
      </c>
      <c r="C25" s="24"/>
      <c r="D25" s="2"/>
      <c r="E25" s="79">
        <v>7.1535994368664077E-3</v>
      </c>
      <c r="F25" s="80">
        <v>0.99817352795557757</v>
      </c>
      <c r="G25" s="44" t="str">
        <f t="shared" si="1"/>
        <v>obj_001a7#0008</v>
      </c>
      <c r="H25" s="18" t="str">
        <f>_xll.qlSimpleQuote(,K25,M25,N25,O25,P25)</f>
        <v>obj_00174#0008</v>
      </c>
      <c r="I25" s="4"/>
      <c r="J25" s="4"/>
      <c r="K25" s="72">
        <f t="shared" si="2"/>
        <v>9.1800000000000007E-3</v>
      </c>
      <c r="L25" s="36" t="s">
        <v>2</v>
      </c>
      <c r="M25" s="3">
        <f t="shared" si="4"/>
        <v>0.01</v>
      </c>
      <c r="N25" s="11" t="b">
        <v>0</v>
      </c>
      <c r="O25" s="34">
        <f t="shared" si="3"/>
        <v>1</v>
      </c>
      <c r="P25" s="7" t="b">
        <v>1</v>
      </c>
      <c r="Q25" s="3" t="s">
        <v>192</v>
      </c>
      <c r="R25" s="88">
        <v>0.91800000000000004</v>
      </c>
      <c r="S25" s="4"/>
      <c r="T25" s="4"/>
      <c r="Y25" s="6"/>
    </row>
    <row r="26" spans="1:25" x14ac:dyDescent="0.25">
      <c r="A26" s="3" t="s">
        <v>36</v>
      </c>
      <c r="B26" s="3">
        <v>0</v>
      </c>
      <c r="C26" s="24"/>
      <c r="D26" s="2"/>
      <c r="E26" s="79">
        <v>9.4952723764364678E-3</v>
      </c>
      <c r="F26" s="80">
        <v>0.9951586182376212</v>
      </c>
      <c r="G26" s="44" t="str">
        <f t="shared" si="1"/>
        <v>obj_0019a#0008</v>
      </c>
      <c r="H26" s="18" t="str">
        <f>_xll.qlSimpleQuote(,K26,M26,N26,O26,P26)</f>
        <v>obj_0017e#0008</v>
      </c>
      <c r="I26" s="4"/>
      <c r="J26" s="4"/>
      <c r="K26" s="72">
        <f t="shared" si="2"/>
        <v>1.242E-2</v>
      </c>
      <c r="L26" s="36" t="s">
        <v>3</v>
      </c>
      <c r="M26" s="3">
        <f t="shared" si="4"/>
        <v>0.01</v>
      </c>
      <c r="N26" s="11" t="b">
        <v>0</v>
      </c>
      <c r="O26" s="34">
        <f t="shared" si="3"/>
        <v>1</v>
      </c>
      <c r="P26" s="7" t="b">
        <v>1</v>
      </c>
      <c r="Q26" s="3" t="s">
        <v>193</v>
      </c>
      <c r="R26" s="88">
        <v>1.242</v>
      </c>
      <c r="S26" s="4"/>
      <c r="T26" s="4"/>
      <c r="Y26" s="6"/>
    </row>
    <row r="27" spans="1:25" x14ac:dyDescent="0.25">
      <c r="A27" s="3" t="s">
        <v>37</v>
      </c>
      <c r="B27" s="2" t="str">
        <f>'ql-US-ZC'!B12</f>
        <v>UnitedStates::Settlement</v>
      </c>
      <c r="C27" s="24"/>
      <c r="D27" s="2"/>
      <c r="E27" s="79">
        <v>9.0222325959553248E-3</v>
      </c>
      <c r="F27" s="80">
        <v>0.99084450423845094</v>
      </c>
      <c r="G27" s="44" t="str">
        <f t="shared" si="1"/>
        <v>obj_001b4#0008</v>
      </c>
      <c r="H27" s="18" t="str">
        <f>_xll.qlSimpleQuote(,K27,M27,N27,O27,P27)</f>
        <v>obj_00184#0008</v>
      </c>
      <c r="I27" s="4"/>
      <c r="J27" s="4"/>
      <c r="K27" s="72">
        <f t="shared" si="2"/>
        <v>1.5489999999999999E-2</v>
      </c>
      <c r="L27" s="36" t="s">
        <v>4</v>
      </c>
      <c r="M27" s="3">
        <f t="shared" si="4"/>
        <v>0.01</v>
      </c>
      <c r="N27" s="11" t="b">
        <v>0</v>
      </c>
      <c r="O27" s="34">
        <f t="shared" si="3"/>
        <v>1</v>
      </c>
      <c r="P27" s="7" t="b">
        <v>1</v>
      </c>
      <c r="Q27" s="3" t="s">
        <v>194</v>
      </c>
      <c r="R27" s="88">
        <v>1.5489999999999999</v>
      </c>
      <c r="S27" s="4"/>
      <c r="T27" s="4"/>
      <c r="Y27" s="6"/>
    </row>
    <row r="28" spans="1:25" x14ac:dyDescent="0.25">
      <c r="A28" s="3" t="s">
        <v>38</v>
      </c>
      <c r="C28" s="24"/>
      <c r="D28" s="2"/>
      <c r="E28" s="79">
        <v>1.230514452359124E-2</v>
      </c>
      <c r="F28" s="80">
        <v>0.9751899529686624</v>
      </c>
      <c r="G28" s="44" t="str">
        <f t="shared" si="1"/>
        <v>obj_0018f#0008</v>
      </c>
      <c r="H28" s="18" t="str">
        <f>_xll.qlSimpleQuote(,K28,M28,N28,O28,P28)</f>
        <v>obj_00180#0008</v>
      </c>
      <c r="I28" s="4"/>
      <c r="J28" s="4"/>
      <c r="K28" s="72">
        <f t="shared" si="2"/>
        <v>1.9570000000000001E-2</v>
      </c>
      <c r="L28" s="36" t="s">
        <v>5</v>
      </c>
      <c r="M28" s="3">
        <f t="shared" si="4"/>
        <v>0.01</v>
      </c>
      <c r="N28" s="11" t="b">
        <v>0</v>
      </c>
      <c r="O28" s="34">
        <f t="shared" si="3"/>
        <v>1</v>
      </c>
      <c r="P28" s="7" t="b">
        <v>1</v>
      </c>
      <c r="Q28" s="3" t="s">
        <v>195</v>
      </c>
      <c r="R28" s="88">
        <v>1.9570000000000001</v>
      </c>
      <c r="S28" s="4"/>
      <c r="T28" s="4"/>
      <c r="Y28" s="6"/>
    </row>
    <row r="29" spans="1:25" x14ac:dyDescent="0.25">
      <c r="A29" s="3" t="s">
        <v>39</v>
      </c>
      <c r="B29" s="3" t="str">
        <f>'ql-US-ZC'!B15</f>
        <v>A/360</v>
      </c>
      <c r="C29" s="24"/>
      <c r="D29" s="2"/>
      <c r="E29" s="79">
        <v>1.5256682790636028E-2</v>
      </c>
      <c r="F29" s="80">
        <v>0.95453317260594772</v>
      </c>
      <c r="G29" s="44" t="str">
        <f t="shared" si="1"/>
        <v>obj_001a1#0008</v>
      </c>
      <c r="H29" s="18" t="str">
        <f>_xll.qlSimpleQuote(,K29,M29,N29,O29,P29)</f>
        <v>obj_0016c#0008</v>
      </c>
      <c r="I29" s="37"/>
      <c r="J29" s="37"/>
      <c r="K29" s="72">
        <f t="shared" si="2"/>
        <v>2.2850000000000002E-2</v>
      </c>
      <c r="L29" s="36" t="s">
        <v>6</v>
      </c>
      <c r="M29" s="3">
        <f t="shared" si="4"/>
        <v>0.01</v>
      </c>
      <c r="N29" s="11" t="b">
        <v>0</v>
      </c>
      <c r="O29" s="34">
        <f t="shared" si="3"/>
        <v>1</v>
      </c>
      <c r="P29" s="7" t="b">
        <v>1</v>
      </c>
      <c r="Q29" s="3" t="s">
        <v>196</v>
      </c>
      <c r="R29" s="88">
        <v>2.2850000000000001</v>
      </c>
      <c r="S29" s="37"/>
      <c r="T29" s="37"/>
      <c r="Y29" s="6"/>
    </row>
    <row r="30" spans="1:25" x14ac:dyDescent="0.25">
      <c r="A30" s="3" t="s">
        <v>40</v>
      </c>
      <c r="C30" s="24"/>
      <c r="D30" s="2"/>
      <c r="E30" s="79">
        <v>1.9365636061307812E-2</v>
      </c>
      <c r="F30" s="80">
        <v>0.90634577426950369</v>
      </c>
      <c r="G30" s="44" t="str">
        <f t="shared" si="1"/>
        <v>obj_001b5#0008</v>
      </c>
      <c r="H30" s="18" t="str">
        <f>_xll.qlSimpleQuote(,K30,M30,N30,O30,P30)</f>
        <v>obj_00168#0008</v>
      </c>
      <c r="I30" s="37"/>
      <c r="J30" s="37"/>
      <c r="K30" s="72">
        <f t="shared" si="2"/>
        <v>2.564E-2</v>
      </c>
      <c r="L30" s="36" t="s">
        <v>7</v>
      </c>
      <c r="M30" s="3">
        <f t="shared" si="4"/>
        <v>0.01</v>
      </c>
      <c r="N30" s="11" t="b">
        <v>0</v>
      </c>
      <c r="O30" s="34">
        <f t="shared" si="3"/>
        <v>1</v>
      </c>
      <c r="P30" s="7" t="b">
        <v>1</v>
      </c>
      <c r="Q30" s="3" t="s">
        <v>197</v>
      </c>
      <c r="R30" s="88">
        <v>2.5640000000000001</v>
      </c>
      <c r="S30" s="37"/>
      <c r="T30" s="37"/>
      <c r="Y30" s="6"/>
    </row>
    <row r="31" spans="1:25" x14ac:dyDescent="0.25">
      <c r="A31" s="3" t="s">
        <v>41</v>
      </c>
      <c r="C31" s="24"/>
      <c r="D31" s="2"/>
      <c r="E31" s="79">
        <v>2.2776389411456543E-2</v>
      </c>
      <c r="F31" s="80">
        <v>0.8503629919439829</v>
      </c>
      <c r="G31" s="44" t="str">
        <f t="shared" si="1"/>
        <v>obj_0019b#0008</v>
      </c>
      <c r="H31" s="18" t="str">
        <f>_xll.qlSimpleQuote(,K31,M31,N31,O31,P31)</f>
        <v>obj_00172#0008</v>
      </c>
      <c r="I31" s="37"/>
      <c r="J31" s="37"/>
      <c r="K31" s="72">
        <f t="shared" si="2"/>
        <v>2.7799999999999998E-2</v>
      </c>
      <c r="L31" s="36" t="s">
        <v>210</v>
      </c>
      <c r="M31" s="3">
        <f t="shared" si="4"/>
        <v>0.01</v>
      </c>
      <c r="N31" s="11" t="b">
        <v>0</v>
      </c>
      <c r="O31" s="34">
        <f t="shared" si="3"/>
        <v>1</v>
      </c>
      <c r="P31" s="7" t="b">
        <v>1</v>
      </c>
      <c r="Q31" s="3" t="s">
        <v>198</v>
      </c>
      <c r="R31" s="88">
        <v>2.78</v>
      </c>
      <c r="S31" s="37"/>
      <c r="T31" s="37"/>
      <c r="Y31" s="6"/>
    </row>
    <row r="32" spans="1:25" ht="15.75" thickBot="1" x14ac:dyDescent="0.3">
      <c r="A32" s="3" t="s">
        <v>42</v>
      </c>
      <c r="C32" s="24"/>
      <c r="D32" s="2"/>
      <c r="E32" s="79">
        <v>2.5667721765250916E-2</v>
      </c>
      <c r="F32" s="80">
        <v>0.77064505897187252</v>
      </c>
      <c r="G32" s="45" t="str">
        <f t="shared" si="1"/>
        <v>obj_00192#0008</v>
      </c>
      <c r="H32" s="18" t="str">
        <f>_xll.qlSimpleQuote(,K32,M32,N32,O32,P32)</f>
        <v>obj_00171#0008</v>
      </c>
      <c r="I32" s="37"/>
      <c r="J32" s="37"/>
      <c r="K32" s="72">
        <f t="shared" si="2"/>
        <v>3.0299999999999997E-2</v>
      </c>
      <c r="L32" s="36" t="s">
        <v>211</v>
      </c>
      <c r="M32" s="3">
        <f t="shared" si="4"/>
        <v>0.01</v>
      </c>
      <c r="N32" s="11" t="b">
        <v>0</v>
      </c>
      <c r="O32" s="34">
        <f t="shared" si="3"/>
        <v>1</v>
      </c>
      <c r="P32" s="7" t="b">
        <v>1</v>
      </c>
      <c r="Q32" s="3" t="s">
        <v>199</v>
      </c>
      <c r="R32" s="88">
        <v>3.03</v>
      </c>
      <c r="S32" s="37"/>
      <c r="T32" s="37"/>
      <c r="Y32" s="6"/>
    </row>
    <row r="33" spans="1:26" x14ac:dyDescent="0.25">
      <c r="A33" s="3" t="s">
        <v>43</v>
      </c>
      <c r="B33" s="23" t="s">
        <v>71</v>
      </c>
      <c r="C33" s="24"/>
      <c r="D33" s="2"/>
      <c r="E33" s="79">
        <v>2.797507748079921E-2</v>
      </c>
      <c r="F33" s="80">
        <v>0.65316823124136947</v>
      </c>
      <c r="G33" s="43" t="str">
        <f t="shared" si="1"/>
        <v>obj_001b2#0008</v>
      </c>
      <c r="H33" s="18" t="str">
        <f>_xll.qlSimpleQuote(,K33,M33,N33,O33,P33)</f>
        <v>obj_00173#0008</v>
      </c>
      <c r="I33" s="37"/>
      <c r="J33" s="37"/>
      <c r="K33" s="72">
        <f t="shared" si="2"/>
        <v>1.3899999999999999E-2</v>
      </c>
      <c r="L33" s="36" t="s">
        <v>1</v>
      </c>
      <c r="M33" s="3">
        <f t="shared" si="4"/>
        <v>0.01</v>
      </c>
      <c r="N33" s="11" t="b">
        <v>0</v>
      </c>
      <c r="O33" s="34">
        <f t="shared" si="3"/>
        <v>1</v>
      </c>
      <c r="P33" s="7" t="b">
        <v>1</v>
      </c>
      <c r="Q33" s="3" t="s">
        <v>200</v>
      </c>
      <c r="R33" s="88">
        <v>1.39</v>
      </c>
      <c r="S33" s="37"/>
      <c r="T33" s="37"/>
      <c r="Y33" s="6"/>
    </row>
    <row r="34" spans="1:26" ht="15.75" thickBot="1" x14ac:dyDescent="0.3">
      <c r="A34" s="3" t="s">
        <v>44</v>
      </c>
      <c r="B34" s="3" t="s">
        <v>52</v>
      </c>
      <c r="C34" s="24"/>
      <c r="D34" s="2"/>
      <c r="E34" s="81">
        <v>3.0995153002128052E-2</v>
      </c>
      <c r="F34" s="82">
        <v>0.53306308242805056</v>
      </c>
      <c r="G34" s="44" t="str">
        <f t="shared" si="1"/>
        <v>obj_0018e#0008</v>
      </c>
      <c r="H34" s="18" t="str">
        <f>_xll.qlSimpleQuote(,K34,M34,N34,O34,P34)</f>
        <v>obj_0016a#0008</v>
      </c>
      <c r="I34" s="37"/>
      <c r="J34" s="37"/>
      <c r="K34" s="72">
        <f t="shared" si="2"/>
        <v>1.405E-2</v>
      </c>
      <c r="L34" s="36" t="s">
        <v>69</v>
      </c>
      <c r="M34" s="3">
        <f t="shared" si="4"/>
        <v>0.01</v>
      </c>
      <c r="N34" s="11" t="b">
        <v>0</v>
      </c>
      <c r="O34" s="34">
        <f t="shared" si="3"/>
        <v>1</v>
      </c>
      <c r="P34" s="7" t="b">
        <v>1</v>
      </c>
      <c r="Q34" s="3" t="s">
        <v>201</v>
      </c>
      <c r="R34" s="88">
        <v>1.405</v>
      </c>
      <c r="S34" s="37"/>
      <c r="T34" s="37"/>
      <c r="Y34" s="6"/>
    </row>
    <row r="35" spans="1:26" x14ac:dyDescent="0.25">
      <c r="A35" s="3" t="s">
        <v>45</v>
      </c>
      <c r="B35" s="11" t="b">
        <v>0</v>
      </c>
      <c r="C35" s="24"/>
      <c r="D35" s="2"/>
      <c r="E35" s="77">
        <f t="array" ref="E35:E45">_xll.qlYieldTSZeroRate(B21,$D$2:$D$12,$A$51,$A$52,$A$53,$A$54,$A$55)</f>
        <v>1.3875904555074607E-2</v>
      </c>
      <c r="F35" s="78">
        <f t="array" ref="F35:F45">_xll.qlYieldTSDiscount(B21,D2:D12,TRUE,B5)</f>
        <v>1</v>
      </c>
      <c r="G35" s="75" t="str">
        <f t="shared" si="1"/>
        <v>obj_001b1#0008</v>
      </c>
      <c r="H35" s="18" t="str">
        <f>_xll.qlSimpleQuote(,K35,M35,N35,O35,P35)</f>
        <v>obj_0016d#0008</v>
      </c>
      <c r="I35" s="37"/>
      <c r="J35" s="37"/>
      <c r="K35" s="72">
        <f t="shared" si="2"/>
        <v>1.7689999999999997E-2</v>
      </c>
      <c r="L35" s="36" t="s">
        <v>2</v>
      </c>
      <c r="M35" s="3">
        <f t="shared" si="4"/>
        <v>0.01</v>
      </c>
      <c r="N35" s="11" t="b">
        <v>0</v>
      </c>
      <c r="O35" s="34">
        <f t="shared" si="3"/>
        <v>1</v>
      </c>
      <c r="P35" s="7" t="b">
        <v>1</v>
      </c>
      <c r="Q35" s="3" t="s">
        <v>202</v>
      </c>
      <c r="R35" s="88">
        <v>1.7689999999999999</v>
      </c>
      <c r="S35" s="37"/>
      <c r="T35" s="37"/>
      <c r="Y35" s="6"/>
    </row>
    <row r="36" spans="1:26" x14ac:dyDescent="0.25">
      <c r="A36" s="3" t="s">
        <v>46</v>
      </c>
      <c r="B36" s="34">
        <f>$B$5</f>
        <v>1</v>
      </c>
      <c r="C36" s="24"/>
      <c r="D36" s="2"/>
      <c r="E36" s="79">
        <v>1.3875904554978547E-2</v>
      </c>
      <c r="F36" s="80">
        <v>0.99646021536420193</v>
      </c>
      <c r="G36" s="75" t="str">
        <f t="shared" si="1"/>
        <v>obj_001a4#0008</v>
      </c>
      <c r="H36" s="18" t="str">
        <f>_xll.qlSimpleQuote(,K36,M36,N36,O36,P36)</f>
        <v>obj_00166#0008</v>
      </c>
      <c r="I36" s="37"/>
      <c r="J36" s="37"/>
      <c r="K36" s="72">
        <f t="shared" si="2"/>
        <v>1.9640000000000001E-2</v>
      </c>
      <c r="L36" s="36" t="s">
        <v>3</v>
      </c>
      <c r="M36" s="3">
        <f t="shared" si="4"/>
        <v>0.01</v>
      </c>
      <c r="N36" s="11" t="b">
        <v>0</v>
      </c>
      <c r="O36" s="34">
        <f t="shared" si="3"/>
        <v>1</v>
      </c>
      <c r="P36" s="7" t="b">
        <v>1</v>
      </c>
      <c r="Q36" s="3" t="s">
        <v>203</v>
      </c>
      <c r="R36" s="88">
        <v>1.964</v>
      </c>
      <c r="S36" s="37"/>
      <c r="T36" s="37"/>
      <c r="Y36" s="6"/>
    </row>
    <row r="37" spans="1:26" x14ac:dyDescent="0.25">
      <c r="A37" s="3" t="s">
        <v>47</v>
      </c>
      <c r="B37" s="11" t="b">
        <v>1</v>
      </c>
      <c r="C37" s="24"/>
      <c r="D37" s="2"/>
      <c r="E37" s="79">
        <v>1.3847337397923896E-2</v>
      </c>
      <c r="F37" s="80">
        <v>0.99294745871511858</v>
      </c>
      <c r="G37" s="75" t="str">
        <f t="shared" si="1"/>
        <v>obj_001af#0008</v>
      </c>
      <c r="H37" s="18" t="str">
        <f>_xll.qlSimpleQuote(,K37,M37,N37,O37,P37)</f>
        <v>obj_00170#0008</v>
      </c>
      <c r="I37" s="37"/>
      <c r="J37" s="37"/>
      <c r="K37" s="72">
        <f t="shared" si="2"/>
        <v>2.2879999999999998E-2</v>
      </c>
      <c r="L37" s="36" t="s">
        <v>4</v>
      </c>
      <c r="M37" s="3">
        <f t="shared" si="4"/>
        <v>0.01</v>
      </c>
      <c r="N37" s="11" t="b">
        <v>0</v>
      </c>
      <c r="O37" s="34">
        <f t="shared" si="3"/>
        <v>1</v>
      </c>
      <c r="P37" s="7" t="b">
        <v>1</v>
      </c>
      <c r="Q37" s="3" t="s">
        <v>204</v>
      </c>
      <c r="R37" s="88">
        <v>2.2879999999999998</v>
      </c>
      <c r="S37" s="37"/>
      <c r="T37" s="37"/>
      <c r="Y37" s="6"/>
    </row>
    <row r="38" spans="1:26" x14ac:dyDescent="0.25">
      <c r="C38" s="24"/>
      <c r="D38" s="2"/>
      <c r="E38" s="79">
        <v>1.7367595105579781E-2</v>
      </c>
      <c r="F38" s="80">
        <v>0.98245051949532114</v>
      </c>
      <c r="G38" s="75" t="str">
        <f t="shared" si="1"/>
        <v>obj_001a3#0008</v>
      </c>
      <c r="H38" s="18" t="str">
        <f>_xll.qlSimpleQuote(,K38,M38,N38,O38,P38)</f>
        <v>obj_00167#0008</v>
      </c>
      <c r="I38" s="37"/>
      <c r="J38" s="37"/>
      <c r="K38" s="72">
        <f t="shared" si="2"/>
        <v>2.6290000000000001E-2</v>
      </c>
      <c r="L38" s="36" t="s">
        <v>5</v>
      </c>
      <c r="M38" s="3">
        <f t="shared" si="4"/>
        <v>0.01</v>
      </c>
      <c r="N38" s="11" t="b">
        <v>0</v>
      </c>
      <c r="O38" s="34">
        <f t="shared" si="3"/>
        <v>1</v>
      </c>
      <c r="P38" s="7" t="b">
        <v>1</v>
      </c>
      <c r="Q38" s="3" t="s">
        <v>205</v>
      </c>
      <c r="R38" s="88">
        <v>2.629</v>
      </c>
      <c r="S38" s="37"/>
      <c r="T38" s="37"/>
      <c r="Y38" s="6"/>
    </row>
    <row r="39" spans="1:26" ht="15.75" x14ac:dyDescent="0.25">
      <c r="A39" s="35"/>
      <c r="B39" s="83"/>
      <c r="C39" s="24"/>
      <c r="D39" s="24"/>
      <c r="E39" s="79">
        <v>1.9391749667579485E-2</v>
      </c>
      <c r="F39" s="80">
        <v>0.96118201247834056</v>
      </c>
      <c r="G39" s="75" t="str">
        <f t="shared" si="1"/>
        <v>obj_001a6#0008</v>
      </c>
      <c r="H39" s="18" t="str">
        <f>_xll.qlSimpleQuote(,K39,M39,N39,O39,P39)</f>
        <v>obj_0016f#0008</v>
      </c>
      <c r="I39" s="4"/>
      <c r="J39" s="4"/>
      <c r="K39" s="72">
        <f t="shared" si="2"/>
        <v>2.913E-2</v>
      </c>
      <c r="L39" s="36" t="s">
        <v>6</v>
      </c>
      <c r="M39" s="3">
        <f t="shared" si="4"/>
        <v>0.01</v>
      </c>
      <c r="N39" s="11" t="b">
        <v>0</v>
      </c>
      <c r="O39" s="34">
        <f t="shared" si="3"/>
        <v>1</v>
      </c>
      <c r="P39" s="7" t="b">
        <v>1</v>
      </c>
      <c r="Q39" s="3" t="s">
        <v>206</v>
      </c>
      <c r="R39" s="88">
        <v>2.9129999999999998</v>
      </c>
      <c r="S39" s="4"/>
      <c r="T39" s="4"/>
      <c r="Y39" s="6"/>
    </row>
    <row r="40" spans="1:26" x14ac:dyDescent="0.25">
      <c r="C40" s="24"/>
      <c r="D40" s="24"/>
      <c r="E40" s="79">
        <v>2.2500867440672919E-2</v>
      </c>
      <c r="F40" s="80">
        <v>0.93367427299622863</v>
      </c>
      <c r="G40" s="75" t="str">
        <f t="shared" si="1"/>
        <v>obj_00190#0008</v>
      </c>
      <c r="H40" s="18" t="str">
        <f>_xll.qlSimpleQuote(,K40,M40,N40,O40,P40)</f>
        <v>obj_0016e#0008</v>
      </c>
      <c r="I40" s="4"/>
      <c r="J40" s="4"/>
      <c r="K40" s="72">
        <f t="shared" si="2"/>
        <v>3.209E-2</v>
      </c>
      <c r="L40" s="36" t="s">
        <v>7</v>
      </c>
      <c r="M40" s="3">
        <f t="shared" si="4"/>
        <v>0.01</v>
      </c>
      <c r="N40" s="11" t="b">
        <v>0</v>
      </c>
      <c r="O40" s="34">
        <f t="shared" si="3"/>
        <v>1</v>
      </c>
      <c r="P40" s="7" t="b">
        <v>1</v>
      </c>
      <c r="Q40" s="3" t="s">
        <v>207</v>
      </c>
      <c r="R40" s="88">
        <v>3.2090000000000001</v>
      </c>
      <c r="S40" s="4"/>
      <c r="T40" s="4"/>
      <c r="Y40" s="6"/>
    </row>
    <row r="41" spans="1:26" x14ac:dyDescent="0.25">
      <c r="C41" s="24"/>
      <c r="D41" s="24"/>
      <c r="E41" s="79">
        <v>2.594929069788951E-2</v>
      </c>
      <c r="F41" s="80">
        <v>0.87654719463024489</v>
      </c>
      <c r="G41" s="75" t="str">
        <f t="shared" si="1"/>
        <v>obj_001ae#0008</v>
      </c>
      <c r="H41" s="18" t="str">
        <f>_xll.qlSimpleQuote(,K41,M41,N41,O41,P41)</f>
        <v>obj_0016b#0008</v>
      </c>
      <c r="I41" s="4"/>
      <c r="J41" s="4"/>
      <c r="K41" s="72">
        <f t="shared" si="2"/>
        <v>3.5810000000000002E-2</v>
      </c>
      <c r="L41" s="36" t="s">
        <v>210</v>
      </c>
      <c r="M41" s="3">
        <f t="shared" si="4"/>
        <v>0.01</v>
      </c>
      <c r="N41" s="11" t="b">
        <v>0</v>
      </c>
      <c r="O41" s="34">
        <f t="shared" si="3"/>
        <v>1</v>
      </c>
      <c r="P41" s="7" t="b">
        <v>1</v>
      </c>
      <c r="Q41" s="3" t="s">
        <v>208</v>
      </c>
      <c r="R41" s="88">
        <v>3.581</v>
      </c>
      <c r="S41" s="4"/>
      <c r="T41" s="4"/>
      <c r="Y41" s="6"/>
    </row>
    <row r="42" spans="1:26" ht="15.75" thickBot="1" x14ac:dyDescent="0.3">
      <c r="C42" s="24"/>
      <c r="D42" s="24"/>
      <c r="E42" s="79">
        <v>2.893253227934578E-2</v>
      </c>
      <c r="F42" s="80">
        <v>0.8139118688601733</v>
      </c>
      <c r="G42" s="76" t="str">
        <f t="shared" si="1"/>
        <v>obj_001a0#0008</v>
      </c>
      <c r="H42" s="18" t="str">
        <f>_xll.qlSimpleQuote(,K42,M42,N42,O42,P42)</f>
        <v>obj_00169#0008</v>
      </c>
      <c r="I42" s="37"/>
      <c r="J42" s="37"/>
      <c r="K42" s="72">
        <f t="shared" si="2"/>
        <v>3.9E-2</v>
      </c>
      <c r="L42" s="36" t="s">
        <v>211</v>
      </c>
      <c r="M42" s="3">
        <f t="shared" si="4"/>
        <v>0.01</v>
      </c>
      <c r="N42" s="11" t="b">
        <v>0</v>
      </c>
      <c r="O42" s="34">
        <f t="shared" si="3"/>
        <v>1</v>
      </c>
      <c r="P42" s="7" t="b">
        <v>1</v>
      </c>
      <c r="Q42" s="3" t="s">
        <v>209</v>
      </c>
      <c r="R42" s="88">
        <v>3.9</v>
      </c>
      <c r="S42" s="37"/>
      <c r="T42" s="37"/>
      <c r="Y42" s="6"/>
    </row>
    <row r="43" spans="1:26" x14ac:dyDescent="0.25">
      <c r="C43" s="24"/>
      <c r="D43" s="24"/>
      <c r="E43" s="79">
        <v>3.2060329600343121E-2</v>
      </c>
      <c r="F43" s="80">
        <v>0.72222948419678112</v>
      </c>
      <c r="G43" s="71"/>
      <c r="H43" s="18"/>
      <c r="I43" s="37"/>
      <c r="J43" s="37"/>
      <c r="K43" s="27"/>
      <c r="L43" s="36"/>
      <c r="N43" s="11"/>
      <c r="O43" s="34"/>
      <c r="P43" s="7"/>
      <c r="Q43" s="37"/>
      <c r="R43" s="37"/>
      <c r="S43" s="37"/>
      <c r="T43" s="37"/>
      <c r="Y43" s="6"/>
    </row>
    <row r="44" spans="1:26" x14ac:dyDescent="0.25">
      <c r="C44" s="24"/>
      <c r="D44" s="24"/>
      <c r="E44" s="79">
        <v>3.6321885126777691E-2</v>
      </c>
      <c r="F44" s="80">
        <v>0.57522115136724872</v>
      </c>
      <c r="G44" s="71"/>
      <c r="H44" s="18"/>
      <c r="I44" s="37"/>
      <c r="J44" s="37"/>
      <c r="K44" s="27"/>
      <c r="L44" s="36"/>
      <c r="N44" s="11"/>
      <c r="O44" s="34"/>
      <c r="P44" s="7"/>
      <c r="Q44" s="37"/>
      <c r="R44" s="37"/>
      <c r="S44" s="37"/>
      <c r="T44" s="37"/>
      <c r="Y44" s="6"/>
    </row>
    <row r="45" spans="1:26" ht="15.75" thickBot="1" x14ac:dyDescent="0.3">
      <c r="C45" s="24"/>
      <c r="D45" s="24"/>
      <c r="E45" s="81">
        <v>4.0457044378511539E-2</v>
      </c>
      <c r="F45" s="82">
        <v>0.43991857755512753</v>
      </c>
      <c r="G45" s="71"/>
      <c r="H45" s="18"/>
      <c r="I45" s="37"/>
      <c r="J45" s="37"/>
      <c r="K45" s="27"/>
      <c r="L45" s="36"/>
      <c r="N45" s="11"/>
      <c r="O45" s="34"/>
      <c r="P45" s="7"/>
      <c r="Q45" s="37"/>
      <c r="R45" s="37"/>
      <c r="S45" s="37"/>
      <c r="T45" s="37"/>
      <c r="Y45" s="6"/>
    </row>
    <row r="46" spans="1:26" x14ac:dyDescent="0.25">
      <c r="C46" s="24"/>
      <c r="D46" s="24"/>
      <c r="E46" s="61"/>
      <c r="F46" s="62"/>
      <c r="G46" s="71"/>
      <c r="H46" s="18"/>
      <c r="I46" s="37"/>
      <c r="J46" s="37"/>
      <c r="K46" s="27"/>
      <c r="L46" s="36"/>
      <c r="N46" s="11"/>
      <c r="O46" s="34"/>
      <c r="P46" s="7"/>
      <c r="Q46" s="37"/>
      <c r="R46" s="37"/>
      <c r="S46" s="37"/>
      <c r="T46" s="37"/>
      <c r="Y46" s="6"/>
    </row>
    <row r="47" spans="1:26" x14ac:dyDescent="0.25">
      <c r="C47" s="23"/>
      <c r="D47" s="24"/>
      <c r="E47" s="24"/>
      <c r="F47" s="24"/>
      <c r="G47" s="18"/>
      <c r="H47" s="3" t="str">
        <f>_xll.ohRangeRetrieveError(H49)</f>
        <v/>
      </c>
      <c r="J47" s="4"/>
      <c r="K47" s="13"/>
      <c r="L47" s="6"/>
      <c r="M47" s="4"/>
      <c r="N47" s="4"/>
      <c r="O47" s="4"/>
      <c r="P47" s="4"/>
    </row>
    <row r="48" spans="1:26" x14ac:dyDescent="0.25">
      <c r="A48" s="8" t="s">
        <v>50</v>
      </c>
      <c r="B48" s="42" t="s">
        <v>115</v>
      </c>
      <c r="C48" s="23"/>
      <c r="D48" s="24"/>
      <c r="E48" s="24"/>
      <c r="F48" s="24"/>
      <c r="H48" s="4" t="s">
        <v>107</v>
      </c>
      <c r="I48" s="4"/>
      <c r="J48" s="4" t="s">
        <v>10</v>
      </c>
      <c r="K48" s="4" t="s">
        <v>23</v>
      </c>
      <c r="L48" s="4" t="s">
        <v>53</v>
      </c>
      <c r="M48" s="4" t="s">
        <v>12</v>
      </c>
      <c r="N48" s="4" t="s">
        <v>17</v>
      </c>
      <c r="O48" s="4" t="s">
        <v>54</v>
      </c>
      <c r="P48" s="4" t="s">
        <v>55</v>
      </c>
      <c r="Q48" s="4" t="s">
        <v>56</v>
      </c>
      <c r="R48" s="4" t="s">
        <v>57</v>
      </c>
      <c r="S48" s="4" t="s">
        <v>58</v>
      </c>
      <c r="T48" s="4" t="s">
        <v>59</v>
      </c>
      <c r="U48" s="21" t="s">
        <v>60</v>
      </c>
      <c r="V48" s="4" t="s">
        <v>61</v>
      </c>
      <c r="W48" s="4" t="s">
        <v>62</v>
      </c>
      <c r="X48" s="4" t="s">
        <v>13</v>
      </c>
      <c r="Y48" s="4" t="s">
        <v>14</v>
      </c>
      <c r="Z48" s="4" t="s">
        <v>15</v>
      </c>
    </row>
    <row r="49" spans="1:26" x14ac:dyDescent="0.25">
      <c r="A49" s="15"/>
      <c r="B49" s="3" t="s">
        <v>116</v>
      </c>
      <c r="C49" s="2" t="s">
        <v>104</v>
      </c>
      <c r="D49" s="3" t="s">
        <v>117</v>
      </c>
      <c r="E49" s="23" t="s">
        <v>45</v>
      </c>
      <c r="F49" s="23" t="s">
        <v>46</v>
      </c>
      <c r="G49" s="3" t="s">
        <v>47</v>
      </c>
      <c r="H49" s="14" t="str">
        <f>_xll.qlSwapRateHelper2(J49,K49,L49,M49,N49,O49,P49,Q49,R49,S49,T49,U49,V49,W49,X49,Y49,Z49)</f>
        <v>obj_00191#0008</v>
      </c>
      <c r="K49" s="6" t="str">
        <f>H3</f>
        <v>obj_0018c#0008</v>
      </c>
      <c r="L49" s="6">
        <v>2</v>
      </c>
      <c r="M49" s="36" t="str">
        <f>L3</f>
        <v>3M</v>
      </c>
      <c r="N49" s="2" t="str">
        <f>$B$27</f>
        <v>UnitedStates::Settlement</v>
      </c>
      <c r="O49" s="3" t="s">
        <v>216</v>
      </c>
      <c r="P49" s="3" t="s">
        <v>72</v>
      </c>
      <c r="Q49" s="3" t="s">
        <v>213</v>
      </c>
      <c r="R49" s="3" t="str">
        <f>'ql-US-ZC'!$B$6</f>
        <v>US#0008</v>
      </c>
      <c r="S49" s="3">
        <v>0</v>
      </c>
      <c r="T49" s="3" t="s">
        <v>63</v>
      </c>
      <c r="X49" s="11" t="b">
        <v>0</v>
      </c>
      <c r="Y49" s="12"/>
      <c r="Z49" s="7" t="b">
        <v>1</v>
      </c>
    </row>
    <row r="50" spans="1:26" ht="15.75" x14ac:dyDescent="0.25">
      <c r="A50" s="16"/>
      <c r="B50" s="33" t="str">
        <f>_xll.qlBondEngine(C50,D50,E50,F50,G50)</f>
        <v>USBBBEng#0008</v>
      </c>
      <c r="C50" s="17" t="str">
        <f>A21&amp;"Eng"</f>
        <v>USBBBEng</v>
      </c>
      <c r="D50" s="14" t="str">
        <f>E61</f>
        <v>USBBBDF#0008</v>
      </c>
      <c r="E50" s="32" t="b">
        <v>0</v>
      </c>
      <c r="F50" s="32">
        <f>$B$5</f>
        <v>1</v>
      </c>
      <c r="G50" s="32" t="b">
        <v>1</v>
      </c>
      <c r="H50" s="14" t="str">
        <f>_xll.qlSwapRateHelper2(J50,K50,L50,M50,N50,O50,P50,Q50,R50,S50,T50,U50,V50,W50,X50,Y50,Z50)</f>
        <v>obj_001b0#0008</v>
      </c>
      <c r="K50" s="6" t="str">
        <f t="shared" ref="K50:K88" si="5">H4</f>
        <v>obj_00187#0008</v>
      </c>
      <c r="L50" s="6">
        <v>2</v>
      </c>
      <c r="M50" s="36" t="str">
        <f t="shared" ref="M50:M88" si="6">L4</f>
        <v>6M</v>
      </c>
      <c r="N50" s="2" t="str">
        <f t="shared" ref="N50:N88" si="7">$B$27</f>
        <v>UnitedStates::Settlement</v>
      </c>
      <c r="O50" s="3" t="s">
        <v>216</v>
      </c>
      <c r="P50" s="3" t="s">
        <v>72</v>
      </c>
      <c r="Q50" s="3" t="s">
        <v>213</v>
      </c>
      <c r="R50" s="3" t="str">
        <f>'ql-US-ZC'!$B$6</f>
        <v>US#0008</v>
      </c>
      <c r="S50" s="3">
        <v>0</v>
      </c>
      <c r="T50" s="3" t="s">
        <v>63</v>
      </c>
      <c r="X50" s="11" t="b">
        <v>0</v>
      </c>
      <c r="Y50" s="12"/>
      <c r="Z50" s="7" t="b">
        <v>1</v>
      </c>
    </row>
    <row r="51" spans="1:26" ht="15.75" x14ac:dyDescent="0.25">
      <c r="A51" s="46" t="str">
        <f>B29</f>
        <v>A/360</v>
      </c>
      <c r="B51" s="33" t="str">
        <f>_xll.qlBondEngine(C51,D51,E51,F51,G51)</f>
        <v>USAEng#0008</v>
      </c>
      <c r="C51" s="17" t="str">
        <f>A22&amp;"Eng"</f>
        <v>USAEng</v>
      </c>
      <c r="D51" s="14" t="str">
        <f>D61</f>
        <v>USADF#0008</v>
      </c>
      <c r="E51" s="32" t="b">
        <v>0</v>
      </c>
      <c r="F51" s="32">
        <f t="shared" ref="F51:F54" si="8">$B$5</f>
        <v>1</v>
      </c>
      <c r="G51" s="32" t="b">
        <v>1</v>
      </c>
      <c r="H51" s="14" t="str">
        <f>_xll.qlSwapRateHelper2(J51,K51,L51,M51,N51,O51,P51,Q51,R51,S51,T51,U51,V51,W51,X51,Y51,Z51)</f>
        <v>obj_001a9#0008</v>
      </c>
      <c r="K51" s="6" t="str">
        <f t="shared" si="5"/>
        <v>obj_0018a#0008</v>
      </c>
      <c r="L51" s="6">
        <v>2</v>
      </c>
      <c r="M51" s="36" t="str">
        <f t="shared" si="6"/>
        <v>1Y</v>
      </c>
      <c r="N51" s="2" t="str">
        <f t="shared" si="7"/>
        <v>UnitedStates::Settlement</v>
      </c>
      <c r="O51" s="3" t="s">
        <v>216</v>
      </c>
      <c r="P51" s="3" t="s">
        <v>72</v>
      </c>
      <c r="Q51" s="3" t="s">
        <v>212</v>
      </c>
      <c r="R51" s="3" t="str">
        <f>'ql-US-ZC'!$B$6</f>
        <v>US#0008</v>
      </c>
      <c r="S51" s="3">
        <v>0</v>
      </c>
      <c r="T51" s="3" t="s">
        <v>63</v>
      </c>
      <c r="X51" s="11" t="b">
        <v>0</v>
      </c>
      <c r="Y51" s="12"/>
      <c r="Z51" s="7" t="b">
        <v>1</v>
      </c>
    </row>
    <row r="52" spans="1:26" ht="15.75" x14ac:dyDescent="0.25">
      <c r="A52" s="46" t="s">
        <v>254</v>
      </c>
      <c r="B52" s="33" t="str">
        <f>_xll.qlBondEngine(C52,D52,E52,F52,G52)</f>
        <v>USAAEng#0008</v>
      </c>
      <c r="C52" s="17" t="str">
        <f>A23&amp;"Eng"</f>
        <v>USAAEng</v>
      </c>
      <c r="D52" s="14" t="str">
        <f>C61</f>
        <v>USAADF#0008</v>
      </c>
      <c r="E52" s="32" t="b">
        <v>0</v>
      </c>
      <c r="F52" s="32">
        <f t="shared" si="8"/>
        <v>1</v>
      </c>
      <c r="G52" s="32" t="b">
        <v>1</v>
      </c>
      <c r="H52" s="14" t="str">
        <f>_xll.qlSwapRateHelper2(J52,K52,L52,M52,N52,O52,P52,Q52,R52,S52,T52,U52,V52,W52,X52,Y52,Z52)</f>
        <v>obj_0019d#0008</v>
      </c>
      <c r="K52" s="6" t="str">
        <f t="shared" si="5"/>
        <v>obj_00189#0008</v>
      </c>
      <c r="L52" s="6">
        <v>2</v>
      </c>
      <c r="M52" s="36" t="str">
        <f t="shared" si="6"/>
        <v>2Y</v>
      </c>
      <c r="N52" s="2" t="str">
        <f t="shared" si="7"/>
        <v>UnitedStates::Settlement</v>
      </c>
      <c r="O52" s="3" t="s">
        <v>216</v>
      </c>
      <c r="P52" s="3" t="s">
        <v>72</v>
      </c>
      <c r="Q52" s="3" t="s">
        <v>212</v>
      </c>
      <c r="R52" s="3" t="str">
        <f>'ql-US-ZC'!$B$6</f>
        <v>US#0008</v>
      </c>
      <c r="S52" s="3">
        <v>0</v>
      </c>
      <c r="T52" s="3" t="s">
        <v>63</v>
      </c>
      <c r="X52" s="11" t="b">
        <v>0</v>
      </c>
      <c r="Y52" s="12"/>
      <c r="Z52" s="7" t="b">
        <v>1</v>
      </c>
    </row>
    <row r="53" spans="1:26" ht="15.75" x14ac:dyDescent="0.25">
      <c r="A53" s="46" t="s">
        <v>105</v>
      </c>
      <c r="B53" s="33" t="str">
        <f>_xll.qlBondEngine(C53,D53,E53,F53,G53)</f>
        <v>USAAAEng#0008</v>
      </c>
      <c r="C53" s="17" t="str">
        <f>A24&amp;"Eng"</f>
        <v>USAAAEng</v>
      </c>
      <c r="D53" s="14" t="str">
        <f>B61</f>
        <v>USAAADF#0008</v>
      </c>
      <c r="E53" s="32" t="b">
        <v>0</v>
      </c>
      <c r="F53" s="32">
        <f t="shared" si="8"/>
        <v>1</v>
      </c>
      <c r="G53" s="32" t="b">
        <v>1</v>
      </c>
      <c r="H53" s="14" t="str">
        <f>_xll.qlSwapRateHelper2(J53,K53,L53,M53,N53,O53,P53,Q53,R53,S53,T53,U53,V53,W53,X53,Y53,Z53)</f>
        <v>obj_00196#0008</v>
      </c>
      <c r="K53" s="6" t="str">
        <f t="shared" si="5"/>
        <v>obj_00185#0008</v>
      </c>
      <c r="L53" s="6">
        <v>2</v>
      </c>
      <c r="M53" s="36" t="str">
        <f t="shared" si="6"/>
        <v>3Y</v>
      </c>
      <c r="N53" s="2" t="str">
        <f t="shared" si="7"/>
        <v>UnitedStates::Settlement</v>
      </c>
      <c r="O53" s="3" t="s">
        <v>216</v>
      </c>
      <c r="P53" s="3" t="s">
        <v>72</v>
      </c>
      <c r="Q53" s="3" t="s">
        <v>212</v>
      </c>
      <c r="R53" s="3" t="str">
        <f>'ql-US-ZC'!$B$6</f>
        <v>US#0008</v>
      </c>
      <c r="S53" s="3">
        <v>0</v>
      </c>
      <c r="T53" s="3" t="s">
        <v>63</v>
      </c>
      <c r="X53" s="11" t="b">
        <v>0</v>
      </c>
      <c r="Y53" s="12"/>
      <c r="Z53" s="7" t="b">
        <v>1</v>
      </c>
    </row>
    <row r="54" spans="1:26" ht="15.75" x14ac:dyDescent="0.25">
      <c r="A54" s="46" t="b">
        <v>1</v>
      </c>
      <c r="B54" s="33" t="str">
        <f>_xll.qlBondEngine(C54,D54,E54,F54,G54)</f>
        <v>USZCEng#0012</v>
      </c>
      <c r="C54" s="17" t="s">
        <v>405</v>
      </c>
      <c r="D54" s="14" t="str">
        <f>F61</f>
        <v>USZCDF#0012</v>
      </c>
      <c r="E54" s="32" t="b">
        <v>0</v>
      </c>
      <c r="F54" s="32">
        <f t="shared" si="8"/>
        <v>1</v>
      </c>
      <c r="G54" s="32" t="b">
        <v>1</v>
      </c>
      <c r="H54" s="14" t="str">
        <f>_xll.qlSwapRateHelper2(J54,K54,L54,M54,N54,O54,P54,Q54,R54,S54,T54,U54,V54,W54,X54,Y54,Z54)</f>
        <v>obj_0019e#0008</v>
      </c>
      <c r="K54" s="6" t="str">
        <f t="shared" si="5"/>
        <v>obj_0018b#0008</v>
      </c>
      <c r="L54" s="6">
        <v>2</v>
      </c>
      <c r="M54" s="36" t="str">
        <f t="shared" si="6"/>
        <v>5Y</v>
      </c>
      <c r="N54" s="2" t="str">
        <f t="shared" si="7"/>
        <v>UnitedStates::Settlement</v>
      </c>
      <c r="O54" s="3" t="s">
        <v>216</v>
      </c>
      <c r="P54" s="3" t="s">
        <v>72</v>
      </c>
      <c r="Q54" s="3" t="s">
        <v>212</v>
      </c>
      <c r="R54" s="3" t="str">
        <f>'ql-US-ZC'!$B$6</f>
        <v>US#0008</v>
      </c>
      <c r="S54" s="3">
        <v>0</v>
      </c>
      <c r="T54" s="3" t="s">
        <v>63</v>
      </c>
      <c r="X54" s="11" t="b">
        <v>0</v>
      </c>
      <c r="Y54" s="12"/>
      <c r="Z54" s="7" t="b">
        <v>1</v>
      </c>
    </row>
    <row r="55" spans="1:26" x14ac:dyDescent="0.25">
      <c r="A55" s="46">
        <f>B5</f>
        <v>1</v>
      </c>
      <c r="C55" s="2"/>
      <c r="E55" s="23"/>
      <c r="F55" s="23"/>
      <c r="G55" s="20"/>
      <c r="H55" s="14" t="str">
        <f>_xll.qlSwapRateHelper2(J55,K55,L55,M55,N55,O55,P55,Q55,R55,S55,T55,U55,V55,W55,X55,Y55,Z55)</f>
        <v>obj_001ad#0008</v>
      </c>
      <c r="K55" s="6" t="str">
        <f t="shared" si="5"/>
        <v>obj_0018d#0008</v>
      </c>
      <c r="L55" s="6">
        <v>2</v>
      </c>
      <c r="M55" s="36" t="str">
        <f t="shared" si="6"/>
        <v>7Y</v>
      </c>
      <c r="N55" s="2" t="str">
        <f t="shared" si="7"/>
        <v>UnitedStates::Settlement</v>
      </c>
      <c r="O55" s="3" t="s">
        <v>216</v>
      </c>
      <c r="P55" s="3" t="s">
        <v>72</v>
      </c>
      <c r="Q55" s="3" t="s">
        <v>212</v>
      </c>
      <c r="R55" s="3" t="str">
        <f>'ql-US-ZC'!$B$6</f>
        <v>US#0008</v>
      </c>
      <c r="S55" s="3">
        <v>0</v>
      </c>
      <c r="T55" s="3" t="s">
        <v>63</v>
      </c>
      <c r="X55" s="11" t="b">
        <v>0</v>
      </c>
      <c r="Y55" s="12"/>
      <c r="Z55" s="7" t="b">
        <v>1</v>
      </c>
    </row>
    <row r="56" spans="1:26" x14ac:dyDescent="0.25">
      <c r="C56" s="2"/>
      <c r="E56" s="23"/>
      <c r="F56" s="23"/>
      <c r="G56" s="20"/>
      <c r="H56" s="14" t="str">
        <f>_xll.qlSwapRateHelper2(J56,K56,L56,M56,N56,O56,P56,Q56,R56,S56,T56,U56,V56,W56,X56,Y56,Z56)</f>
        <v>obj_0019f#0008</v>
      </c>
      <c r="K56" s="6" t="str">
        <f t="shared" si="5"/>
        <v>obj_00188#0008</v>
      </c>
      <c r="L56" s="6">
        <v>2</v>
      </c>
      <c r="M56" s="36" t="str">
        <f t="shared" si="6"/>
        <v>10Y</v>
      </c>
      <c r="N56" s="2" t="str">
        <f t="shared" si="7"/>
        <v>UnitedStates::Settlement</v>
      </c>
      <c r="O56" s="3" t="s">
        <v>216</v>
      </c>
      <c r="P56" s="3" t="s">
        <v>72</v>
      </c>
      <c r="Q56" s="3" t="s">
        <v>212</v>
      </c>
      <c r="R56" s="3" t="str">
        <f>'ql-US-ZC'!$B$6</f>
        <v>US#0008</v>
      </c>
      <c r="S56" s="3">
        <v>0</v>
      </c>
      <c r="T56" s="3" t="s">
        <v>63</v>
      </c>
      <c r="X56" s="11" t="b">
        <v>0</v>
      </c>
      <c r="Y56" s="12"/>
      <c r="Z56" s="7" t="b">
        <v>1</v>
      </c>
    </row>
    <row r="57" spans="1:26" x14ac:dyDescent="0.25">
      <c r="C57" s="2"/>
      <c r="E57" s="23"/>
      <c r="F57" s="23"/>
      <c r="G57" s="20"/>
      <c r="H57" s="14" t="str">
        <f>_xll.qlSwapRateHelper2(J57,K57,L57,M57,N57,O57,P57,Q57,R57,S57,T57,U57,V57,W57,X57,Y57,Z57)</f>
        <v>obj_001b3#0008</v>
      </c>
      <c r="K57" s="6" t="str">
        <f t="shared" si="5"/>
        <v>obj_00186#0008</v>
      </c>
      <c r="L57" s="6">
        <v>2</v>
      </c>
      <c r="M57" s="36" t="str">
        <f t="shared" si="6"/>
        <v>15Y</v>
      </c>
      <c r="N57" s="2" t="str">
        <f t="shared" si="7"/>
        <v>UnitedStates::Settlement</v>
      </c>
      <c r="O57" s="3" t="s">
        <v>216</v>
      </c>
      <c r="P57" s="3" t="s">
        <v>72</v>
      </c>
      <c r="Q57" s="3" t="s">
        <v>212</v>
      </c>
      <c r="R57" s="3" t="str">
        <f>'ql-US-ZC'!$B$6</f>
        <v>US#0008</v>
      </c>
      <c r="S57" s="3">
        <v>0</v>
      </c>
      <c r="T57" s="3" t="s">
        <v>63</v>
      </c>
      <c r="X57" s="11" t="b">
        <v>0</v>
      </c>
      <c r="Y57" s="12"/>
      <c r="Z57" s="7" t="b">
        <v>1</v>
      </c>
    </row>
    <row r="58" spans="1:26" x14ac:dyDescent="0.25">
      <c r="C58" s="2"/>
      <c r="E58" s="23"/>
      <c r="F58" s="23"/>
      <c r="G58" s="20"/>
      <c r="H58" s="14" t="str">
        <f>_xll.qlSwapRateHelper2(J58,K58,L58,M58,N58,O58,P58,Q58,R58,S58,T58,U58,V58,W58,X58,Y58,Z58)</f>
        <v>obj_0019c#0008</v>
      </c>
      <c r="K58" s="6" t="str">
        <f t="shared" si="5"/>
        <v>obj_0017b#0008</v>
      </c>
      <c r="L58" s="6">
        <v>2</v>
      </c>
      <c r="M58" s="36" t="str">
        <f t="shared" si="6"/>
        <v>20Y</v>
      </c>
      <c r="N58" s="2" t="str">
        <f t="shared" si="7"/>
        <v>UnitedStates::Settlement</v>
      </c>
      <c r="O58" s="3" t="s">
        <v>216</v>
      </c>
      <c r="P58" s="3" t="s">
        <v>72</v>
      </c>
      <c r="Q58" s="3" t="s">
        <v>212</v>
      </c>
      <c r="R58" s="3" t="str">
        <f>'ql-US-ZC'!$B$6</f>
        <v>US#0008</v>
      </c>
      <c r="S58" s="3">
        <v>0</v>
      </c>
      <c r="T58" s="3" t="s">
        <v>63</v>
      </c>
      <c r="X58" s="11" t="b">
        <v>0</v>
      </c>
      <c r="Y58" s="12"/>
      <c r="Z58" s="7" t="b">
        <v>1</v>
      </c>
    </row>
    <row r="59" spans="1:26" x14ac:dyDescent="0.25">
      <c r="C59" s="2"/>
      <c r="E59" s="23"/>
      <c r="F59" s="23"/>
      <c r="G59" s="20"/>
      <c r="H59" s="14" t="str">
        <f>_xll.qlSwapRateHelper2(J59,K59,L59,M59,N59,O59,P59,Q59,R59,S59,T59,U59,V59,W59,X59,Y59,Z59)</f>
        <v>obj_00197#0008</v>
      </c>
      <c r="K59" s="6" t="str">
        <f t="shared" si="5"/>
        <v>obj_00178#0008</v>
      </c>
      <c r="L59" s="6">
        <v>2</v>
      </c>
      <c r="M59" s="36" t="str">
        <f t="shared" si="6"/>
        <v>3M</v>
      </c>
      <c r="N59" s="2" t="str">
        <f t="shared" si="7"/>
        <v>UnitedStates::Settlement</v>
      </c>
      <c r="O59" s="3" t="s">
        <v>216</v>
      </c>
      <c r="P59" s="3" t="s">
        <v>72</v>
      </c>
      <c r="Q59" s="3" t="s">
        <v>212</v>
      </c>
      <c r="R59" s="3" t="str">
        <f>'ql-US-ZC'!$B$6</f>
        <v>US#0008</v>
      </c>
      <c r="S59" s="3">
        <v>0</v>
      </c>
      <c r="T59" s="3" t="s">
        <v>63</v>
      </c>
      <c r="X59" s="11" t="b">
        <v>0</v>
      </c>
      <c r="Y59" s="12"/>
      <c r="Z59" s="7" t="b">
        <v>1</v>
      </c>
    </row>
    <row r="60" spans="1:26" x14ac:dyDescent="0.25">
      <c r="C60" s="2"/>
      <c r="E60" s="23"/>
      <c r="F60" s="23"/>
      <c r="G60" s="20"/>
      <c r="H60" s="14" t="str">
        <f>_xll.qlSwapRateHelper2(J60,K60,L60,M60,N60,O60,P60,Q60,R60,S60,T60,U60,V60,W60,X60,Y60,Z60)</f>
        <v>obj_001aa#0008</v>
      </c>
      <c r="K60" s="6" t="str">
        <f t="shared" si="5"/>
        <v>obj_00176#0008</v>
      </c>
      <c r="L60" s="6">
        <v>2</v>
      </c>
      <c r="M60" s="36" t="str">
        <f t="shared" si="6"/>
        <v>6M</v>
      </c>
      <c r="N60" s="2" t="str">
        <f t="shared" si="7"/>
        <v>UnitedStates::Settlement</v>
      </c>
      <c r="O60" s="3" t="s">
        <v>216</v>
      </c>
      <c r="P60" s="3" t="s">
        <v>72</v>
      </c>
      <c r="Q60" s="3" t="s">
        <v>212</v>
      </c>
      <c r="R60" s="3" t="str">
        <f>'ql-US-ZC'!$B$6</f>
        <v>US#0008</v>
      </c>
      <c r="S60" s="3">
        <v>0</v>
      </c>
      <c r="T60" s="3" t="s">
        <v>63</v>
      </c>
      <c r="X60" s="11" t="b">
        <v>0</v>
      </c>
      <c r="Y60" s="12"/>
      <c r="Z60" s="7" t="b">
        <v>1</v>
      </c>
    </row>
    <row r="61" spans="1:26" ht="15.75" x14ac:dyDescent="0.25">
      <c r="A61" s="3" t="s">
        <v>118</v>
      </c>
      <c r="B61" s="31" t="str">
        <f>_xll.qlDiscountCurve(B62,$D$2:$D$12,F2:F12,$B$65,$B$66,$B$67,$B$68)</f>
        <v>USAAADF#0008</v>
      </c>
      <c r="C61" s="31" t="str">
        <f>_xll.qlDiscountCurve(C62,$D$2:$D$12,F13:F23,$B$65,$B$66,$B$67,$B$68)</f>
        <v>USAADF#0008</v>
      </c>
      <c r="D61" s="31" t="str">
        <f>_xll.qlDiscountCurve(D62,$D$2:$D$12,F24:F34,$B$65,$B$66,$B$67,$B$68)</f>
        <v>USADF#0008</v>
      </c>
      <c r="E61" s="31" t="str">
        <f>_xll.qlDiscountCurve(E62,$D$2:$D$12,F35:F45,$B$65,$B$66,$B$67,$B$68)</f>
        <v>USBBBDF#0008</v>
      </c>
      <c r="F61" s="31" t="str">
        <f>_xll.qlDiscountCurve(F62,'ql-US-ZC'!E2:E28,'ql-US-ZC'!G2:G28,$B$65,$B$66,$B$67,$B$68)</f>
        <v>USZCDF#0012</v>
      </c>
      <c r="H61" s="14" t="str">
        <f>_xll.qlSwapRateHelper2(J61,K61,L61,M61,N61,O61,P61,Q61,R61,S61,T61,U61,V61,W61,X61,Y61,Z61)</f>
        <v>obj_001a2#0008</v>
      </c>
      <c r="K61" s="6" t="str">
        <f t="shared" si="5"/>
        <v>obj_0017d#0008</v>
      </c>
      <c r="L61" s="6">
        <v>2</v>
      </c>
      <c r="M61" s="36" t="str">
        <f t="shared" si="6"/>
        <v>1Y</v>
      </c>
      <c r="N61" s="2" t="str">
        <f t="shared" si="7"/>
        <v>UnitedStates::Settlement</v>
      </c>
      <c r="O61" s="3" t="s">
        <v>216</v>
      </c>
      <c r="P61" s="3" t="s">
        <v>72</v>
      </c>
      <c r="Q61" s="3" t="s">
        <v>212</v>
      </c>
      <c r="R61" s="3" t="str">
        <f>'ql-US-ZC'!$B$6</f>
        <v>US#0008</v>
      </c>
      <c r="S61" s="3">
        <v>0</v>
      </c>
      <c r="T61" s="3" t="s">
        <v>63</v>
      </c>
      <c r="X61" s="11" t="b">
        <v>0</v>
      </c>
      <c r="Y61" s="12"/>
      <c r="Z61" s="7" t="b">
        <v>1</v>
      </c>
    </row>
    <row r="62" spans="1:26" x14ac:dyDescent="0.25">
      <c r="A62" s="3" t="s">
        <v>35</v>
      </c>
      <c r="B62" s="23" t="s">
        <v>221</v>
      </c>
      <c r="C62" s="3" t="s">
        <v>222</v>
      </c>
      <c r="D62" s="2" t="s">
        <v>223</v>
      </c>
      <c r="E62" s="3" t="s">
        <v>224</v>
      </c>
      <c r="F62" s="23" t="s">
        <v>406</v>
      </c>
      <c r="H62" s="14" t="str">
        <f>_xll.qlSwapRateHelper2(J62,K62,L62,M62,N62,O62,P62,Q62,R62,S62,T62,U62,V62,W62,X62,Y62,Z62)</f>
        <v>obj_00198#0008</v>
      </c>
      <c r="K62" s="6" t="str">
        <f t="shared" si="5"/>
        <v>obj_0017f#0008</v>
      </c>
      <c r="L62" s="6">
        <v>2</v>
      </c>
      <c r="M62" s="36" t="str">
        <f t="shared" si="6"/>
        <v>2Y</v>
      </c>
      <c r="N62" s="2" t="str">
        <f t="shared" si="7"/>
        <v>UnitedStates::Settlement</v>
      </c>
      <c r="O62" s="3" t="s">
        <v>216</v>
      </c>
      <c r="P62" s="3" t="s">
        <v>72</v>
      </c>
      <c r="Q62" s="3" t="s">
        <v>212</v>
      </c>
      <c r="R62" s="3" t="str">
        <f>'ql-US-ZC'!$B$6</f>
        <v>US#0008</v>
      </c>
      <c r="S62" s="3">
        <v>0</v>
      </c>
      <c r="T62" s="3" t="s">
        <v>63</v>
      </c>
      <c r="X62" s="11" t="b">
        <v>0</v>
      </c>
      <c r="Y62" s="12"/>
      <c r="Z62" s="7" t="b">
        <v>1</v>
      </c>
    </row>
    <row r="63" spans="1:26" x14ac:dyDescent="0.25">
      <c r="A63" s="3" t="s">
        <v>119</v>
      </c>
      <c r="H63" s="14" t="str">
        <f>_xll.qlSwapRateHelper2(J63,K63,L63,M63,N63,O63,P63,Q63,R63,S63,T63,U63,V63,W63,X63,Y63,Z63)</f>
        <v>obj_00199#0008</v>
      </c>
      <c r="K63" s="6" t="str">
        <f t="shared" si="5"/>
        <v>obj_00181#0008</v>
      </c>
      <c r="L63" s="6">
        <v>2</v>
      </c>
      <c r="M63" s="36" t="str">
        <f t="shared" si="6"/>
        <v>3Y</v>
      </c>
      <c r="N63" s="2" t="str">
        <f t="shared" si="7"/>
        <v>UnitedStates::Settlement</v>
      </c>
      <c r="O63" s="3" t="s">
        <v>216</v>
      </c>
      <c r="P63" s="3" t="s">
        <v>72</v>
      </c>
      <c r="Q63" s="3" t="s">
        <v>212</v>
      </c>
      <c r="R63" s="3" t="str">
        <f>'ql-US-ZC'!$B$6</f>
        <v>US#0008</v>
      </c>
      <c r="S63" s="3">
        <v>0</v>
      </c>
      <c r="T63" s="3" t="s">
        <v>63</v>
      </c>
      <c r="X63" s="11" t="b">
        <v>0</v>
      </c>
      <c r="Y63" s="12"/>
      <c r="Z63" s="7" t="b">
        <v>1</v>
      </c>
    </row>
    <row r="64" spans="1:26" x14ac:dyDescent="0.25">
      <c r="A64" s="3" t="s">
        <v>120</v>
      </c>
      <c r="H64" s="14" t="str">
        <f>_xll.qlSwapRateHelper2(J64,K64,L64,M64,N64,O64,P64,Q64,R64,S64,T64,U64,V64,W64,X64,Y64,Z64)</f>
        <v>obj_001ab#0008</v>
      </c>
      <c r="K64" s="6" t="str">
        <f t="shared" si="5"/>
        <v>obj_00183#0008</v>
      </c>
      <c r="L64" s="6">
        <v>2</v>
      </c>
      <c r="M64" s="36" t="str">
        <f t="shared" si="6"/>
        <v>5Y</v>
      </c>
      <c r="N64" s="2" t="str">
        <f t="shared" si="7"/>
        <v>UnitedStates::Settlement</v>
      </c>
      <c r="O64" s="3" t="s">
        <v>216</v>
      </c>
      <c r="P64" s="3" t="s">
        <v>72</v>
      </c>
      <c r="Q64" s="3" t="s">
        <v>212</v>
      </c>
      <c r="R64" s="3" t="str">
        <f>'ql-US-ZC'!$B$6</f>
        <v>US#0008</v>
      </c>
      <c r="S64" s="3">
        <v>0</v>
      </c>
      <c r="T64" s="3" t="s">
        <v>63</v>
      </c>
      <c r="X64" s="11" t="b">
        <v>0</v>
      </c>
      <c r="Y64" s="12"/>
      <c r="Z64" s="7" t="b">
        <v>1</v>
      </c>
    </row>
    <row r="65" spans="1:26" x14ac:dyDescent="0.25">
      <c r="A65" s="3" t="s">
        <v>39</v>
      </c>
      <c r="B65" s="6" t="str">
        <f>A51</f>
        <v>A/360</v>
      </c>
      <c r="H65" s="14" t="str">
        <f>_xll.qlSwapRateHelper2(J65,K65,L65,M65,N65,O65,P65,Q65,R65,S65,T65,U65,V65,W65,X65,Y65,Z65)</f>
        <v>obj_00193#0008</v>
      </c>
      <c r="K65" s="6" t="str">
        <f t="shared" si="5"/>
        <v>obj_00177#0008</v>
      </c>
      <c r="L65" s="6">
        <v>2</v>
      </c>
      <c r="M65" s="36" t="str">
        <f t="shared" si="6"/>
        <v>7Y</v>
      </c>
      <c r="N65" s="2" t="str">
        <f t="shared" si="7"/>
        <v>UnitedStates::Settlement</v>
      </c>
      <c r="O65" s="3" t="s">
        <v>216</v>
      </c>
      <c r="P65" s="3" t="s">
        <v>72</v>
      </c>
      <c r="Q65" s="3" t="s">
        <v>212</v>
      </c>
      <c r="R65" s="3" t="str">
        <f>'ql-US-ZC'!$B$6</f>
        <v>US#0008</v>
      </c>
      <c r="S65" s="3">
        <v>0</v>
      </c>
      <c r="T65" s="3" t="s">
        <v>63</v>
      </c>
      <c r="X65" s="11" t="b">
        <v>0</v>
      </c>
      <c r="Y65" s="12"/>
      <c r="Z65" s="7" t="b">
        <v>1</v>
      </c>
    </row>
    <row r="66" spans="1:26" x14ac:dyDescent="0.25">
      <c r="A66" s="3" t="s">
        <v>45</v>
      </c>
      <c r="B66" s="3" t="b">
        <v>0</v>
      </c>
      <c r="H66" s="14" t="str">
        <f>_xll.qlSwapRateHelper2(J66,K66,L66,M66,N66,O66,P66,Q66,R66,S66,T66,U66,V66,W66,X66,Y66,Z66)</f>
        <v>obj_00195#0008</v>
      </c>
      <c r="K66" s="6" t="str">
        <f t="shared" si="5"/>
        <v>obj_00182#0008</v>
      </c>
      <c r="L66" s="6">
        <v>2</v>
      </c>
      <c r="M66" s="36" t="str">
        <f t="shared" si="6"/>
        <v>10Y</v>
      </c>
      <c r="N66" s="2" t="str">
        <f t="shared" si="7"/>
        <v>UnitedStates::Settlement</v>
      </c>
      <c r="O66" s="3" t="s">
        <v>216</v>
      </c>
      <c r="P66" s="3" t="s">
        <v>72</v>
      </c>
      <c r="Q66" s="3" t="s">
        <v>212</v>
      </c>
      <c r="R66" s="3" t="str">
        <f>'ql-US-ZC'!$B$6</f>
        <v>US#0008</v>
      </c>
      <c r="S66" s="3">
        <v>0</v>
      </c>
      <c r="T66" s="3" t="s">
        <v>63</v>
      </c>
      <c r="X66" s="11" t="b">
        <v>0</v>
      </c>
      <c r="Y66" s="12"/>
      <c r="Z66" s="7" t="b">
        <v>1</v>
      </c>
    </row>
    <row r="67" spans="1:26" x14ac:dyDescent="0.25">
      <c r="A67" s="3" t="s">
        <v>46</v>
      </c>
      <c r="B67" s="6">
        <f>$B$5</f>
        <v>1</v>
      </c>
      <c r="H67" s="14" t="str">
        <f>_xll.qlSwapRateHelper2(J67,K67,L67,M67,N67,O67,P67,Q67,R67,S67,T67,U67,V67,W67,X67,Y67,Z67)</f>
        <v>obj_001a5#0008</v>
      </c>
      <c r="K67" s="6" t="str">
        <f t="shared" si="5"/>
        <v>obj_0017c#0008</v>
      </c>
      <c r="L67" s="6">
        <v>2</v>
      </c>
      <c r="M67" s="36" t="str">
        <f t="shared" si="6"/>
        <v>15Y</v>
      </c>
      <c r="N67" s="2" t="str">
        <f t="shared" si="7"/>
        <v>UnitedStates::Settlement</v>
      </c>
      <c r="O67" s="3" t="s">
        <v>216</v>
      </c>
      <c r="P67" s="3" t="s">
        <v>72</v>
      </c>
      <c r="Q67" s="3" t="s">
        <v>212</v>
      </c>
      <c r="R67" s="3" t="str">
        <f>'ql-US-ZC'!$B$6</f>
        <v>US#0008</v>
      </c>
      <c r="S67" s="3">
        <v>0</v>
      </c>
      <c r="T67" s="3" t="s">
        <v>63</v>
      </c>
      <c r="X67" s="11" t="b">
        <v>0</v>
      </c>
      <c r="Y67" s="12"/>
      <c r="Z67" s="7" t="b">
        <v>1</v>
      </c>
    </row>
    <row r="68" spans="1:26" x14ac:dyDescent="0.25">
      <c r="A68" s="3" t="s">
        <v>47</v>
      </c>
      <c r="B68" s="3" t="b">
        <v>1</v>
      </c>
      <c r="H68" s="14" t="str">
        <f>_xll.qlSwapRateHelper2(J68,K68,L68,M68,N68,O68,P68,Q68,R68,S68,T68,U68,V68,W68,X68,Y68,Z68)</f>
        <v>obj_001ac#0008</v>
      </c>
      <c r="K68" s="6" t="str">
        <f t="shared" si="5"/>
        <v>obj_00179#0008</v>
      </c>
      <c r="L68" s="6">
        <v>2</v>
      </c>
      <c r="M68" s="36" t="str">
        <f t="shared" si="6"/>
        <v>20Y</v>
      </c>
      <c r="N68" s="2" t="str">
        <f t="shared" si="7"/>
        <v>UnitedStates::Settlement</v>
      </c>
      <c r="O68" s="3" t="s">
        <v>216</v>
      </c>
      <c r="P68" s="3" t="s">
        <v>72</v>
      </c>
      <c r="Q68" s="3" t="s">
        <v>212</v>
      </c>
      <c r="R68" s="3" t="str">
        <f>'ql-US-ZC'!$B$6</f>
        <v>US#0008</v>
      </c>
      <c r="S68" s="3">
        <v>0</v>
      </c>
      <c r="T68" s="3" t="s">
        <v>63</v>
      </c>
      <c r="X68" s="11" t="b">
        <v>0</v>
      </c>
      <c r="Y68" s="12"/>
      <c r="Z68" s="7" t="b">
        <v>1</v>
      </c>
    </row>
    <row r="69" spans="1:26" x14ac:dyDescent="0.25">
      <c r="H69" s="14" t="str">
        <f>_xll.qlSwapRateHelper2(J69,K69,L69,M69,N69,O69,P69,Q69,R69,S69,T69,U69,V69,W69,X69,Y69,Z69)</f>
        <v>obj_001a8#0008</v>
      </c>
      <c r="K69" s="6" t="str">
        <f t="shared" si="5"/>
        <v>obj_00175#0008</v>
      </c>
      <c r="L69" s="6">
        <v>2</v>
      </c>
      <c r="M69" s="36" t="str">
        <f t="shared" si="6"/>
        <v>3M</v>
      </c>
      <c r="N69" s="2" t="str">
        <f t="shared" si="7"/>
        <v>UnitedStates::Settlement</v>
      </c>
      <c r="O69" s="3" t="s">
        <v>216</v>
      </c>
      <c r="P69" s="3" t="s">
        <v>72</v>
      </c>
      <c r="Q69" s="3" t="s">
        <v>212</v>
      </c>
      <c r="R69" s="3" t="str">
        <f>'ql-US-ZC'!$B$6</f>
        <v>US#0008</v>
      </c>
      <c r="S69" s="3">
        <v>0</v>
      </c>
      <c r="T69" s="3" t="s">
        <v>63</v>
      </c>
      <c r="X69" s="11" t="b">
        <v>0</v>
      </c>
      <c r="Y69" s="12"/>
      <c r="Z69" s="7" t="b">
        <v>1</v>
      </c>
    </row>
    <row r="70" spans="1:26" x14ac:dyDescent="0.25">
      <c r="H70" s="14" t="str">
        <f>_xll.qlSwapRateHelper2(J70,K70,L70,M70,N70,O70,P70,Q70,R70,S70,T70,U70,V70,W70,X70,Y70,Z70)</f>
        <v>obj_00194#0008</v>
      </c>
      <c r="K70" s="6" t="str">
        <f t="shared" si="5"/>
        <v>obj_0017a#0008</v>
      </c>
      <c r="L70" s="6">
        <v>2</v>
      </c>
      <c r="M70" s="36" t="str">
        <f t="shared" si="6"/>
        <v>6M</v>
      </c>
      <c r="N70" s="2" t="str">
        <f t="shared" si="7"/>
        <v>UnitedStates::Settlement</v>
      </c>
      <c r="O70" s="3" t="s">
        <v>216</v>
      </c>
      <c r="P70" s="3" t="s">
        <v>72</v>
      </c>
      <c r="Q70" s="3" t="s">
        <v>212</v>
      </c>
      <c r="R70" s="3" t="str">
        <f>'ql-US-ZC'!$B$6</f>
        <v>US#0008</v>
      </c>
      <c r="S70" s="3">
        <v>0</v>
      </c>
      <c r="T70" s="3" t="s">
        <v>63</v>
      </c>
      <c r="X70" s="11" t="b">
        <v>0</v>
      </c>
      <c r="Y70" s="12"/>
      <c r="Z70" s="7" t="b">
        <v>1</v>
      </c>
    </row>
    <row r="71" spans="1:26" x14ac:dyDescent="0.25">
      <c r="B71" s="42" t="s">
        <v>115</v>
      </c>
      <c r="C71" s="3" t="s">
        <v>129</v>
      </c>
      <c r="H71" s="14" t="str">
        <f>_xll.qlSwapRateHelper2(J71,K71,L71,M71,N71,O71,P71,Q71,R71,S71,T71,U71,V71,W71,X71,Y71,Z71)</f>
        <v>obj_001a7#0008</v>
      </c>
      <c r="K71" s="6" t="str">
        <f t="shared" si="5"/>
        <v>obj_00174#0008</v>
      </c>
      <c r="L71" s="6">
        <v>2</v>
      </c>
      <c r="M71" s="36" t="str">
        <f t="shared" si="6"/>
        <v>1Y</v>
      </c>
      <c r="N71" s="2" t="str">
        <f t="shared" si="7"/>
        <v>UnitedStates::Settlement</v>
      </c>
      <c r="O71" s="3" t="s">
        <v>216</v>
      </c>
      <c r="P71" s="3" t="s">
        <v>72</v>
      </c>
      <c r="Q71" s="3" t="s">
        <v>212</v>
      </c>
      <c r="R71" s="3" t="str">
        <f>'ql-US-ZC'!$B$6</f>
        <v>US#0008</v>
      </c>
      <c r="S71" s="3">
        <v>0</v>
      </c>
      <c r="T71" s="3" t="s">
        <v>63</v>
      </c>
      <c r="X71" s="11" t="b">
        <v>0</v>
      </c>
      <c r="Y71" s="12"/>
      <c r="Z71" s="7" t="b">
        <v>1</v>
      </c>
    </row>
    <row r="72" spans="1:26" x14ac:dyDescent="0.25">
      <c r="A72" s="3" t="s">
        <v>124</v>
      </c>
      <c r="B72" s="23" t="str">
        <f>B53</f>
        <v>USAAAEng#0008</v>
      </c>
      <c r="C72" s="3" t="str">
        <f>B61</f>
        <v>USAAADF#0008</v>
      </c>
      <c r="D72" s="2"/>
      <c r="H72" s="14" t="str">
        <f>_xll.qlSwapRateHelper2(J72,K72,L72,M72,N72,O72,P72,Q72,R72,S72,T72,U72,V72,W72,X72,Y72,Z72)</f>
        <v>obj_0019a#0008</v>
      </c>
      <c r="K72" s="6" t="str">
        <f t="shared" si="5"/>
        <v>obj_0017e#0008</v>
      </c>
      <c r="L72" s="6">
        <v>2</v>
      </c>
      <c r="M72" s="36" t="str">
        <f t="shared" si="6"/>
        <v>2Y</v>
      </c>
      <c r="N72" s="2" t="str">
        <f t="shared" si="7"/>
        <v>UnitedStates::Settlement</v>
      </c>
      <c r="O72" s="3" t="s">
        <v>216</v>
      </c>
      <c r="P72" s="3" t="s">
        <v>72</v>
      </c>
      <c r="Q72" s="3" t="s">
        <v>212</v>
      </c>
      <c r="R72" s="3" t="str">
        <f>'ql-US-ZC'!$B$6</f>
        <v>US#0008</v>
      </c>
      <c r="S72" s="3">
        <v>0</v>
      </c>
      <c r="T72" s="3" t="s">
        <v>63</v>
      </c>
      <c r="X72" s="11" t="b">
        <v>0</v>
      </c>
      <c r="Y72" s="12"/>
      <c r="Z72" s="7" t="b">
        <v>1</v>
      </c>
    </row>
    <row r="73" spans="1:26" x14ac:dyDescent="0.25">
      <c r="A73" s="3" t="s">
        <v>122</v>
      </c>
      <c r="B73" s="2" t="str">
        <f>B52</f>
        <v>USAAEng#0008</v>
      </c>
      <c r="C73" s="3" t="str">
        <f>C61</f>
        <v>USAADF#0008</v>
      </c>
      <c r="H73" s="14" t="str">
        <f>_xll.qlSwapRateHelper2(J73,K73,L73,M73,N73,O73,P73,Q73,R73,S73,T73,U73,V73,W73,X73,Y73,Z73)</f>
        <v>obj_001b4#0008</v>
      </c>
      <c r="K73" s="6" t="str">
        <f t="shared" si="5"/>
        <v>obj_00184#0008</v>
      </c>
      <c r="L73" s="6">
        <v>2</v>
      </c>
      <c r="M73" s="36" t="str">
        <f t="shared" si="6"/>
        <v>3Y</v>
      </c>
      <c r="N73" s="2" t="str">
        <f t="shared" si="7"/>
        <v>UnitedStates::Settlement</v>
      </c>
      <c r="O73" s="3" t="s">
        <v>216</v>
      </c>
      <c r="P73" s="3" t="s">
        <v>72</v>
      </c>
      <c r="Q73" s="3" t="s">
        <v>212</v>
      </c>
      <c r="R73" s="3" t="str">
        <f>'ql-US-ZC'!$B$6</f>
        <v>US#0008</v>
      </c>
      <c r="S73" s="3">
        <v>0</v>
      </c>
      <c r="T73" s="3" t="s">
        <v>63</v>
      </c>
      <c r="X73" s="11" t="b">
        <v>0</v>
      </c>
      <c r="Y73" s="12"/>
      <c r="Z73" s="7" t="b">
        <v>1</v>
      </c>
    </row>
    <row r="74" spans="1:26" x14ac:dyDescent="0.25">
      <c r="A74" s="3" t="s">
        <v>123</v>
      </c>
      <c r="B74" s="2" t="str">
        <f>B51</f>
        <v>USAEng#0008</v>
      </c>
      <c r="C74" s="3" t="str">
        <f>D61</f>
        <v>USADF#0008</v>
      </c>
      <c r="H74" s="14" t="str">
        <f>_xll.qlSwapRateHelper2(J74,K74,L74,M74,N74,O74,P74,Q74,R74,S74,T74,U74,V74,W74,X74,Y74,Z74)</f>
        <v>obj_0018f#0008</v>
      </c>
      <c r="K74" s="6" t="str">
        <f t="shared" si="5"/>
        <v>obj_00180#0008</v>
      </c>
      <c r="L74" s="6">
        <v>2</v>
      </c>
      <c r="M74" s="36" t="str">
        <f t="shared" si="6"/>
        <v>5Y</v>
      </c>
      <c r="N74" s="2" t="str">
        <f t="shared" si="7"/>
        <v>UnitedStates::Settlement</v>
      </c>
      <c r="O74" s="3" t="s">
        <v>216</v>
      </c>
      <c r="P74" s="3" t="s">
        <v>72</v>
      </c>
      <c r="Q74" s="3" t="s">
        <v>212</v>
      </c>
      <c r="R74" s="3" t="str">
        <f>'ql-US-ZC'!$B$6</f>
        <v>US#0008</v>
      </c>
      <c r="S74" s="3">
        <v>0</v>
      </c>
      <c r="T74" s="3" t="s">
        <v>63</v>
      </c>
      <c r="X74" s="11" t="b">
        <v>0</v>
      </c>
      <c r="Y74" s="12"/>
      <c r="Z74" s="7" t="b">
        <v>1</v>
      </c>
    </row>
    <row r="75" spans="1:26" x14ac:dyDescent="0.25">
      <c r="A75" s="3" t="s">
        <v>125</v>
      </c>
      <c r="B75" s="2" t="str">
        <f>B50</f>
        <v>USBBBEng#0008</v>
      </c>
      <c r="C75" s="3" t="str">
        <f>E61</f>
        <v>USBBBDF#0008</v>
      </c>
      <c r="H75" s="14" t="str">
        <f>_xll.qlSwapRateHelper2(J75,K75,L75,M75,N75,O75,P75,Q75,R75,S75,T75,U75,V75,W75,X75,Y75,Z75)</f>
        <v>obj_001a1#0008</v>
      </c>
      <c r="K75" s="6" t="str">
        <f t="shared" si="5"/>
        <v>obj_0016c#0008</v>
      </c>
      <c r="L75" s="6">
        <v>2</v>
      </c>
      <c r="M75" s="36" t="str">
        <f t="shared" si="6"/>
        <v>7Y</v>
      </c>
      <c r="N75" s="2" t="str">
        <f t="shared" si="7"/>
        <v>UnitedStates::Settlement</v>
      </c>
      <c r="O75" s="3" t="s">
        <v>216</v>
      </c>
      <c r="P75" s="3" t="s">
        <v>72</v>
      </c>
      <c r="Q75" s="3" t="s">
        <v>212</v>
      </c>
      <c r="R75" s="3" t="str">
        <f>'ql-US-ZC'!$B$6</f>
        <v>US#0008</v>
      </c>
      <c r="S75" s="3">
        <v>0</v>
      </c>
      <c r="T75" s="3" t="s">
        <v>63</v>
      </c>
      <c r="X75" s="11" t="b">
        <v>0</v>
      </c>
      <c r="Y75" s="12"/>
      <c r="Z75" s="7" t="b">
        <v>1</v>
      </c>
    </row>
    <row r="76" spans="1:26" x14ac:dyDescent="0.25">
      <c r="H76" s="14" t="str">
        <f>_xll.qlSwapRateHelper2(J76,K76,L76,M76,N76,O76,P76,Q76,R76,S76,T76,U76,V76,W76,X76,Y76,Z76)</f>
        <v>obj_001b5#0008</v>
      </c>
      <c r="K76" s="6" t="str">
        <f t="shared" si="5"/>
        <v>obj_00168#0008</v>
      </c>
      <c r="L76" s="6">
        <v>2</v>
      </c>
      <c r="M76" s="36" t="str">
        <f t="shared" si="6"/>
        <v>10Y</v>
      </c>
      <c r="N76" s="2" t="str">
        <f t="shared" si="7"/>
        <v>UnitedStates::Settlement</v>
      </c>
      <c r="O76" s="3" t="s">
        <v>216</v>
      </c>
      <c r="P76" s="3" t="s">
        <v>72</v>
      </c>
      <c r="Q76" s="3" t="s">
        <v>212</v>
      </c>
      <c r="R76" s="3" t="str">
        <f>'ql-US-ZC'!$B$6</f>
        <v>US#0008</v>
      </c>
      <c r="S76" s="3">
        <v>0</v>
      </c>
      <c r="T76" s="3" t="s">
        <v>63</v>
      </c>
      <c r="X76" s="11" t="b">
        <v>0</v>
      </c>
      <c r="Y76" s="12"/>
      <c r="Z76" s="7" t="b">
        <v>1</v>
      </c>
    </row>
    <row r="77" spans="1:26" x14ac:dyDescent="0.25">
      <c r="H77" s="14" t="str">
        <f>_xll.qlSwapRateHelper2(J77,K77,L77,M77,N77,O77,P77,Q77,R77,S77,T77,U77,V77,W77,X77,Y77,Z77)</f>
        <v>obj_0019b#0008</v>
      </c>
      <c r="K77" s="6" t="str">
        <f t="shared" si="5"/>
        <v>obj_00172#0008</v>
      </c>
      <c r="L77" s="6">
        <v>2</v>
      </c>
      <c r="M77" s="36" t="str">
        <f t="shared" si="6"/>
        <v>15Y</v>
      </c>
      <c r="N77" s="2" t="str">
        <f t="shared" si="7"/>
        <v>UnitedStates::Settlement</v>
      </c>
      <c r="O77" s="3" t="s">
        <v>216</v>
      </c>
      <c r="P77" s="3" t="s">
        <v>72</v>
      </c>
      <c r="Q77" s="3" t="s">
        <v>212</v>
      </c>
      <c r="R77" s="3" t="str">
        <f>'ql-US-ZC'!$B$6</f>
        <v>US#0008</v>
      </c>
      <c r="S77" s="3">
        <v>0</v>
      </c>
      <c r="T77" s="3" t="s">
        <v>63</v>
      </c>
      <c r="X77" s="11" t="b">
        <v>0</v>
      </c>
      <c r="Y77" s="12"/>
      <c r="Z77" s="7" t="b">
        <v>1</v>
      </c>
    </row>
    <row r="78" spans="1:26" x14ac:dyDescent="0.25">
      <c r="H78" s="14" t="str">
        <f>_xll.qlSwapRateHelper2(J78,K78,L78,M78,N78,O78,P78,Q78,R78,S78,T78,U78,V78,W78,X78,Y78,Z78)</f>
        <v>obj_00192#0008</v>
      </c>
      <c r="K78" s="6" t="str">
        <f t="shared" si="5"/>
        <v>obj_00171#0008</v>
      </c>
      <c r="L78" s="6">
        <v>2</v>
      </c>
      <c r="M78" s="36" t="str">
        <f t="shared" si="6"/>
        <v>20Y</v>
      </c>
      <c r="N78" s="2" t="str">
        <f t="shared" si="7"/>
        <v>UnitedStates::Settlement</v>
      </c>
      <c r="O78" s="3" t="s">
        <v>216</v>
      </c>
      <c r="P78" s="3" t="s">
        <v>72</v>
      </c>
      <c r="Q78" s="3" t="s">
        <v>212</v>
      </c>
      <c r="R78" s="3" t="str">
        <f>'ql-US-ZC'!$B$6</f>
        <v>US#0008</v>
      </c>
      <c r="S78" s="3">
        <v>0</v>
      </c>
      <c r="T78" s="3" t="s">
        <v>63</v>
      </c>
      <c r="X78" s="11" t="b">
        <v>0</v>
      </c>
      <c r="Y78" s="12"/>
      <c r="Z78" s="7" t="b">
        <v>1</v>
      </c>
    </row>
    <row r="79" spans="1:26" x14ac:dyDescent="0.25">
      <c r="H79" s="14" t="str">
        <f>_xll.qlSwapRateHelper2(J79,K79,L79,M79,N79,O79,P79,Q79,R79,S79,T79,U79,V79,W79,X79,Y79,Z79)</f>
        <v>obj_001b2#0008</v>
      </c>
      <c r="K79" s="6" t="str">
        <f t="shared" si="5"/>
        <v>obj_00173#0008</v>
      </c>
      <c r="L79" s="6">
        <v>2</v>
      </c>
      <c r="M79" s="36" t="str">
        <f t="shared" si="6"/>
        <v>3M</v>
      </c>
      <c r="N79" s="2" t="str">
        <f t="shared" si="7"/>
        <v>UnitedStates::Settlement</v>
      </c>
      <c r="O79" s="3" t="s">
        <v>216</v>
      </c>
      <c r="P79" s="3" t="s">
        <v>72</v>
      </c>
      <c r="Q79" s="3" t="s">
        <v>212</v>
      </c>
      <c r="R79" s="3" t="str">
        <f>'ql-US-ZC'!$B$6</f>
        <v>US#0008</v>
      </c>
      <c r="S79" s="3">
        <v>0</v>
      </c>
      <c r="T79" s="3" t="s">
        <v>63</v>
      </c>
      <c r="X79" s="11" t="b">
        <v>0</v>
      </c>
      <c r="Y79" s="12"/>
      <c r="Z79" s="7" t="b">
        <v>1</v>
      </c>
    </row>
    <row r="80" spans="1:26" x14ac:dyDescent="0.25">
      <c r="A80" s="3" t="s">
        <v>169</v>
      </c>
      <c r="H80" s="14" t="str">
        <f>_xll.qlSwapRateHelper2(J80,K80,L80,M80,N80,O80,P80,Q80,R80,S80,T80,U80,V80,W80,X80,Y80,Z80)</f>
        <v>obj_0018e#0008</v>
      </c>
      <c r="K80" s="6" t="str">
        <f t="shared" si="5"/>
        <v>obj_0016a#0008</v>
      </c>
      <c r="L80" s="6">
        <v>2</v>
      </c>
      <c r="M80" s="36" t="str">
        <f t="shared" si="6"/>
        <v>6M</v>
      </c>
      <c r="N80" s="2" t="str">
        <f t="shared" si="7"/>
        <v>UnitedStates::Settlement</v>
      </c>
      <c r="O80" s="3" t="s">
        <v>216</v>
      </c>
      <c r="P80" s="3" t="s">
        <v>72</v>
      </c>
      <c r="Q80" s="3" t="s">
        <v>212</v>
      </c>
      <c r="R80" s="3" t="str">
        <f>'ql-US-ZC'!$B$6</f>
        <v>US#0008</v>
      </c>
      <c r="S80" s="3">
        <v>0</v>
      </c>
      <c r="T80" s="3" t="s">
        <v>63</v>
      </c>
      <c r="X80" s="11" t="b">
        <v>0</v>
      </c>
      <c r="Y80" s="12"/>
      <c r="Z80" s="7" t="b">
        <v>1</v>
      </c>
    </row>
    <row r="81" spans="1:26" x14ac:dyDescent="0.25">
      <c r="A81" s="69" t="s">
        <v>159</v>
      </c>
      <c r="B81" s="69" t="s">
        <v>139</v>
      </c>
      <c r="H81" s="14" t="str">
        <f>_xll.qlSwapRateHelper2(J81,K81,L81,M81,N81,O81,P81,Q81,R81,S81,T81,U81,V81,W81,X81,Y81,Z81)</f>
        <v>obj_001b1#0008</v>
      </c>
      <c r="K81" s="6" t="str">
        <f t="shared" si="5"/>
        <v>obj_0016d#0008</v>
      </c>
      <c r="L81" s="6">
        <v>2</v>
      </c>
      <c r="M81" s="36" t="str">
        <f t="shared" si="6"/>
        <v>1Y</v>
      </c>
      <c r="N81" s="2" t="str">
        <f t="shared" si="7"/>
        <v>UnitedStates::Settlement</v>
      </c>
      <c r="O81" s="3" t="s">
        <v>216</v>
      </c>
      <c r="P81" s="3" t="s">
        <v>72</v>
      </c>
      <c r="Q81" s="3" t="s">
        <v>212</v>
      </c>
      <c r="R81" s="3" t="str">
        <f>'ql-US-ZC'!$B$6</f>
        <v>US#0008</v>
      </c>
      <c r="S81" s="3">
        <v>0</v>
      </c>
      <c r="T81" s="3" t="s">
        <v>63</v>
      </c>
      <c r="X81" s="11" t="b">
        <v>0</v>
      </c>
      <c r="Y81" s="12"/>
      <c r="Z81" s="7" t="b">
        <v>1</v>
      </c>
    </row>
    <row r="82" spans="1:26" x14ac:dyDescent="0.25">
      <c r="A82" s="69" t="s">
        <v>160</v>
      </c>
      <c r="B82" s="69" t="s">
        <v>141</v>
      </c>
      <c r="H82" s="14" t="str">
        <f>_xll.qlSwapRateHelper2(J82,K82,L82,M82,N82,O82,P82,Q82,R82,S82,T82,U82,V82,W82,X82,Y82,Z82)</f>
        <v>obj_001a4#0008</v>
      </c>
      <c r="K82" s="6" t="str">
        <f t="shared" si="5"/>
        <v>obj_00166#0008</v>
      </c>
      <c r="L82" s="6">
        <v>2</v>
      </c>
      <c r="M82" s="36" t="str">
        <f t="shared" si="6"/>
        <v>2Y</v>
      </c>
      <c r="N82" s="2" t="str">
        <f t="shared" si="7"/>
        <v>UnitedStates::Settlement</v>
      </c>
      <c r="O82" s="3" t="s">
        <v>216</v>
      </c>
      <c r="P82" s="3" t="s">
        <v>72</v>
      </c>
      <c r="Q82" s="3" t="s">
        <v>212</v>
      </c>
      <c r="R82" s="3" t="str">
        <f>'ql-US-ZC'!$B$6</f>
        <v>US#0008</v>
      </c>
      <c r="S82" s="3">
        <v>0</v>
      </c>
      <c r="T82" s="3" t="s">
        <v>63</v>
      </c>
      <c r="X82" s="11" t="b">
        <v>0</v>
      </c>
      <c r="Y82" s="12"/>
      <c r="Z82" s="7" t="b">
        <v>1</v>
      </c>
    </row>
    <row r="83" spans="1:26" x14ac:dyDescent="0.25">
      <c r="A83" s="69" t="s">
        <v>161</v>
      </c>
      <c r="B83" s="69" t="s">
        <v>141</v>
      </c>
      <c r="H83" s="14" t="str">
        <f>_xll.qlSwapRateHelper2(J83,K83,L83,M83,N83,O83,P83,Q83,R83,S83,T83,U83,V83,W83,X83,Y83,Z83)</f>
        <v>obj_001af#0008</v>
      </c>
      <c r="K83" s="6" t="str">
        <f t="shared" si="5"/>
        <v>obj_00170#0008</v>
      </c>
      <c r="L83" s="6">
        <v>2</v>
      </c>
      <c r="M83" s="36" t="str">
        <f t="shared" si="6"/>
        <v>3Y</v>
      </c>
      <c r="N83" s="2" t="str">
        <f t="shared" si="7"/>
        <v>UnitedStates::Settlement</v>
      </c>
      <c r="O83" s="3" t="s">
        <v>216</v>
      </c>
      <c r="P83" s="3" t="s">
        <v>72</v>
      </c>
      <c r="Q83" s="3" t="s">
        <v>212</v>
      </c>
      <c r="R83" s="3" t="str">
        <f>'ql-US-ZC'!$B$6</f>
        <v>US#0008</v>
      </c>
      <c r="S83" s="3">
        <v>0</v>
      </c>
      <c r="T83" s="3" t="s">
        <v>63</v>
      </c>
      <c r="X83" s="11" t="b">
        <v>0</v>
      </c>
      <c r="Y83" s="12"/>
      <c r="Z83" s="7" t="b">
        <v>1</v>
      </c>
    </row>
    <row r="84" spans="1:26" x14ac:dyDescent="0.25">
      <c r="A84" s="69" t="s">
        <v>162</v>
      </c>
      <c r="B84" s="69" t="s">
        <v>141</v>
      </c>
      <c r="H84" s="14" t="str">
        <f>_xll.qlSwapRateHelper2(J84,K84,L84,M84,N84,O84,P84,Q84,R84,S84,T84,U84,V84,W84,X84,Y84,Z84)</f>
        <v>obj_001a3#0008</v>
      </c>
      <c r="K84" s="6" t="str">
        <f t="shared" si="5"/>
        <v>obj_00167#0008</v>
      </c>
      <c r="L84" s="6">
        <v>2</v>
      </c>
      <c r="M84" s="36" t="str">
        <f t="shared" si="6"/>
        <v>5Y</v>
      </c>
      <c r="N84" s="2" t="str">
        <f t="shared" si="7"/>
        <v>UnitedStates::Settlement</v>
      </c>
      <c r="O84" s="3" t="s">
        <v>216</v>
      </c>
      <c r="P84" s="3" t="s">
        <v>72</v>
      </c>
      <c r="Q84" s="3" t="s">
        <v>212</v>
      </c>
      <c r="R84" s="3" t="str">
        <f>'ql-US-ZC'!$B$6</f>
        <v>US#0008</v>
      </c>
      <c r="S84" s="3">
        <v>0</v>
      </c>
      <c r="T84" s="3" t="s">
        <v>63</v>
      </c>
      <c r="X84" s="11" t="b">
        <v>0</v>
      </c>
      <c r="Y84" s="12"/>
      <c r="Z84" s="7" t="b">
        <v>1</v>
      </c>
    </row>
    <row r="85" spans="1:26" x14ac:dyDescent="0.25">
      <c r="A85" s="69" t="s">
        <v>163</v>
      </c>
      <c r="B85" s="69" t="s">
        <v>144</v>
      </c>
      <c r="H85" s="14" t="str">
        <f>_xll.qlSwapRateHelper2(J85,K85,L85,M85,N85,O85,P85,Q85,R85,S85,T85,U85,V85,W85,X85,Y85,Z85)</f>
        <v>obj_001a6#0008</v>
      </c>
      <c r="K85" s="6" t="str">
        <f t="shared" si="5"/>
        <v>obj_0016f#0008</v>
      </c>
      <c r="L85" s="6">
        <v>2</v>
      </c>
      <c r="M85" s="36" t="str">
        <f t="shared" si="6"/>
        <v>7Y</v>
      </c>
      <c r="N85" s="2" t="str">
        <f t="shared" si="7"/>
        <v>UnitedStates::Settlement</v>
      </c>
      <c r="O85" s="3" t="s">
        <v>216</v>
      </c>
      <c r="P85" s="3" t="s">
        <v>72</v>
      </c>
      <c r="Q85" s="3" t="s">
        <v>212</v>
      </c>
      <c r="R85" s="3" t="str">
        <f>'ql-US-ZC'!$B$6</f>
        <v>US#0008</v>
      </c>
      <c r="S85" s="3">
        <v>0</v>
      </c>
      <c r="T85" s="3" t="s">
        <v>63</v>
      </c>
      <c r="X85" s="11" t="b">
        <v>0</v>
      </c>
      <c r="Y85" s="12"/>
      <c r="Z85" s="7" t="b">
        <v>1</v>
      </c>
    </row>
    <row r="86" spans="1:26" x14ac:dyDescent="0.25">
      <c r="A86" s="69" t="s">
        <v>164</v>
      </c>
      <c r="B86" s="69" t="s">
        <v>144</v>
      </c>
      <c r="H86" s="14" t="str">
        <f>_xll.qlSwapRateHelper2(J86,K86,L86,M86,N86,O86,P86,Q86,R86,S86,T86,U86,V86,W86,X86,Y86,Z86)</f>
        <v>obj_00190#0008</v>
      </c>
      <c r="K86" s="6" t="str">
        <f t="shared" si="5"/>
        <v>obj_0016e#0008</v>
      </c>
      <c r="L86" s="6">
        <v>2</v>
      </c>
      <c r="M86" s="36" t="str">
        <f t="shared" si="6"/>
        <v>10Y</v>
      </c>
      <c r="N86" s="2" t="str">
        <f t="shared" si="7"/>
        <v>UnitedStates::Settlement</v>
      </c>
      <c r="O86" s="3" t="s">
        <v>216</v>
      </c>
      <c r="P86" s="3" t="s">
        <v>72</v>
      </c>
      <c r="Q86" s="3" t="s">
        <v>212</v>
      </c>
      <c r="R86" s="3" t="str">
        <f>'ql-US-ZC'!$B$6</f>
        <v>US#0008</v>
      </c>
      <c r="S86" s="3">
        <v>0</v>
      </c>
      <c r="T86" s="3" t="s">
        <v>63</v>
      </c>
      <c r="X86" s="11" t="b">
        <v>0</v>
      </c>
      <c r="Y86" s="12"/>
      <c r="Z86" s="7" t="b">
        <v>1</v>
      </c>
    </row>
    <row r="87" spans="1:26" x14ac:dyDescent="0.25">
      <c r="A87" s="69" t="s">
        <v>165</v>
      </c>
      <c r="B87" s="69" t="s">
        <v>144</v>
      </c>
      <c r="H87" s="14" t="str">
        <f>_xll.qlSwapRateHelper2(J87,K87,L87,M87,N87,O87,P87,Q87,R87,S87,T87,U87,V87,W87,X87,Y87,Z87)</f>
        <v>obj_001ae#0008</v>
      </c>
      <c r="K87" s="6" t="str">
        <f t="shared" si="5"/>
        <v>obj_0016b#0008</v>
      </c>
      <c r="L87" s="6">
        <v>2</v>
      </c>
      <c r="M87" s="36" t="str">
        <f t="shared" si="6"/>
        <v>15Y</v>
      </c>
      <c r="N87" s="2" t="str">
        <f t="shared" si="7"/>
        <v>UnitedStates::Settlement</v>
      </c>
      <c r="O87" s="3" t="s">
        <v>216</v>
      </c>
      <c r="P87" s="3" t="s">
        <v>72</v>
      </c>
      <c r="Q87" s="3" t="s">
        <v>212</v>
      </c>
      <c r="R87" s="3" t="str">
        <f>'ql-US-ZC'!$B$6</f>
        <v>US#0008</v>
      </c>
      <c r="S87" s="3">
        <v>0</v>
      </c>
      <c r="T87" s="3" t="s">
        <v>63</v>
      </c>
      <c r="X87" s="11" t="b">
        <v>0</v>
      </c>
      <c r="Y87" s="12"/>
      <c r="Z87" s="7" t="b">
        <v>1</v>
      </c>
    </row>
    <row r="88" spans="1:26" x14ac:dyDescent="0.25">
      <c r="A88" s="69" t="s">
        <v>167</v>
      </c>
      <c r="B88" s="69" t="s">
        <v>147</v>
      </c>
      <c r="H88" s="14" t="str">
        <f>_xll.qlSwapRateHelper2(J88,K88,L88,M88,N88,O88,P88,Q88,R88,S88,T88,U88,V88,W88,X88,Y88,Z88)</f>
        <v>obj_001a0#0008</v>
      </c>
      <c r="K88" s="6" t="str">
        <f t="shared" si="5"/>
        <v>obj_00169#0008</v>
      </c>
      <c r="L88" s="6">
        <v>2</v>
      </c>
      <c r="M88" s="36" t="str">
        <f t="shared" si="6"/>
        <v>20Y</v>
      </c>
      <c r="N88" s="2" t="str">
        <f t="shared" si="7"/>
        <v>UnitedStates::Settlement</v>
      </c>
      <c r="O88" s="3" t="s">
        <v>216</v>
      </c>
      <c r="P88" s="3" t="s">
        <v>72</v>
      </c>
      <c r="Q88" s="3" t="s">
        <v>212</v>
      </c>
      <c r="R88" s="3" t="str">
        <f>'ql-US-ZC'!$B$6</f>
        <v>US#0008</v>
      </c>
      <c r="S88" s="3">
        <v>0</v>
      </c>
      <c r="T88" s="3" t="s">
        <v>63</v>
      </c>
      <c r="X88" s="11" t="b">
        <v>0</v>
      </c>
      <c r="Y88" s="12"/>
      <c r="Z88" s="7" t="b">
        <v>1</v>
      </c>
    </row>
    <row r="89" spans="1:26" x14ac:dyDescent="0.25">
      <c r="A89" s="69" t="s">
        <v>168</v>
      </c>
      <c r="B89" s="69" t="s">
        <v>147</v>
      </c>
      <c r="H89" s="14"/>
      <c r="K89" s="6"/>
      <c r="L89" s="6"/>
      <c r="M89" s="36"/>
      <c r="N89" s="2"/>
      <c r="X89" s="11"/>
      <c r="Y89" s="12"/>
      <c r="Z89" s="7"/>
    </row>
    <row r="90" spans="1:26" x14ac:dyDescent="0.25">
      <c r="A90" s="69" t="s">
        <v>166</v>
      </c>
      <c r="B90" s="69" t="s">
        <v>147</v>
      </c>
      <c r="H90" s="14"/>
      <c r="K90" s="6"/>
      <c r="L90" s="6"/>
      <c r="M90" s="36"/>
      <c r="N90" s="2"/>
      <c r="X90" s="11"/>
      <c r="Y90" s="12"/>
      <c r="Z90" s="7"/>
    </row>
    <row r="91" spans="1:26" x14ac:dyDescent="0.25">
      <c r="A91" s="69" t="s">
        <v>139</v>
      </c>
      <c r="B91" s="69" t="s">
        <v>139</v>
      </c>
      <c r="H91" s="14"/>
      <c r="K91" s="6"/>
      <c r="L91" s="6"/>
      <c r="M91" s="36"/>
      <c r="N91" s="2"/>
      <c r="X91" s="11"/>
      <c r="Y91" s="12"/>
      <c r="Z91" s="7"/>
    </row>
    <row r="92" spans="1:26" x14ac:dyDescent="0.25">
      <c r="A92" s="69" t="s">
        <v>140</v>
      </c>
      <c r="B92" s="69" t="s">
        <v>141</v>
      </c>
      <c r="H92" s="14"/>
      <c r="K92" s="6"/>
      <c r="L92" s="6"/>
      <c r="M92" s="36"/>
      <c r="N92" s="2"/>
      <c r="X92" s="11"/>
      <c r="Y92" s="12"/>
      <c r="Z92" s="7"/>
    </row>
    <row r="93" spans="1:26" x14ac:dyDescent="0.25">
      <c r="A93" s="69" t="s">
        <v>141</v>
      </c>
      <c r="B93" s="69" t="s">
        <v>141</v>
      </c>
      <c r="H93" s="14"/>
      <c r="K93" s="6"/>
      <c r="L93" s="6"/>
      <c r="M93" s="36"/>
      <c r="N93" s="2"/>
      <c r="X93" s="11"/>
      <c r="Y93" s="12"/>
      <c r="Z93" s="7"/>
    </row>
    <row r="94" spans="1:26" x14ac:dyDescent="0.25">
      <c r="A94" s="69" t="s">
        <v>142</v>
      </c>
      <c r="B94" s="69" t="s">
        <v>141</v>
      </c>
      <c r="H94" s="14"/>
      <c r="K94" s="6"/>
      <c r="L94" s="6"/>
      <c r="M94" s="36"/>
      <c r="N94" s="2"/>
      <c r="X94" s="11"/>
      <c r="Y94" s="12"/>
      <c r="Z94" s="7"/>
    </row>
    <row r="95" spans="1:26" x14ac:dyDescent="0.25">
      <c r="A95" s="69" t="s">
        <v>143</v>
      </c>
      <c r="B95" s="69" t="s">
        <v>404</v>
      </c>
      <c r="H95" s="14"/>
      <c r="K95" s="6"/>
      <c r="L95" s="6"/>
      <c r="M95" s="36"/>
      <c r="N95" s="2"/>
      <c r="X95" s="11"/>
      <c r="Y95" s="12"/>
      <c r="Z95" s="7"/>
    </row>
    <row r="96" spans="1:26" x14ac:dyDescent="0.25">
      <c r="A96" s="69" t="s">
        <v>144</v>
      </c>
      <c r="B96" s="69" t="s">
        <v>404</v>
      </c>
      <c r="H96" s="14"/>
      <c r="K96" s="6"/>
      <c r="L96" s="6"/>
      <c r="M96" s="36"/>
      <c r="N96" s="2"/>
      <c r="X96" s="11"/>
      <c r="Y96" s="12"/>
      <c r="Z96" s="7"/>
    </row>
    <row r="97" spans="1:26" x14ac:dyDescent="0.25">
      <c r="A97" s="69" t="s">
        <v>145</v>
      </c>
      <c r="B97" s="69" t="s">
        <v>404</v>
      </c>
      <c r="H97" s="14"/>
      <c r="K97" s="6"/>
      <c r="L97" s="6"/>
      <c r="M97" s="36"/>
      <c r="N97" s="2"/>
      <c r="X97" s="11"/>
      <c r="Y97" s="12"/>
      <c r="Z97" s="7"/>
    </row>
    <row r="98" spans="1:26" x14ac:dyDescent="0.25">
      <c r="A98" s="69" t="s">
        <v>146</v>
      </c>
      <c r="B98" s="69" t="s">
        <v>147</v>
      </c>
      <c r="H98" s="14"/>
      <c r="K98" s="6"/>
      <c r="L98" s="6"/>
      <c r="M98" s="36"/>
      <c r="N98" s="2"/>
      <c r="X98" s="11"/>
      <c r="Y98" s="12"/>
      <c r="Z98" s="7"/>
    </row>
    <row r="99" spans="1:26" x14ac:dyDescent="0.25">
      <c r="A99" s="69" t="s">
        <v>147</v>
      </c>
      <c r="B99" s="69" t="s">
        <v>147</v>
      </c>
      <c r="H99" s="14"/>
      <c r="K99" s="6"/>
      <c r="L99" s="6"/>
      <c r="M99" s="36"/>
      <c r="N99" s="2"/>
      <c r="X99" s="11"/>
      <c r="Y99" s="12"/>
      <c r="Z99" s="7"/>
    </row>
    <row r="100" spans="1:26" x14ac:dyDescent="0.25">
      <c r="A100" s="69" t="s">
        <v>148</v>
      </c>
      <c r="B100" s="69" t="s">
        <v>147</v>
      </c>
      <c r="H100" s="14"/>
      <c r="K100" s="6"/>
      <c r="L100" s="6"/>
      <c r="M100" s="36"/>
      <c r="N100" s="2"/>
      <c r="X100" s="11"/>
      <c r="Y100" s="12"/>
      <c r="Z100" s="7"/>
    </row>
    <row r="101" spans="1:26" x14ac:dyDescent="0.25">
      <c r="A101" s="69" t="s">
        <v>149</v>
      </c>
      <c r="B101" s="69" t="s">
        <v>139</v>
      </c>
    </row>
    <row r="102" spans="1:26" x14ac:dyDescent="0.25">
      <c r="A102" s="69" t="s">
        <v>150</v>
      </c>
      <c r="B102" s="69" t="s">
        <v>141</v>
      </c>
    </row>
    <row r="103" spans="1:26" x14ac:dyDescent="0.25">
      <c r="A103" s="69" t="s">
        <v>151</v>
      </c>
      <c r="B103" s="69" t="s">
        <v>141</v>
      </c>
    </row>
    <row r="104" spans="1:26" x14ac:dyDescent="0.25">
      <c r="A104" s="69" t="s">
        <v>152</v>
      </c>
      <c r="B104" s="69" t="s">
        <v>141</v>
      </c>
    </row>
    <row r="105" spans="1:26" x14ac:dyDescent="0.25">
      <c r="A105" s="69" t="s">
        <v>153</v>
      </c>
      <c r="B105" s="69" t="s">
        <v>404</v>
      </c>
    </row>
    <row r="106" spans="1:26" x14ac:dyDescent="0.25">
      <c r="A106" s="69" t="s">
        <v>154</v>
      </c>
      <c r="B106" s="69" t="s">
        <v>404</v>
      </c>
    </row>
    <row r="107" spans="1:26" x14ac:dyDescent="0.25">
      <c r="A107" s="69" t="s">
        <v>155</v>
      </c>
      <c r="B107" s="69" t="s">
        <v>404</v>
      </c>
    </row>
    <row r="108" spans="1:26" x14ac:dyDescent="0.25">
      <c r="A108" s="69" t="s">
        <v>156</v>
      </c>
      <c r="B108" s="69" t="s">
        <v>147</v>
      </c>
    </row>
    <row r="109" spans="1:26" x14ac:dyDescent="0.25">
      <c r="A109" s="69" t="s">
        <v>157</v>
      </c>
      <c r="B109" s="69" t="s">
        <v>147</v>
      </c>
    </row>
    <row r="110" spans="1:26" x14ac:dyDescent="0.25">
      <c r="A110" s="69" t="s">
        <v>158</v>
      </c>
      <c r="B110" s="69" t="s">
        <v>147</v>
      </c>
    </row>
  </sheetData>
  <mergeCells count="1">
    <mergeCell ref="A20:B20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36"/>
  <sheetViews>
    <sheetView topLeftCell="A7" workbookViewId="0">
      <selection activeCell="B52" sqref="B52"/>
    </sheetView>
  </sheetViews>
  <sheetFormatPr defaultColWidth="9" defaultRowHeight="15" x14ac:dyDescent="0.25"/>
  <cols>
    <col min="1" max="1" width="20.375" style="3" customWidth="1"/>
    <col min="2" max="3" width="14" style="3" customWidth="1"/>
    <col min="4" max="7" width="10.5" style="3" customWidth="1"/>
    <col min="8" max="8" width="16.375" style="3" customWidth="1"/>
    <col min="9" max="9" width="14" style="3" customWidth="1"/>
    <col min="10" max="10" width="5.5" style="3" customWidth="1"/>
    <col min="11" max="11" width="9" style="3" customWidth="1"/>
    <col min="12" max="12" width="6.125" style="3" customWidth="1"/>
    <col min="13" max="13" width="8" style="3" customWidth="1"/>
    <col min="14" max="14" width="12.25" style="3" customWidth="1"/>
    <col min="15" max="15" width="10.25" style="3" customWidth="1"/>
    <col min="16" max="16" width="10.375" style="3" customWidth="1"/>
    <col min="17" max="17" width="10.625" style="3" customWidth="1"/>
    <col min="18" max="18" width="12.25" style="3" customWidth="1"/>
    <col min="19" max="19" width="9" style="3"/>
    <col min="20" max="20" width="10" style="3" bestFit="1" customWidth="1"/>
    <col min="21" max="23" width="9" style="3"/>
    <col min="24" max="24" width="9.375" style="3" customWidth="1"/>
    <col min="25" max="16384" width="9" style="3"/>
  </cols>
  <sheetData>
    <row r="1" spans="1:26" x14ac:dyDescent="0.25">
      <c r="A1" s="1" t="s">
        <v>8</v>
      </c>
      <c r="B1" s="17">
        <v>44530</v>
      </c>
      <c r="C1" s="17"/>
      <c r="D1" s="25" t="s">
        <v>66</v>
      </c>
      <c r="E1" s="25" t="s">
        <v>51</v>
      </c>
      <c r="F1" s="25" t="s">
        <v>65</v>
      </c>
      <c r="G1" s="25" t="s">
        <v>67</v>
      </c>
    </row>
    <row r="2" spans="1:26" x14ac:dyDescent="0.25">
      <c r="A2" s="5" t="s">
        <v>9</v>
      </c>
      <c r="B2" s="3" t="b">
        <f>_xll.qlSettingsSetEvaluationDate(B1,B1)</f>
        <v>1</v>
      </c>
      <c r="D2" s="24">
        <f>E2-$B$1</f>
        <v>29</v>
      </c>
      <c r="E2" s="2">
        <f t="array" ref="E2:E31">_xll.qlPiecewiseYieldCurveDates(B24)</f>
        <v>44559</v>
      </c>
      <c r="F2" s="84">
        <f t="array" ref="F2:F31">_xll.qlYieldTSZeroRate(A42,$E$2:$E$31,A44,A45,A46,A47,A48)</f>
        <v>1.4999996909758115E-4</v>
      </c>
      <c r="G2" s="85">
        <f t="array" ref="G2:G31">_xll.qlYieldTSDiscount(A42,E2:E31,TRUE,B4)</f>
        <v>1</v>
      </c>
      <c r="H2" s="108" t="s">
        <v>64</v>
      </c>
      <c r="I2" s="108" t="s">
        <v>21</v>
      </c>
      <c r="J2" s="108" t="s">
        <v>19</v>
      </c>
      <c r="K2" s="108" t="s">
        <v>20</v>
      </c>
      <c r="L2" s="108" t="s">
        <v>12</v>
      </c>
      <c r="M2" s="108" t="s">
        <v>22</v>
      </c>
      <c r="N2" s="108" t="s">
        <v>13</v>
      </c>
      <c r="O2" s="108" t="s">
        <v>14</v>
      </c>
      <c r="P2" s="108" t="s">
        <v>15</v>
      </c>
      <c r="Q2" s="108" t="s">
        <v>20</v>
      </c>
      <c r="R2" s="8" t="s">
        <v>226</v>
      </c>
      <c r="S2" s="108" t="s">
        <v>227</v>
      </c>
      <c r="T2" s="108" t="s">
        <v>228</v>
      </c>
      <c r="U2" s="108" t="s">
        <v>229</v>
      </c>
      <c r="V2" s="108" t="s">
        <v>230</v>
      </c>
      <c r="W2" s="108" t="s">
        <v>26</v>
      </c>
      <c r="X2" s="108" t="s">
        <v>14</v>
      </c>
    </row>
    <row r="3" spans="1:26" x14ac:dyDescent="0.25">
      <c r="A3" s="1" t="s">
        <v>70</v>
      </c>
      <c r="B3" s="17">
        <f>_xll.qlSettingsEvaluationDate(B1)</f>
        <v>44530</v>
      </c>
      <c r="C3" s="17"/>
      <c r="D3" s="24">
        <f t="shared" ref="D3:D31" si="0">E3-$B$1</f>
        <v>30</v>
      </c>
      <c r="E3" s="2">
        <v>44560</v>
      </c>
      <c r="F3" s="84">
        <v>1.4999996869103933E-4</v>
      </c>
      <c r="G3" s="85">
        <v>0.99999958333350702</v>
      </c>
      <c r="H3" s="86" t="str">
        <f>I33</f>
        <v>obj_0004b#0008</v>
      </c>
      <c r="I3" s="18" t="str">
        <f>_xll.qlSimpleQuote(,K3,M3,N3,O3,P3)</f>
        <v>obj_00037#0008</v>
      </c>
      <c r="K3" s="87">
        <f>Q3/100</f>
        <v>1.4999999999999999E-4</v>
      </c>
      <c r="L3" s="6" t="s">
        <v>231</v>
      </c>
      <c r="M3" s="3">
        <v>0.01</v>
      </c>
      <c r="N3" s="11" t="b">
        <v>0</v>
      </c>
      <c r="O3" s="34">
        <f>$B$4</f>
        <v>1</v>
      </c>
      <c r="P3" s="7" t="b">
        <v>1</v>
      </c>
      <c r="Q3" s="88">
        <v>1.4999999999999999E-2</v>
      </c>
      <c r="R3" s="28">
        <f>_xll.qlCalendarAdvance(S3,T3,U3,V3,W3,X3)</f>
        <v>44531</v>
      </c>
      <c r="S3" s="2" t="str">
        <f>$N$33</f>
        <v>Australia</v>
      </c>
      <c r="T3" s="2">
        <f>B1</f>
        <v>44530</v>
      </c>
      <c r="U3" s="6" t="s">
        <v>232</v>
      </c>
      <c r="V3" s="3" t="s">
        <v>233</v>
      </c>
      <c r="W3" s="3" t="b">
        <v>0</v>
      </c>
      <c r="X3" s="34">
        <f>$B$4</f>
        <v>1</v>
      </c>
      <c r="Y3" s="3" t="s">
        <v>231</v>
      </c>
      <c r="Z3" s="3">
        <v>1.4999999999999999E-2</v>
      </c>
    </row>
    <row r="4" spans="1:26" x14ac:dyDescent="0.25">
      <c r="A4" s="8" t="s">
        <v>14</v>
      </c>
      <c r="B4" s="3">
        <f>'ql-US-ZC'!B4</f>
        <v>1</v>
      </c>
      <c r="D4" s="24">
        <f t="shared" si="0"/>
        <v>31</v>
      </c>
      <c r="E4" s="2">
        <v>44561</v>
      </c>
      <c r="F4" s="84">
        <v>1.4999996873600593E-4</v>
      </c>
      <c r="G4" s="85">
        <v>0.99999916666718758</v>
      </c>
      <c r="H4" s="86" t="str">
        <f t="shared" ref="H4:H19" si="1">I34</f>
        <v>obj_0005b#0008</v>
      </c>
      <c r="I4" s="18" t="str">
        <f>_xll.qlSimpleQuote(,K4,M4,N4,O4,P4)</f>
        <v>obj_00041#0008</v>
      </c>
      <c r="K4" s="87">
        <f t="shared" ref="K4:K31" si="2">Q4/100</f>
        <v>1.4999999999999999E-4</v>
      </c>
      <c r="L4" s="6" t="s">
        <v>234</v>
      </c>
      <c r="M4" s="3">
        <f>$M$3</f>
        <v>0.01</v>
      </c>
      <c r="N4" s="11" t="b">
        <v>0</v>
      </c>
      <c r="O4" s="34">
        <f t="shared" ref="O4:O31" si="3">$B$4</f>
        <v>1</v>
      </c>
      <c r="P4" s="7" t="b">
        <v>1</v>
      </c>
      <c r="Q4" s="88">
        <v>1.4999999999999999E-2</v>
      </c>
      <c r="R4" s="28">
        <f>_xll.qlCalendarAdvance(S4,T4,U4,V4,W4,X4)</f>
        <v>44532</v>
      </c>
      <c r="S4" s="2" t="str">
        <f t="shared" ref="S4:S28" si="4">$N$33</f>
        <v>Australia</v>
      </c>
      <c r="T4" s="2">
        <f>R3</f>
        <v>44531</v>
      </c>
      <c r="U4" s="6" t="s">
        <v>232</v>
      </c>
      <c r="V4" s="3" t="s">
        <v>233</v>
      </c>
      <c r="W4" s="3" t="b">
        <v>0</v>
      </c>
      <c r="X4" s="34">
        <f t="shared" ref="X4:X28" si="5">$B$4</f>
        <v>1</v>
      </c>
      <c r="Y4" s="3" t="s">
        <v>234</v>
      </c>
      <c r="Z4" s="3">
        <v>1.4999999999999999E-2</v>
      </c>
    </row>
    <row r="5" spans="1:26" x14ac:dyDescent="0.25">
      <c r="D5" s="24">
        <f t="shared" si="0"/>
        <v>34</v>
      </c>
      <c r="E5" s="2">
        <v>44564</v>
      </c>
      <c r="F5" s="84">
        <v>1.4999993147684355E-4</v>
      </c>
      <c r="G5" s="85">
        <v>0.99999791666978843</v>
      </c>
      <c r="H5" s="86" t="str">
        <f t="shared" si="1"/>
        <v>obj_00055#0008</v>
      </c>
      <c r="I5" s="18" t="str">
        <f>_xll.qlSimpleQuote(,K5,M5,N5,O5,P5)</f>
        <v>obj_00027#0008</v>
      </c>
      <c r="K5" s="87">
        <f t="shared" si="2"/>
        <v>1.4999999999999999E-4</v>
      </c>
      <c r="L5" s="6" t="s">
        <v>235</v>
      </c>
      <c r="M5" s="3">
        <f t="shared" ref="M5:M31" si="6">$M$3</f>
        <v>0.01</v>
      </c>
      <c r="N5" s="11" t="b">
        <v>0</v>
      </c>
      <c r="O5" s="34">
        <f t="shared" si="3"/>
        <v>1</v>
      </c>
      <c r="P5" s="7" t="b">
        <v>1</v>
      </c>
      <c r="Q5" s="88">
        <v>1.4999999999999999E-2</v>
      </c>
      <c r="R5" s="28">
        <f>_xll.qlCalendarAdvance(S5,T5,U5,V5,W5,X5)</f>
        <v>44533</v>
      </c>
      <c r="S5" s="2" t="str">
        <f t="shared" si="4"/>
        <v>Australia</v>
      </c>
      <c r="T5" s="2">
        <f>R4</f>
        <v>44532</v>
      </c>
      <c r="U5" s="6" t="s">
        <v>232</v>
      </c>
      <c r="V5" s="3" t="s">
        <v>233</v>
      </c>
      <c r="W5" s="3" t="b">
        <v>0</v>
      </c>
      <c r="X5" s="34">
        <f t="shared" si="5"/>
        <v>1</v>
      </c>
      <c r="Y5" s="3" t="s">
        <v>235</v>
      </c>
      <c r="Z5" s="3">
        <v>1.4999999999999999E-2</v>
      </c>
    </row>
    <row r="6" spans="1:26" x14ac:dyDescent="0.25">
      <c r="A6" s="3" t="s">
        <v>491</v>
      </c>
      <c r="B6" s="19" t="str">
        <f>_xll.qlIborIndex(B7,B8,B9,B10,B11,B12,B13,B14,B15,B16,B17,B18,B19)</f>
        <v>AU#0008</v>
      </c>
      <c r="C6" s="19"/>
      <c r="D6" s="24">
        <f t="shared" si="0"/>
        <v>38</v>
      </c>
      <c r="E6" s="2">
        <v>44568</v>
      </c>
      <c r="F6" s="84">
        <v>-2.000006875072606E-4</v>
      </c>
      <c r="G6" s="85">
        <v>1.0000050000296878</v>
      </c>
      <c r="H6" s="86" t="str">
        <f t="shared" si="1"/>
        <v>obj_00056#0008</v>
      </c>
      <c r="I6" s="18" t="str">
        <f>_xll.qlSimpleQuote(,K6,M6,N6,O6,P6)</f>
        <v>obj_0002a#0008</v>
      </c>
      <c r="K6" s="87">
        <f t="shared" si="2"/>
        <v>-2.9999999999999997E-4</v>
      </c>
      <c r="L6" s="6" t="s">
        <v>236</v>
      </c>
      <c r="M6" s="3">
        <f t="shared" si="6"/>
        <v>0.01</v>
      </c>
      <c r="N6" s="11" t="b">
        <v>0</v>
      </c>
      <c r="O6" s="34">
        <f t="shared" si="3"/>
        <v>1</v>
      </c>
      <c r="P6" s="7" t="b">
        <v>1</v>
      </c>
      <c r="Q6" s="88">
        <v>-0.03</v>
      </c>
      <c r="R6" s="28">
        <f>_xll.qlCalendarAdvance(S6,T6,U6,V6,W6,X6)</f>
        <v>44539</v>
      </c>
      <c r="S6" s="2" t="str">
        <f t="shared" si="4"/>
        <v>Australia</v>
      </c>
      <c r="T6" s="2">
        <f>R4</f>
        <v>44532</v>
      </c>
      <c r="U6" s="6" t="s">
        <v>236</v>
      </c>
      <c r="V6" s="3" t="s">
        <v>233</v>
      </c>
      <c r="W6" s="3" t="b">
        <v>0</v>
      </c>
      <c r="X6" s="34">
        <f t="shared" si="5"/>
        <v>1</v>
      </c>
      <c r="Y6" s="3" t="s">
        <v>236</v>
      </c>
      <c r="Z6" s="3">
        <v>-0.03</v>
      </c>
    </row>
    <row r="7" spans="1:26" x14ac:dyDescent="0.25">
      <c r="A7" s="8" t="s">
        <v>10</v>
      </c>
      <c r="B7" s="9" t="s">
        <v>490</v>
      </c>
      <c r="C7" s="9"/>
      <c r="D7" s="24">
        <f t="shared" si="0"/>
        <v>45</v>
      </c>
      <c r="E7" s="2">
        <v>44575</v>
      </c>
      <c r="F7" s="84">
        <v>4.1249655081723789E-4</v>
      </c>
      <c r="G7" s="85">
        <v>0.99998166698801538</v>
      </c>
      <c r="H7" s="86" t="str">
        <f t="shared" si="1"/>
        <v>obj_00052#0008</v>
      </c>
      <c r="I7" s="18" t="str">
        <f>_xll.qlSimpleQuote(,K7,M7,N7,O7,P7)</f>
        <v>obj_0003b#0008</v>
      </c>
      <c r="K7" s="87">
        <f t="shared" si="2"/>
        <v>4.4999999999999999E-4</v>
      </c>
      <c r="L7" s="6" t="s">
        <v>237</v>
      </c>
      <c r="M7" s="3">
        <f t="shared" si="6"/>
        <v>0.01</v>
      </c>
      <c r="N7" s="11" t="b">
        <v>0</v>
      </c>
      <c r="O7" s="34">
        <f t="shared" si="3"/>
        <v>1</v>
      </c>
      <c r="P7" s="7" t="b">
        <v>1</v>
      </c>
      <c r="Q7" s="88">
        <v>4.4999999999999998E-2</v>
      </c>
      <c r="R7" s="28">
        <f>_xll.qlCalendarAdvance(S7,T7,U7,V7,W7,X7)</f>
        <v>44546</v>
      </c>
      <c r="S7" s="2" t="str">
        <f t="shared" si="4"/>
        <v>Australia</v>
      </c>
      <c r="T7" s="2">
        <f>$T$6</f>
        <v>44532</v>
      </c>
      <c r="U7" s="6" t="s">
        <v>237</v>
      </c>
      <c r="V7" s="3" t="s">
        <v>233</v>
      </c>
      <c r="W7" s="3" t="b">
        <v>0</v>
      </c>
      <c r="X7" s="34">
        <f t="shared" si="5"/>
        <v>1</v>
      </c>
      <c r="Y7" s="3" t="s">
        <v>237</v>
      </c>
      <c r="Z7" s="3">
        <v>4.4999999999999998E-2</v>
      </c>
    </row>
    <row r="8" spans="1:26" x14ac:dyDescent="0.25">
      <c r="A8" s="8" t="s">
        <v>28</v>
      </c>
      <c r="B8" s="9" t="s">
        <v>489</v>
      </c>
      <c r="C8" s="9"/>
      <c r="D8" s="24">
        <f t="shared" si="0"/>
        <v>52</v>
      </c>
      <c r="E8" s="2">
        <v>44582</v>
      </c>
      <c r="F8" s="84">
        <v>3.7825660604220204E-4</v>
      </c>
      <c r="G8" s="85">
        <v>0.99997583389772993</v>
      </c>
      <c r="H8" s="86" t="str">
        <f t="shared" si="1"/>
        <v>obj_0004c#0008</v>
      </c>
      <c r="I8" s="18" t="str">
        <f>_xll.qlSimpleQuote(,K8,M8,N8,O8,P8)</f>
        <v>obj_0003d#0008</v>
      </c>
      <c r="K8" s="87">
        <f t="shared" si="2"/>
        <v>4.0000000000000002E-4</v>
      </c>
      <c r="L8" s="6" t="s">
        <v>238</v>
      </c>
      <c r="M8" s="3">
        <f t="shared" si="6"/>
        <v>0.01</v>
      </c>
      <c r="N8" s="11" t="b">
        <v>0</v>
      </c>
      <c r="O8" s="34">
        <f t="shared" si="3"/>
        <v>1</v>
      </c>
      <c r="P8" s="7" t="b">
        <v>1</v>
      </c>
      <c r="Q8" s="88">
        <v>0.04</v>
      </c>
      <c r="R8" s="28">
        <f>_xll.qlCalendarAdvance(S8,T8,U8,V8,W8,X8)</f>
        <v>44553</v>
      </c>
      <c r="S8" s="2" t="str">
        <f t="shared" si="4"/>
        <v>Australia</v>
      </c>
      <c r="T8" s="2">
        <f t="shared" ref="T8:T28" si="7">$T$6</f>
        <v>44532</v>
      </c>
      <c r="U8" s="6" t="s">
        <v>238</v>
      </c>
      <c r="V8" s="3" t="s">
        <v>233</v>
      </c>
      <c r="W8" s="3" t="b">
        <v>0</v>
      </c>
      <c r="X8" s="34">
        <f t="shared" si="5"/>
        <v>1</v>
      </c>
      <c r="Y8" s="3" t="s">
        <v>238</v>
      </c>
      <c r="Z8" s="3">
        <v>0.04</v>
      </c>
    </row>
    <row r="9" spans="1:26" x14ac:dyDescent="0.25">
      <c r="A9" s="8" t="s">
        <v>12</v>
      </c>
      <c r="B9" s="9" t="s">
        <v>33</v>
      </c>
      <c r="C9" s="9"/>
      <c r="D9" s="24">
        <f t="shared" si="0"/>
        <v>62</v>
      </c>
      <c r="E9" s="2">
        <v>44592</v>
      </c>
      <c r="F9" s="84">
        <v>2.1225225387517727E-3</v>
      </c>
      <c r="G9" s="85">
        <v>0.99980545436040535</v>
      </c>
      <c r="H9" s="86" t="str">
        <f t="shared" si="1"/>
        <v>obj_0005c#0008</v>
      </c>
      <c r="I9" s="18" t="str">
        <f>_xll.qlSimpleQuote(,K9,M9,N9,O9,P9)</f>
        <v>obj_00030#0008</v>
      </c>
      <c r="K9" s="87">
        <f t="shared" si="2"/>
        <v>2.2500000000000003E-3</v>
      </c>
      <c r="L9" s="6" t="s">
        <v>0</v>
      </c>
      <c r="M9" s="3">
        <f t="shared" si="6"/>
        <v>0.01</v>
      </c>
      <c r="N9" s="11" t="b">
        <v>0</v>
      </c>
      <c r="O9" s="34">
        <f t="shared" si="3"/>
        <v>1</v>
      </c>
      <c r="P9" s="7" t="b">
        <v>1</v>
      </c>
      <c r="Q9" s="88">
        <v>0.22500000000000001</v>
      </c>
      <c r="R9" s="28">
        <f>_xll.qlCalendarAdvance(S9,T9,U9,V9,W9,X9)</f>
        <v>44564</v>
      </c>
      <c r="S9" s="2" t="str">
        <f t="shared" si="4"/>
        <v>Australia</v>
      </c>
      <c r="T9" s="2">
        <f t="shared" si="7"/>
        <v>44532</v>
      </c>
      <c r="U9" s="6" t="s">
        <v>0</v>
      </c>
      <c r="V9" s="3" t="s">
        <v>233</v>
      </c>
      <c r="W9" s="3" t="b">
        <v>0</v>
      </c>
      <c r="X9" s="34">
        <f t="shared" si="5"/>
        <v>1</v>
      </c>
      <c r="Y9" s="3" t="s">
        <v>0</v>
      </c>
      <c r="Z9" s="3">
        <v>0.22500000000000001</v>
      </c>
    </row>
    <row r="10" spans="1:26" x14ac:dyDescent="0.25">
      <c r="A10" s="8" t="s">
        <v>24</v>
      </c>
      <c r="B10" s="9">
        <v>2</v>
      </c>
      <c r="C10" s="9"/>
      <c r="D10" s="24">
        <f t="shared" si="0"/>
        <v>90</v>
      </c>
      <c r="E10" s="2">
        <v>44620</v>
      </c>
      <c r="F10" s="84">
        <v>2.1807463962573376E-3</v>
      </c>
      <c r="G10" s="85">
        <v>0.99963055290080494</v>
      </c>
      <c r="H10" s="86" t="str">
        <f t="shared" si="1"/>
        <v>obj_00047#0008</v>
      </c>
      <c r="I10" s="18" t="str">
        <f>_xll.qlSimpleQuote(,K10,M10,N10,O10,P10)</f>
        <v>obj_00032#0008</v>
      </c>
      <c r="K10" s="87">
        <f t="shared" si="2"/>
        <v>2.2500000000000003E-3</v>
      </c>
      <c r="L10" s="6" t="s">
        <v>239</v>
      </c>
      <c r="M10" s="3">
        <f t="shared" si="6"/>
        <v>0.01</v>
      </c>
      <c r="N10" s="11" t="b">
        <v>0</v>
      </c>
      <c r="O10" s="34">
        <f t="shared" si="3"/>
        <v>1</v>
      </c>
      <c r="P10" s="7" t="b">
        <v>1</v>
      </c>
      <c r="Q10" s="88">
        <v>0.22500000000000001</v>
      </c>
      <c r="R10" s="28">
        <f>_xll.qlCalendarAdvance(S10,T10,U10,V10,W10,X10)</f>
        <v>44594</v>
      </c>
      <c r="S10" s="2" t="str">
        <f t="shared" si="4"/>
        <v>Australia</v>
      </c>
      <c r="T10" s="2">
        <f t="shared" si="7"/>
        <v>44532</v>
      </c>
      <c r="U10" s="6" t="s">
        <v>239</v>
      </c>
      <c r="V10" s="3" t="s">
        <v>233</v>
      </c>
      <c r="W10" s="3" t="b">
        <v>0</v>
      </c>
      <c r="X10" s="34">
        <f t="shared" si="5"/>
        <v>1</v>
      </c>
      <c r="Y10" s="3" t="s">
        <v>239</v>
      </c>
      <c r="Z10" s="3">
        <v>0.22500000000000001</v>
      </c>
    </row>
    <row r="11" spans="1:26" x14ac:dyDescent="0.25">
      <c r="A11" s="8" t="s">
        <v>11</v>
      </c>
      <c r="B11" s="9" t="s">
        <v>482</v>
      </c>
      <c r="C11" s="9"/>
      <c r="D11" s="24">
        <f t="shared" si="0"/>
        <v>121</v>
      </c>
      <c r="E11" s="2">
        <v>44651</v>
      </c>
      <c r="F11" s="84">
        <v>1.5681653001654104E-3</v>
      </c>
      <c r="G11" s="85">
        <v>0.99959932693641285</v>
      </c>
      <c r="H11" s="86" t="str">
        <f t="shared" si="1"/>
        <v>obj_0004a#0008</v>
      </c>
      <c r="I11" s="18" t="str">
        <f>_xll.qlSimpleQuote(,K11,M11,N11,O11,P11)</f>
        <v>obj_00039#0008</v>
      </c>
      <c r="K11" s="87">
        <f t="shared" si="2"/>
        <v>1.6000000000000001E-3</v>
      </c>
      <c r="L11" s="6" t="s">
        <v>1</v>
      </c>
      <c r="M11" s="3">
        <f t="shared" si="6"/>
        <v>0.01</v>
      </c>
      <c r="N11" s="11" t="b">
        <v>0</v>
      </c>
      <c r="O11" s="34">
        <f t="shared" si="3"/>
        <v>1</v>
      </c>
      <c r="P11" s="7" t="b">
        <v>1</v>
      </c>
      <c r="Q11" s="88">
        <v>0.16</v>
      </c>
      <c r="R11" s="28">
        <f>_xll.qlCalendarAdvance(S11,T11,U11,V11,W11,X11)</f>
        <v>44622</v>
      </c>
      <c r="S11" s="2" t="str">
        <f t="shared" si="4"/>
        <v>Australia</v>
      </c>
      <c r="T11" s="2">
        <f t="shared" si="7"/>
        <v>44532</v>
      </c>
      <c r="U11" s="6" t="s">
        <v>1</v>
      </c>
      <c r="V11" s="3" t="s">
        <v>233</v>
      </c>
      <c r="W11" s="3" t="b">
        <v>0</v>
      </c>
      <c r="X11" s="34">
        <f t="shared" si="5"/>
        <v>1</v>
      </c>
      <c r="Y11" s="3" t="s">
        <v>1</v>
      </c>
      <c r="Z11" s="3">
        <v>0.16</v>
      </c>
    </row>
    <row r="12" spans="1:26" x14ac:dyDescent="0.25">
      <c r="A12" s="8" t="s">
        <v>17</v>
      </c>
      <c r="B12" s="10" t="s">
        <v>368</v>
      </c>
      <c r="C12" s="10"/>
      <c r="D12" s="24">
        <f t="shared" si="0"/>
        <v>153</v>
      </c>
      <c r="E12" s="2">
        <v>44683</v>
      </c>
      <c r="F12" s="84">
        <v>1.6253527482013328E-3</v>
      </c>
      <c r="G12" s="85">
        <v>0.99944031295887659</v>
      </c>
      <c r="H12" s="86" t="str">
        <f t="shared" si="1"/>
        <v>obj_0004e#0008</v>
      </c>
      <c r="I12" s="18" t="str">
        <f>_xll.qlSimpleQuote(,K12,M12,N12,O12,P12)</f>
        <v>obj_00033#0008</v>
      </c>
      <c r="K12" s="87">
        <f t="shared" si="2"/>
        <v>1.65E-3</v>
      </c>
      <c r="L12" s="6" t="s">
        <v>241</v>
      </c>
      <c r="M12" s="3">
        <f t="shared" si="6"/>
        <v>0.01</v>
      </c>
      <c r="N12" s="11" t="b">
        <v>0</v>
      </c>
      <c r="O12" s="34">
        <f t="shared" si="3"/>
        <v>1</v>
      </c>
      <c r="P12" s="7" t="b">
        <v>1</v>
      </c>
      <c r="Q12" s="88">
        <v>0.16500000000000001</v>
      </c>
      <c r="R12" s="28">
        <f>_xll.qlCalendarAdvance(S12,T12,U12,V12,W12,X12)</f>
        <v>44655</v>
      </c>
      <c r="S12" s="2" t="str">
        <f t="shared" si="4"/>
        <v>Australia</v>
      </c>
      <c r="T12" s="2">
        <f t="shared" si="7"/>
        <v>44532</v>
      </c>
      <c r="U12" s="6" t="s">
        <v>241</v>
      </c>
      <c r="V12" s="3" t="s">
        <v>233</v>
      </c>
      <c r="W12" s="3" t="b">
        <v>0</v>
      </c>
      <c r="X12" s="34">
        <f t="shared" si="5"/>
        <v>1</v>
      </c>
      <c r="Y12" s="3" t="s">
        <v>241</v>
      </c>
      <c r="Z12" s="3">
        <v>0.16500000000000001</v>
      </c>
    </row>
    <row r="13" spans="1:26" x14ac:dyDescent="0.25">
      <c r="A13" s="8" t="s">
        <v>29</v>
      </c>
      <c r="B13" s="9" t="s">
        <v>34</v>
      </c>
      <c r="C13" s="10"/>
      <c r="D13" s="24">
        <f t="shared" si="0"/>
        <v>182</v>
      </c>
      <c r="E13" s="2">
        <v>44712</v>
      </c>
      <c r="F13" s="84">
        <v>1.7777610918464362E-3</v>
      </c>
      <c r="G13" s="85">
        <v>0.99924473689083504</v>
      </c>
      <c r="H13" s="86" t="str">
        <f t="shared" si="1"/>
        <v>obj_00044#0008</v>
      </c>
      <c r="I13" s="18" t="str">
        <f>_xll.qlSimpleQuote(,K13,M13,N13,O13,P13)</f>
        <v>obj_00038#0008</v>
      </c>
      <c r="K13" s="87">
        <f t="shared" si="2"/>
        <v>1.8E-3</v>
      </c>
      <c r="L13" s="6" t="s">
        <v>242</v>
      </c>
      <c r="M13" s="3">
        <f t="shared" si="6"/>
        <v>0.01</v>
      </c>
      <c r="N13" s="11" t="b">
        <v>0</v>
      </c>
      <c r="O13" s="34">
        <f t="shared" si="3"/>
        <v>1</v>
      </c>
      <c r="P13" s="7" t="b">
        <v>1</v>
      </c>
      <c r="Q13" s="88">
        <v>0.18</v>
      </c>
      <c r="R13" s="28">
        <f>_xll.qlCalendarAdvance(S13,T13,U13,V13,W13,X13)</f>
        <v>44683</v>
      </c>
      <c r="S13" s="2" t="str">
        <f t="shared" si="4"/>
        <v>Australia</v>
      </c>
      <c r="T13" s="2">
        <f t="shared" si="7"/>
        <v>44532</v>
      </c>
      <c r="U13" s="6" t="s">
        <v>242</v>
      </c>
      <c r="V13" s="3" t="s">
        <v>233</v>
      </c>
      <c r="W13" s="3" t="b">
        <v>0</v>
      </c>
      <c r="X13" s="34">
        <f t="shared" si="5"/>
        <v>1</v>
      </c>
      <c r="Y13" s="3" t="s">
        <v>242</v>
      </c>
      <c r="Z13" s="3">
        <v>0.18</v>
      </c>
    </row>
    <row r="14" spans="1:26" x14ac:dyDescent="0.25">
      <c r="A14" s="8" t="s">
        <v>30</v>
      </c>
      <c r="B14" s="9" t="b">
        <v>0</v>
      </c>
      <c r="C14" s="10"/>
      <c r="D14" s="24">
        <f t="shared" si="0"/>
        <v>212</v>
      </c>
      <c r="E14" s="2">
        <v>44742</v>
      </c>
      <c r="F14" s="84">
        <v>1.7317526427214696E-3</v>
      </c>
      <c r="G14" s="85">
        <v>0.99912007976367334</v>
      </c>
      <c r="H14" s="86" t="str">
        <f t="shared" si="1"/>
        <v>obj_00050#0008</v>
      </c>
      <c r="I14" s="18" t="str">
        <f>_xll.qlSimpleQuote(,K14,M14,N14,O14,P14)</f>
        <v>obj_00028#0008</v>
      </c>
      <c r="K14" s="87">
        <f t="shared" si="2"/>
        <v>1.7499999999999998E-3</v>
      </c>
      <c r="L14" s="6" t="s">
        <v>69</v>
      </c>
      <c r="M14" s="3">
        <f t="shared" si="6"/>
        <v>0.01</v>
      </c>
      <c r="N14" s="11" t="b">
        <v>0</v>
      </c>
      <c r="O14" s="34">
        <f t="shared" si="3"/>
        <v>1</v>
      </c>
      <c r="P14" s="7" t="b">
        <v>1</v>
      </c>
      <c r="Q14" s="88">
        <v>0.17499999999999999</v>
      </c>
      <c r="R14" s="28">
        <f>_xll.qlCalendarAdvance(S14,T14,U14,V14,W14,X14)</f>
        <v>44897</v>
      </c>
      <c r="S14" s="2" t="str">
        <f t="shared" si="4"/>
        <v>Australia</v>
      </c>
      <c r="T14" s="2">
        <f t="shared" si="7"/>
        <v>44532</v>
      </c>
      <c r="U14" s="6" t="s">
        <v>2</v>
      </c>
      <c r="V14" s="3" t="s">
        <v>233</v>
      </c>
      <c r="W14" s="3" t="b">
        <v>0</v>
      </c>
      <c r="X14" s="34">
        <f t="shared" si="5"/>
        <v>1</v>
      </c>
      <c r="Y14" s="3" t="s">
        <v>69</v>
      </c>
      <c r="Z14" s="3">
        <v>0.17499999999999999</v>
      </c>
    </row>
    <row r="15" spans="1:26" x14ac:dyDescent="0.25">
      <c r="A15" s="8" t="s">
        <v>18</v>
      </c>
      <c r="B15" s="9" t="s">
        <v>215</v>
      </c>
      <c r="C15" s="10"/>
      <c r="D15" s="24">
        <f t="shared" si="0"/>
        <v>245</v>
      </c>
      <c r="E15" s="2">
        <v>44775</v>
      </c>
      <c r="F15" s="84">
        <v>2.0806469103102094E-3</v>
      </c>
      <c r="G15" s="85">
        <v>0.99875239076613365</v>
      </c>
      <c r="H15" s="86" t="str">
        <f t="shared" si="1"/>
        <v>obj_00048#0008</v>
      </c>
      <c r="I15" s="18" t="str">
        <f>_xll.qlSimpleQuote(,K15,M15,N15,O15,P15)</f>
        <v>obj_00035#0008</v>
      </c>
      <c r="K15" s="87">
        <f t="shared" si="2"/>
        <v>2.0999999999999999E-3</v>
      </c>
      <c r="L15" s="6" t="s">
        <v>484</v>
      </c>
      <c r="M15" s="3">
        <f t="shared" si="6"/>
        <v>0.01</v>
      </c>
      <c r="N15" s="11" t="b">
        <v>0</v>
      </c>
      <c r="O15" s="34">
        <f t="shared" si="3"/>
        <v>1</v>
      </c>
      <c r="P15" s="7" t="b">
        <v>1</v>
      </c>
      <c r="Q15" s="88">
        <v>0.21</v>
      </c>
      <c r="R15" s="28">
        <f>_xll.qlCalendarAdvance(S15,T15,U15,V15,W15,X15)</f>
        <v>45264</v>
      </c>
      <c r="S15" s="2" t="str">
        <f t="shared" si="4"/>
        <v>Australia</v>
      </c>
      <c r="T15" s="2">
        <f t="shared" si="7"/>
        <v>44532</v>
      </c>
      <c r="U15" s="6" t="s">
        <v>3</v>
      </c>
      <c r="V15" s="3" t="s">
        <v>233</v>
      </c>
      <c r="W15" s="3" t="b">
        <v>0</v>
      </c>
      <c r="X15" s="34">
        <f t="shared" si="5"/>
        <v>1</v>
      </c>
      <c r="Y15" s="3" t="s">
        <v>484</v>
      </c>
      <c r="Z15" s="3">
        <v>0.21</v>
      </c>
    </row>
    <row r="16" spans="1:26" x14ac:dyDescent="0.25">
      <c r="A16" s="8" t="s">
        <v>31</v>
      </c>
      <c r="B16" s="9"/>
      <c r="C16" s="10"/>
      <c r="D16" s="24">
        <f t="shared" si="0"/>
        <v>274</v>
      </c>
      <c r="E16" s="2">
        <v>44804</v>
      </c>
      <c r="F16" s="84">
        <v>2.627243889887612E-3</v>
      </c>
      <c r="G16" s="85">
        <v>0.99821361206863735</v>
      </c>
      <c r="H16" s="86" t="str">
        <f t="shared" si="1"/>
        <v>obj_00049#0008</v>
      </c>
      <c r="I16" s="18" t="str">
        <f>_xll.qlSimpleQuote(,K16,M16,N16,O16,P16)</f>
        <v>obj_00036#0008</v>
      </c>
      <c r="K16" s="87">
        <f t="shared" si="2"/>
        <v>2.65E-3</v>
      </c>
      <c r="L16" s="6" t="s">
        <v>485</v>
      </c>
      <c r="M16" s="3">
        <f t="shared" si="6"/>
        <v>0.01</v>
      </c>
      <c r="N16" s="11" t="b">
        <v>0</v>
      </c>
      <c r="O16" s="34">
        <f t="shared" si="3"/>
        <v>1</v>
      </c>
      <c r="P16" s="7" t="b">
        <v>1</v>
      </c>
      <c r="Q16" s="88">
        <v>0.26500000000000001</v>
      </c>
      <c r="R16" s="28">
        <f>_xll.qlCalendarAdvance(S16,T16,U16,V16,W16,X16)</f>
        <v>45628</v>
      </c>
      <c r="S16" s="2" t="str">
        <f t="shared" si="4"/>
        <v>Australia</v>
      </c>
      <c r="T16" s="2">
        <f t="shared" si="7"/>
        <v>44532</v>
      </c>
      <c r="U16" s="6" t="s">
        <v>4</v>
      </c>
      <c r="V16" s="3" t="s">
        <v>233</v>
      </c>
      <c r="W16" s="3" t="b">
        <v>0</v>
      </c>
      <c r="X16" s="34">
        <f t="shared" si="5"/>
        <v>1</v>
      </c>
      <c r="Y16" s="3" t="s">
        <v>485</v>
      </c>
      <c r="Z16" s="3">
        <v>0.26500000000000001</v>
      </c>
    </row>
    <row r="17" spans="1:26" x14ac:dyDescent="0.25">
      <c r="A17" s="8" t="s">
        <v>13</v>
      </c>
      <c r="B17" s="11" t="b">
        <v>0</v>
      </c>
      <c r="C17" s="10"/>
      <c r="D17" s="24">
        <f t="shared" si="0"/>
        <v>304</v>
      </c>
      <c r="E17" s="2">
        <v>44834</v>
      </c>
      <c r="F17" s="84">
        <v>3.4710334946216103E-3</v>
      </c>
      <c r="G17" s="85">
        <v>0.99735202815922586</v>
      </c>
      <c r="H17" s="86" t="str">
        <f t="shared" si="1"/>
        <v>obj_00054#0008</v>
      </c>
      <c r="I17" s="18" t="str">
        <f>_xll.qlSimpleQuote(,K17,M17,N17,O17,P17)</f>
        <v>obj_0003c#0008</v>
      </c>
      <c r="K17" s="87">
        <f t="shared" si="2"/>
        <v>3.4999999999999996E-3</v>
      </c>
      <c r="L17" s="6" t="s">
        <v>486</v>
      </c>
      <c r="M17" s="3">
        <f t="shared" si="6"/>
        <v>0.01</v>
      </c>
      <c r="N17" s="11" t="b">
        <v>0</v>
      </c>
      <c r="O17" s="34">
        <f t="shared" si="3"/>
        <v>1</v>
      </c>
      <c r="P17" s="7" t="b">
        <v>1</v>
      </c>
      <c r="Q17" s="88">
        <v>0.35</v>
      </c>
      <c r="R17" s="28">
        <f>_xll.qlCalendarAdvance(S17,T17,U17,V17,W17,X17)</f>
        <v>45993</v>
      </c>
      <c r="S17" s="2" t="str">
        <f t="shared" si="4"/>
        <v>Australia</v>
      </c>
      <c r="T17" s="2">
        <f t="shared" si="7"/>
        <v>44532</v>
      </c>
      <c r="U17" s="6" t="s">
        <v>109</v>
      </c>
      <c r="V17" s="3" t="s">
        <v>233</v>
      </c>
      <c r="W17" s="3" t="b">
        <v>0</v>
      </c>
      <c r="X17" s="34">
        <f t="shared" si="5"/>
        <v>1</v>
      </c>
      <c r="Y17" s="3" t="s">
        <v>486</v>
      </c>
      <c r="Z17" s="3">
        <v>0.35</v>
      </c>
    </row>
    <row r="18" spans="1:26" x14ac:dyDescent="0.25">
      <c r="A18" s="8" t="s">
        <v>14</v>
      </c>
      <c r="B18" s="34">
        <f>$B$4</f>
        <v>1</v>
      </c>
      <c r="C18" s="10"/>
      <c r="D18" s="24">
        <f t="shared" si="0"/>
        <v>335</v>
      </c>
      <c r="E18" s="2">
        <v>44865</v>
      </c>
      <c r="F18" s="84">
        <v>3.8691241429254916E-3</v>
      </c>
      <c r="G18" s="85">
        <v>0.9967166465113424</v>
      </c>
      <c r="H18" s="86" t="str">
        <f t="shared" si="1"/>
        <v>obj_0004d#0008</v>
      </c>
      <c r="I18" s="18" t="str">
        <f>_xll.qlSimpleQuote(,K18,M18,N18,O18,P18)</f>
        <v>obj_0002f#0008</v>
      </c>
      <c r="K18" s="87">
        <f t="shared" si="2"/>
        <v>3.9000000000000003E-3</v>
      </c>
      <c r="L18" s="6" t="s">
        <v>487</v>
      </c>
      <c r="M18" s="3">
        <f t="shared" si="6"/>
        <v>0.01</v>
      </c>
      <c r="N18" s="11" t="b">
        <v>0</v>
      </c>
      <c r="O18" s="34">
        <f t="shared" si="3"/>
        <v>1</v>
      </c>
      <c r="P18" s="7" t="b">
        <v>1</v>
      </c>
      <c r="Q18" s="88">
        <v>0.39</v>
      </c>
      <c r="R18" s="28">
        <f>_xll.qlCalendarAdvance(S18,T18,U18,V18,W18,X18)</f>
        <v>46358</v>
      </c>
      <c r="S18" s="2" t="str">
        <f t="shared" si="4"/>
        <v>Australia</v>
      </c>
      <c r="T18" s="2">
        <f t="shared" si="7"/>
        <v>44532</v>
      </c>
      <c r="U18" s="6" t="s">
        <v>5</v>
      </c>
      <c r="V18" s="3" t="s">
        <v>233</v>
      </c>
      <c r="W18" s="3" t="b">
        <v>0</v>
      </c>
      <c r="X18" s="34">
        <f t="shared" si="5"/>
        <v>1</v>
      </c>
      <c r="Y18" s="3" t="s">
        <v>487</v>
      </c>
      <c r="Z18" s="3">
        <v>0.39</v>
      </c>
    </row>
    <row r="19" spans="1:26" x14ac:dyDescent="0.25">
      <c r="A19" s="8" t="s">
        <v>15</v>
      </c>
      <c r="B19" s="11" t="b">
        <v>1</v>
      </c>
      <c r="C19" s="10"/>
      <c r="D19" s="24">
        <f t="shared" si="0"/>
        <v>365</v>
      </c>
      <c r="E19" s="2">
        <v>44895</v>
      </c>
      <c r="F19" s="84">
        <v>5.3553482608408075E-3</v>
      </c>
      <c r="G19" s="85">
        <v>0.99501414579674596</v>
      </c>
      <c r="H19" s="86" t="str">
        <f t="shared" si="1"/>
        <v>obj_0005e#0008</v>
      </c>
      <c r="I19" s="18" t="str">
        <f>_xll.qlSimpleQuote(,K19,M19,N19,O19,P19)</f>
        <v>obj_0003e#0008</v>
      </c>
      <c r="K19" s="87">
        <f t="shared" si="2"/>
        <v>5.4000000000000003E-3</v>
      </c>
      <c r="L19" s="6" t="s">
        <v>488</v>
      </c>
      <c r="M19" s="3">
        <f t="shared" si="6"/>
        <v>0.01</v>
      </c>
      <c r="N19" s="11" t="b">
        <v>0</v>
      </c>
      <c r="O19" s="34">
        <f t="shared" si="3"/>
        <v>1</v>
      </c>
      <c r="P19" s="7" t="b">
        <v>1</v>
      </c>
      <c r="Q19" s="88">
        <v>0.54</v>
      </c>
      <c r="R19" s="28">
        <f>_xll.qlCalendarAdvance(S19,T19,U19,V19,W19,X19)</f>
        <v>46723</v>
      </c>
      <c r="S19" s="2" t="str">
        <f t="shared" si="4"/>
        <v>Australia</v>
      </c>
      <c r="T19" s="2">
        <f t="shared" si="7"/>
        <v>44532</v>
      </c>
      <c r="U19" s="6" t="s">
        <v>110</v>
      </c>
      <c r="V19" s="3" t="s">
        <v>233</v>
      </c>
      <c r="W19" s="3" t="b">
        <v>0</v>
      </c>
      <c r="X19" s="34">
        <f t="shared" si="5"/>
        <v>1</v>
      </c>
      <c r="Y19" s="3" t="s">
        <v>488</v>
      </c>
      <c r="Z19" s="3">
        <v>0.54</v>
      </c>
    </row>
    <row r="20" spans="1:26" x14ac:dyDescent="0.25">
      <c r="D20" s="24">
        <f t="shared" si="0"/>
        <v>398</v>
      </c>
      <c r="E20" s="2">
        <v>44928</v>
      </c>
      <c r="F20" s="84">
        <v>6.0077053717992011E-3</v>
      </c>
      <c r="G20" s="85">
        <v>0.99386102299005596</v>
      </c>
      <c r="H20" s="86" t="str">
        <f>I54</f>
        <v>obj_00058#0008</v>
      </c>
      <c r="I20" s="18" t="str">
        <f>_xll.qlSimpleQuote(,K20,M20,N20,O20,P20)</f>
        <v>obj_00025#0008</v>
      </c>
      <c r="K20" s="87">
        <f t="shared" si="2"/>
        <v>5.9499999999999996E-3</v>
      </c>
      <c r="L20" s="6" t="s">
        <v>2</v>
      </c>
      <c r="M20" s="3">
        <f t="shared" si="6"/>
        <v>0.01</v>
      </c>
      <c r="N20" s="11" t="b">
        <v>0</v>
      </c>
      <c r="O20" s="34">
        <f t="shared" si="3"/>
        <v>1</v>
      </c>
      <c r="P20" s="7" t="b">
        <v>1</v>
      </c>
      <c r="Q20" s="88">
        <v>0.59499999999999997</v>
      </c>
      <c r="R20" s="28">
        <f>_xll.qlCalendarAdvance(S20,T20,U20,V20,W20,X20)</f>
        <v>47091</v>
      </c>
      <c r="S20" s="2" t="str">
        <f t="shared" si="4"/>
        <v>Australia</v>
      </c>
      <c r="T20" s="2">
        <f t="shared" si="7"/>
        <v>44532</v>
      </c>
      <c r="U20" s="6" t="s">
        <v>6</v>
      </c>
      <c r="V20" s="3" t="s">
        <v>233</v>
      </c>
      <c r="W20" s="3" t="b">
        <v>0</v>
      </c>
      <c r="X20" s="34">
        <f t="shared" si="5"/>
        <v>1</v>
      </c>
      <c r="Y20" s="3" t="s">
        <v>2</v>
      </c>
      <c r="Z20" s="3">
        <v>0.59499999999999997</v>
      </c>
    </row>
    <row r="21" spans="1:26" x14ac:dyDescent="0.25">
      <c r="D21" s="24">
        <f t="shared" si="0"/>
        <v>763</v>
      </c>
      <c r="E21" s="2">
        <v>45293</v>
      </c>
      <c r="F21" s="84">
        <v>8.8277746725600875E-3</v>
      </c>
      <c r="G21" s="85">
        <v>0.98216216018084812</v>
      </c>
      <c r="H21" s="86" t="str">
        <f t="shared" ref="H21:H31" si="8">I55</f>
        <v>obj_00059#0008</v>
      </c>
      <c r="I21" s="18" t="str">
        <f>_xll.qlSimpleQuote(,K21,M21,N21,O21,P21)</f>
        <v>obj_0002b#0008</v>
      </c>
      <c r="K21" s="87">
        <f t="shared" si="2"/>
        <v>8.8000000000000005E-3</v>
      </c>
      <c r="L21" s="6" t="s">
        <v>3</v>
      </c>
      <c r="M21" s="3">
        <f t="shared" si="6"/>
        <v>0.01</v>
      </c>
      <c r="N21" s="11" t="b">
        <v>0</v>
      </c>
      <c r="O21" s="34">
        <f t="shared" si="3"/>
        <v>1</v>
      </c>
      <c r="P21" s="7" t="b">
        <v>1</v>
      </c>
      <c r="Q21" s="88">
        <v>0.88</v>
      </c>
      <c r="R21" s="28">
        <f>_xll.qlCalendarAdvance(S21,T21,U21,V21,W21,X21)</f>
        <v>47455</v>
      </c>
      <c r="S21" s="2" t="str">
        <f t="shared" si="4"/>
        <v>Australia</v>
      </c>
      <c r="T21" s="2">
        <f t="shared" si="7"/>
        <v>44532</v>
      </c>
      <c r="U21" s="6" t="s">
        <v>111</v>
      </c>
      <c r="V21" s="3" t="s">
        <v>233</v>
      </c>
      <c r="W21" s="3" t="b">
        <v>0</v>
      </c>
      <c r="X21" s="34">
        <f t="shared" si="5"/>
        <v>1</v>
      </c>
      <c r="Y21" s="3" t="s">
        <v>3</v>
      </c>
      <c r="Z21" s="3">
        <v>0.88</v>
      </c>
    </row>
    <row r="22" spans="1:26" x14ac:dyDescent="0.25">
      <c r="D22" s="24">
        <f t="shared" si="0"/>
        <v>1127</v>
      </c>
      <c r="E22" s="2">
        <v>45657</v>
      </c>
      <c r="F22" s="84">
        <v>1.2557227030602443E-2</v>
      </c>
      <c r="G22" s="85">
        <v>0.96242461069037477</v>
      </c>
      <c r="H22" s="86" t="str">
        <f t="shared" si="8"/>
        <v>obj_0005f#0008</v>
      </c>
      <c r="I22" s="18" t="str">
        <f>_xll.qlSimpleQuote(,K22,M22,N22,O22,P22)</f>
        <v>obj_00042#0008</v>
      </c>
      <c r="K22" s="87">
        <f t="shared" si="2"/>
        <v>1.26E-2</v>
      </c>
      <c r="L22" s="6" t="s">
        <v>4</v>
      </c>
      <c r="M22" s="3">
        <f t="shared" si="6"/>
        <v>0.01</v>
      </c>
      <c r="N22" s="11" t="b">
        <v>0</v>
      </c>
      <c r="O22" s="34">
        <f t="shared" si="3"/>
        <v>1</v>
      </c>
      <c r="P22" s="7" t="b">
        <v>1</v>
      </c>
      <c r="Q22" s="88">
        <v>1.26</v>
      </c>
      <c r="R22" s="28">
        <f>_xll.qlCalendarAdvance(S22,T22,U22,V22,W22,X22)</f>
        <v>47819</v>
      </c>
      <c r="S22" s="2" t="str">
        <f t="shared" si="4"/>
        <v>Australia</v>
      </c>
      <c r="T22" s="2">
        <f t="shared" si="7"/>
        <v>44532</v>
      </c>
      <c r="U22" s="6" t="s">
        <v>112</v>
      </c>
      <c r="V22" s="3" t="s">
        <v>233</v>
      </c>
      <c r="W22" s="3" t="b">
        <v>0</v>
      </c>
      <c r="X22" s="34">
        <f t="shared" si="5"/>
        <v>1</v>
      </c>
      <c r="Y22" s="3" t="s">
        <v>4</v>
      </c>
      <c r="Z22" s="3">
        <v>1.26</v>
      </c>
    </row>
    <row r="23" spans="1:26" x14ac:dyDescent="0.25">
      <c r="D23" s="24">
        <f t="shared" si="0"/>
        <v>1492</v>
      </c>
      <c r="E23" s="2">
        <v>46022</v>
      </c>
      <c r="F23" s="84">
        <v>1.5279500790039915E-2</v>
      </c>
      <c r="G23" s="85">
        <v>0.93979436011266693</v>
      </c>
      <c r="H23" s="86" t="str">
        <f t="shared" si="8"/>
        <v>obj_0004f#0008</v>
      </c>
      <c r="I23" s="18" t="str">
        <f>_xll.qlSimpleQuote(,K23,M23,N23,O23,P23)</f>
        <v>obj_0002c#0008</v>
      </c>
      <c r="K23" s="87">
        <f t="shared" si="2"/>
        <v>1.5300000000000001E-2</v>
      </c>
      <c r="L23" s="6" t="s">
        <v>109</v>
      </c>
      <c r="M23" s="3">
        <f t="shared" si="6"/>
        <v>0.01</v>
      </c>
      <c r="N23" s="11" t="b">
        <v>0</v>
      </c>
      <c r="O23" s="34">
        <f t="shared" si="3"/>
        <v>1</v>
      </c>
      <c r="P23" s="7" t="b">
        <v>1</v>
      </c>
      <c r="Q23" s="88">
        <v>1.53</v>
      </c>
      <c r="R23" s="28">
        <f>_xll.qlCalendarAdvance(S23,T23,U23,V23,W23,X23)</f>
        <v>48184</v>
      </c>
      <c r="S23" s="2" t="str">
        <f t="shared" si="4"/>
        <v>Australia</v>
      </c>
      <c r="T23" s="2">
        <f t="shared" si="7"/>
        <v>44532</v>
      </c>
      <c r="U23" s="6" t="s">
        <v>7</v>
      </c>
      <c r="V23" s="3" t="s">
        <v>233</v>
      </c>
      <c r="W23" s="3" t="b">
        <v>0</v>
      </c>
      <c r="X23" s="34">
        <f t="shared" si="5"/>
        <v>1</v>
      </c>
      <c r="Y23" s="3" t="s">
        <v>109</v>
      </c>
      <c r="Z23" s="3">
        <v>1.53</v>
      </c>
    </row>
    <row r="24" spans="1:26" x14ac:dyDescent="0.25">
      <c r="A24" s="8" t="s">
        <v>48</v>
      </c>
      <c r="B24" s="13" t="str">
        <f>_xll.qlPiecewiseYieldCurve(B25,B26,B27,$H$3:$H$31,B29,B30,B31,B32,B33,B34,B35,B36,B37)</f>
        <v>AUDZC#0008</v>
      </c>
      <c r="C24" s="13" t="str">
        <f>_xll.qlPiecewiseYieldCurve(C25,C26,C27,$H$3:$H$31,C29,C30,C31,C32,C33,C34,C35,C36,C37)</f>
        <v>AUDDF#0008</v>
      </c>
      <c r="D24" s="24">
        <f t="shared" si="0"/>
        <v>1857</v>
      </c>
      <c r="E24" s="2">
        <v>46387</v>
      </c>
      <c r="F24" s="84">
        <v>1.6590466461005642E-2</v>
      </c>
      <c r="G24" s="85">
        <v>0.91920813544219304</v>
      </c>
      <c r="H24" s="86" t="str">
        <f t="shared" si="8"/>
        <v>obj_0005a#0008</v>
      </c>
      <c r="I24" s="18" t="str">
        <f>_xll.qlSimpleQuote(,K24,M24,N24,O24,P24)</f>
        <v>obj_0002e#0008</v>
      </c>
      <c r="K24" s="87">
        <f t="shared" si="2"/>
        <v>1.66E-2</v>
      </c>
      <c r="L24" s="6" t="s">
        <v>5</v>
      </c>
      <c r="M24" s="3">
        <f t="shared" si="6"/>
        <v>0.01</v>
      </c>
      <c r="N24" s="11" t="b">
        <v>0</v>
      </c>
      <c r="O24" s="34">
        <f t="shared" si="3"/>
        <v>1</v>
      </c>
      <c r="P24" s="7" t="b">
        <v>1</v>
      </c>
      <c r="Q24" s="88">
        <v>1.66</v>
      </c>
      <c r="R24" s="28">
        <f>_xll.qlCalendarAdvance(S24,T24,U24,V24,W24,X24)</f>
        <v>48915</v>
      </c>
      <c r="S24" s="2" t="str">
        <f t="shared" si="4"/>
        <v>Australia</v>
      </c>
      <c r="T24" s="2">
        <f t="shared" si="7"/>
        <v>44532</v>
      </c>
      <c r="U24" s="6" t="s">
        <v>243</v>
      </c>
      <c r="V24" s="3" t="s">
        <v>233</v>
      </c>
      <c r="W24" s="3" t="b">
        <v>0</v>
      </c>
      <c r="X24" s="34">
        <f t="shared" si="5"/>
        <v>1</v>
      </c>
      <c r="Y24" s="3" t="s">
        <v>5</v>
      </c>
      <c r="Z24" s="3">
        <v>1.66</v>
      </c>
    </row>
    <row r="25" spans="1:26" x14ac:dyDescent="0.25">
      <c r="A25" s="3" t="s">
        <v>35</v>
      </c>
      <c r="B25" s="3" t="s">
        <v>492</v>
      </c>
      <c r="C25" s="3" t="s">
        <v>493</v>
      </c>
      <c r="D25" s="24">
        <f t="shared" si="0"/>
        <v>2590</v>
      </c>
      <c r="E25" s="2">
        <v>47120</v>
      </c>
      <c r="F25" s="84">
        <v>1.8616088404956849E-2</v>
      </c>
      <c r="G25" s="85">
        <v>0.87596181037481458</v>
      </c>
      <c r="H25" s="86" t="str">
        <f t="shared" si="8"/>
        <v>obj_00053#0008</v>
      </c>
      <c r="I25" s="18" t="str">
        <f>_xll.qlSimpleQuote(,K25,M25,N25,O25,P25)</f>
        <v>obj_0003f#0008</v>
      </c>
      <c r="K25" s="87">
        <f t="shared" si="2"/>
        <v>1.8550000000000001E-2</v>
      </c>
      <c r="L25" s="6" t="s">
        <v>6</v>
      </c>
      <c r="M25" s="3">
        <f t="shared" si="6"/>
        <v>0.01</v>
      </c>
      <c r="N25" s="11" t="b">
        <v>0</v>
      </c>
      <c r="O25" s="34">
        <f t="shared" si="3"/>
        <v>1</v>
      </c>
      <c r="P25" s="7" t="b">
        <v>1</v>
      </c>
      <c r="Q25" s="88">
        <v>1.855</v>
      </c>
      <c r="R25" s="28">
        <f>_xll.qlCalendarAdvance(S25,T25,U25,V25,W25,X25)</f>
        <v>50011</v>
      </c>
      <c r="S25" s="2" t="str">
        <f t="shared" si="4"/>
        <v>Australia</v>
      </c>
      <c r="T25" s="2">
        <f t="shared" si="7"/>
        <v>44532</v>
      </c>
      <c r="U25" s="6" t="s">
        <v>246</v>
      </c>
      <c r="V25" s="3" t="s">
        <v>233</v>
      </c>
      <c r="W25" s="3" t="b">
        <v>0</v>
      </c>
      <c r="X25" s="34">
        <f t="shared" si="5"/>
        <v>1</v>
      </c>
      <c r="Y25" s="3" t="s">
        <v>6</v>
      </c>
      <c r="Z25" s="3">
        <v>1.855</v>
      </c>
    </row>
    <row r="26" spans="1:26" x14ac:dyDescent="0.25">
      <c r="A26" s="3" t="s">
        <v>36</v>
      </c>
      <c r="B26" s="3">
        <v>0</v>
      </c>
      <c r="C26" s="3">
        <v>0</v>
      </c>
      <c r="D26" s="24">
        <f t="shared" si="0"/>
        <v>3683</v>
      </c>
      <c r="E26" s="2">
        <v>48213</v>
      </c>
      <c r="F26" s="84">
        <v>2.0329690469030163E-2</v>
      </c>
      <c r="G26" s="85">
        <v>0.81355124728387329</v>
      </c>
      <c r="H26" s="86" t="str">
        <f t="shared" si="8"/>
        <v>obj_00045#0008</v>
      </c>
      <c r="I26" s="18" t="str">
        <f>_xll.qlSimpleQuote(,K26,M26,N26,O26,P26)</f>
        <v>obj_0002d#0008</v>
      </c>
      <c r="K26" s="87">
        <f t="shared" si="2"/>
        <v>2.0250000000000001E-2</v>
      </c>
      <c r="L26" s="6" t="s">
        <v>7</v>
      </c>
      <c r="M26" s="3">
        <f t="shared" si="6"/>
        <v>0.01</v>
      </c>
      <c r="N26" s="11" t="b">
        <v>0</v>
      </c>
      <c r="O26" s="34">
        <f t="shared" si="3"/>
        <v>1</v>
      </c>
      <c r="P26" s="7" t="b">
        <v>1</v>
      </c>
      <c r="Q26" s="88">
        <v>2.0249999999999999</v>
      </c>
      <c r="R26" s="28">
        <f>_xll.qlCalendarAdvance(S26,T26,U26,V26,W26,X26)</f>
        <v>51837</v>
      </c>
      <c r="S26" s="2" t="str">
        <f t="shared" si="4"/>
        <v>Australia</v>
      </c>
      <c r="T26" s="2">
        <f t="shared" si="7"/>
        <v>44532</v>
      </c>
      <c r="U26" s="6" t="s">
        <v>247</v>
      </c>
      <c r="V26" s="3" t="s">
        <v>233</v>
      </c>
      <c r="W26" s="3" t="b">
        <v>0</v>
      </c>
      <c r="X26" s="34">
        <f t="shared" si="5"/>
        <v>1</v>
      </c>
      <c r="Y26" s="3" t="s">
        <v>7</v>
      </c>
      <c r="Z26" s="3">
        <v>2.0249999999999999</v>
      </c>
    </row>
    <row r="27" spans="1:26" x14ac:dyDescent="0.25">
      <c r="A27" s="3" t="s">
        <v>37</v>
      </c>
      <c r="B27" s="2" t="str">
        <f>B12</f>
        <v>Australia</v>
      </c>
      <c r="C27" s="2" t="str">
        <f>B27</f>
        <v>Australia</v>
      </c>
      <c r="D27" s="24">
        <f t="shared" si="0"/>
        <v>4416</v>
      </c>
      <c r="E27" s="2">
        <v>48946</v>
      </c>
      <c r="F27" s="84">
        <v>2.1073684749578544E-2</v>
      </c>
      <c r="G27" s="85">
        <v>0.77351805763798898</v>
      </c>
      <c r="H27" s="86" t="str">
        <f t="shared" si="8"/>
        <v>obj_0005d#0008</v>
      </c>
      <c r="I27" s="18" t="str">
        <f>_xll.qlSimpleQuote(,K27,M27,N27,O27,P27)</f>
        <v>obj_00034#0008</v>
      </c>
      <c r="K27" s="87">
        <f t="shared" si="2"/>
        <v>2.0950000000000003E-2</v>
      </c>
      <c r="L27" s="6" t="s">
        <v>243</v>
      </c>
      <c r="M27" s="3">
        <f t="shared" si="6"/>
        <v>0.01</v>
      </c>
      <c r="N27" s="11" t="b">
        <v>0</v>
      </c>
      <c r="O27" s="34">
        <f t="shared" si="3"/>
        <v>1</v>
      </c>
      <c r="P27" s="7" t="b">
        <v>1</v>
      </c>
      <c r="Q27" s="88">
        <v>2.0950000000000002</v>
      </c>
      <c r="R27" s="28">
        <f>_xll.qlCalendarAdvance(S27,T27,U27,V27,W27,X27)</f>
        <v>53664</v>
      </c>
      <c r="S27" s="2" t="str">
        <f t="shared" si="4"/>
        <v>Australia</v>
      </c>
      <c r="T27" s="2">
        <f t="shared" si="7"/>
        <v>44532</v>
      </c>
      <c r="U27" s="6" t="s">
        <v>248</v>
      </c>
      <c r="V27" s="3" t="s">
        <v>233</v>
      </c>
      <c r="W27" s="3" t="b">
        <v>0</v>
      </c>
      <c r="X27" s="34">
        <f t="shared" si="5"/>
        <v>1</v>
      </c>
      <c r="Y27" s="3" t="s">
        <v>243</v>
      </c>
      <c r="Z27" s="3">
        <v>2.0950000000000002</v>
      </c>
    </row>
    <row r="28" spans="1:26" x14ac:dyDescent="0.25">
      <c r="A28" s="3" t="s">
        <v>38</v>
      </c>
      <c r="D28" s="24">
        <f t="shared" si="0"/>
        <v>5510</v>
      </c>
      <c r="E28" s="2">
        <v>50040</v>
      </c>
      <c r="F28" s="84">
        <v>2.1845575449973859E-2</v>
      </c>
      <c r="G28" s="85">
        <v>0.71705775822257212</v>
      </c>
      <c r="H28" s="86" t="str">
        <f t="shared" si="8"/>
        <v>obj_00043#0008</v>
      </c>
      <c r="I28" s="18" t="str">
        <f>_xll.qlSimpleQuote(,K28,M28,N28,O28,P28)</f>
        <v>obj_00040#0008</v>
      </c>
      <c r="K28" s="87">
        <f t="shared" si="2"/>
        <v>2.1700000000000001E-2</v>
      </c>
      <c r="L28" s="6" t="s">
        <v>246</v>
      </c>
      <c r="M28" s="3">
        <f t="shared" si="6"/>
        <v>0.01</v>
      </c>
      <c r="N28" s="11" t="b">
        <v>0</v>
      </c>
      <c r="O28" s="34">
        <f t="shared" si="3"/>
        <v>1</v>
      </c>
      <c r="P28" s="7" t="b">
        <v>1</v>
      </c>
      <c r="Q28" s="88">
        <v>2.17</v>
      </c>
      <c r="R28" s="28">
        <f>_xll.qlCalendarAdvance(S28,T28,U28,V28,W28,X28)</f>
        <v>55491</v>
      </c>
      <c r="S28" s="2" t="str">
        <f t="shared" si="4"/>
        <v>Australia</v>
      </c>
      <c r="T28" s="2">
        <f t="shared" si="7"/>
        <v>44532</v>
      </c>
      <c r="U28" s="6" t="s">
        <v>249</v>
      </c>
      <c r="V28" s="3" t="s">
        <v>233</v>
      </c>
      <c r="W28" s="3" t="b">
        <v>0</v>
      </c>
      <c r="X28" s="34">
        <f t="shared" si="5"/>
        <v>1</v>
      </c>
      <c r="Y28" s="3" t="s">
        <v>246</v>
      </c>
      <c r="Z28" s="3">
        <v>2.17</v>
      </c>
    </row>
    <row r="29" spans="1:26" x14ac:dyDescent="0.25">
      <c r="A29" s="3" t="s">
        <v>39</v>
      </c>
      <c r="B29" s="3" t="str">
        <f>B15</f>
        <v>A/360</v>
      </c>
      <c r="C29" s="3" t="str">
        <f>B29</f>
        <v>A/360</v>
      </c>
      <c r="D29" s="24">
        <f t="shared" si="0"/>
        <v>7336</v>
      </c>
      <c r="E29" s="2">
        <v>51866</v>
      </c>
      <c r="F29" s="84">
        <v>2.1868557081373387E-2</v>
      </c>
      <c r="G29" s="85">
        <v>0.64154819909541194</v>
      </c>
      <c r="H29" s="86" t="str">
        <f t="shared" si="8"/>
        <v>obj_00046#0008</v>
      </c>
      <c r="I29" s="18" t="str">
        <f>_xll.qlSimpleQuote(,K29,M29,N29,O29,P29)</f>
        <v>obj_00026#0008</v>
      </c>
      <c r="K29" s="87">
        <f t="shared" si="2"/>
        <v>2.18E-2</v>
      </c>
      <c r="L29" s="6" t="s">
        <v>247</v>
      </c>
      <c r="M29" s="3">
        <f t="shared" si="6"/>
        <v>0.01</v>
      </c>
      <c r="N29" s="11" t="b">
        <v>0</v>
      </c>
      <c r="O29" s="34">
        <f t="shared" si="3"/>
        <v>1</v>
      </c>
      <c r="P29" s="7" t="b">
        <v>1</v>
      </c>
      <c r="Q29" s="88">
        <v>2.1800000000000002</v>
      </c>
      <c r="R29" s="28"/>
      <c r="S29" s="2"/>
      <c r="T29" s="2"/>
      <c r="U29" s="6"/>
      <c r="X29" s="34"/>
      <c r="Y29" s="3" t="s">
        <v>247</v>
      </c>
      <c r="Z29" s="3">
        <v>2.1800000000000002</v>
      </c>
    </row>
    <row r="30" spans="1:26" x14ac:dyDescent="0.25">
      <c r="A30" s="3" t="s">
        <v>40</v>
      </c>
      <c r="D30" s="24">
        <f t="shared" si="0"/>
        <v>9162</v>
      </c>
      <c r="E30" s="2">
        <v>53692</v>
      </c>
      <c r="F30" s="84">
        <v>2.1121764445605033E-2</v>
      </c>
      <c r="G30" s="85">
        <v>0.58517318684670294</v>
      </c>
      <c r="H30" s="86" t="str">
        <f t="shared" si="8"/>
        <v>obj_00051#0008</v>
      </c>
      <c r="I30" s="18" t="str">
        <f>_xll.qlSimpleQuote(,K30,M30,N30,O30,P30)</f>
        <v>obj_00031#0008</v>
      </c>
      <c r="K30" s="87">
        <f t="shared" si="2"/>
        <v>2.1250000000000002E-2</v>
      </c>
      <c r="L30" s="6" t="s">
        <v>248</v>
      </c>
      <c r="M30" s="3">
        <f t="shared" si="6"/>
        <v>0.01</v>
      </c>
      <c r="N30" s="11" t="b">
        <v>0</v>
      </c>
      <c r="O30" s="34">
        <f t="shared" si="3"/>
        <v>1</v>
      </c>
      <c r="P30" s="7" t="b">
        <v>1</v>
      </c>
      <c r="Q30" s="88">
        <v>2.125</v>
      </c>
      <c r="R30" s="28"/>
      <c r="S30" s="2"/>
      <c r="T30" s="2"/>
      <c r="U30" s="6"/>
      <c r="X30" s="34"/>
      <c r="Y30" s="3" t="s">
        <v>248</v>
      </c>
      <c r="Z30" s="3">
        <v>2.125</v>
      </c>
    </row>
    <row r="31" spans="1:26" x14ac:dyDescent="0.25">
      <c r="A31" s="3" t="s">
        <v>41</v>
      </c>
      <c r="D31" s="24">
        <f t="shared" si="0"/>
        <v>10990</v>
      </c>
      <c r="E31" s="2">
        <v>55520</v>
      </c>
      <c r="F31" s="84">
        <v>2.014003167950338E-2</v>
      </c>
      <c r="G31" s="85">
        <v>0.54161058149185137</v>
      </c>
      <c r="H31" s="86" t="str">
        <f t="shared" si="8"/>
        <v>obj_00057#0008</v>
      </c>
      <c r="I31" s="18" t="str">
        <f>_xll.qlSimpleQuote(,K31,M31,N31,O31,P31)</f>
        <v>obj_0003a#0008</v>
      </c>
      <c r="K31" s="87">
        <f t="shared" si="2"/>
        <v>2.0499999999999997E-2</v>
      </c>
      <c r="L31" s="6" t="s">
        <v>249</v>
      </c>
      <c r="M31" s="3">
        <f t="shared" si="6"/>
        <v>0.01</v>
      </c>
      <c r="N31" s="11" t="b">
        <v>0</v>
      </c>
      <c r="O31" s="34">
        <f t="shared" si="3"/>
        <v>1</v>
      </c>
      <c r="P31" s="7" t="b">
        <v>1</v>
      </c>
      <c r="Q31" s="88">
        <v>2.0499999999999998</v>
      </c>
      <c r="Y31" s="3" t="s">
        <v>249</v>
      </c>
      <c r="Z31" s="3">
        <v>2.0499999999999998</v>
      </c>
    </row>
    <row r="32" spans="1:26" x14ac:dyDescent="0.25">
      <c r="A32" s="3" t="s">
        <v>42</v>
      </c>
      <c r="D32" s="23"/>
      <c r="F32" s="23"/>
      <c r="G32" s="23"/>
      <c r="H32" s="86"/>
      <c r="I32" s="108" t="s">
        <v>250</v>
      </c>
      <c r="J32" s="108" t="s">
        <v>10</v>
      </c>
      <c r="K32" s="108" t="s">
        <v>23</v>
      </c>
      <c r="L32" s="108" t="s">
        <v>12</v>
      </c>
      <c r="M32" s="108" t="s">
        <v>24</v>
      </c>
      <c r="N32" s="108" t="s">
        <v>17</v>
      </c>
      <c r="O32" s="108" t="s">
        <v>25</v>
      </c>
      <c r="P32" s="108" t="s">
        <v>26</v>
      </c>
      <c r="Q32" s="108" t="s">
        <v>18</v>
      </c>
      <c r="R32" s="108" t="s">
        <v>13</v>
      </c>
      <c r="S32" s="108" t="s">
        <v>14</v>
      </c>
      <c r="T32" s="108" t="s">
        <v>15</v>
      </c>
    </row>
    <row r="33" spans="1:20" x14ac:dyDescent="0.25">
      <c r="A33" s="3" t="s">
        <v>43</v>
      </c>
      <c r="B33" s="91" t="s">
        <v>71</v>
      </c>
      <c r="C33" s="23" t="s">
        <v>252</v>
      </c>
      <c r="D33" s="23"/>
      <c r="F33" s="23"/>
      <c r="G33" s="23"/>
      <c r="H33" s="86"/>
      <c r="I33" s="14" t="str">
        <f>_xll.qlDepositRateHelper2(J33,K33,L33,M33,N33,O33,P33,Q33,R33,S33,T33)</f>
        <v>obj_0004b#0008</v>
      </c>
      <c r="K33" s="13" t="str">
        <f t="shared" ref="K33:K43" si="9">I3</f>
        <v>obj_00037#0008</v>
      </c>
      <c r="L33" s="90" t="s">
        <v>232</v>
      </c>
      <c r="M33" s="90">
        <v>0</v>
      </c>
      <c r="N33" s="41" t="str">
        <f>$B$12</f>
        <v>Australia</v>
      </c>
      <c r="O33" s="39" t="s">
        <v>251</v>
      </c>
      <c r="P33" s="39" t="b">
        <f>$B$14</f>
        <v>0</v>
      </c>
      <c r="Q33" s="3" t="str">
        <f>$B$15</f>
        <v>A/360</v>
      </c>
      <c r="R33" s="11" t="b">
        <v>0</v>
      </c>
      <c r="S33" s="34">
        <f t="shared" ref="S33:S49" si="10">$B$4</f>
        <v>1</v>
      </c>
      <c r="T33" s="7" t="b">
        <v>1</v>
      </c>
    </row>
    <row r="34" spans="1:20" x14ac:dyDescent="0.25">
      <c r="A34" s="3" t="s">
        <v>44</v>
      </c>
      <c r="B34" s="3" t="s">
        <v>52</v>
      </c>
      <c r="C34" s="3" t="s">
        <v>52</v>
      </c>
      <c r="D34" s="23"/>
      <c r="F34" s="23"/>
      <c r="G34" s="23"/>
      <c r="I34" s="14" t="str">
        <f>_xll.qlDepositRateHelper2(J34,K34,L34,M34,N34,O34,P34,Q34,R34,S34,T34)</f>
        <v>obj_0005b#0008</v>
      </c>
      <c r="K34" s="13" t="str">
        <f t="shared" si="9"/>
        <v>obj_00041#0008</v>
      </c>
      <c r="L34" s="90" t="s">
        <v>232</v>
      </c>
      <c r="M34" s="90">
        <v>1</v>
      </c>
      <c r="N34" s="41" t="str">
        <f t="shared" ref="N34:N49" si="11">$B$12</f>
        <v>Australia</v>
      </c>
      <c r="O34" s="39" t="s">
        <v>251</v>
      </c>
      <c r="P34" s="39" t="b">
        <f t="shared" ref="P34:P49" si="12">$B$14</f>
        <v>0</v>
      </c>
      <c r="Q34" s="3" t="str">
        <f t="shared" ref="Q34:Q49" si="13">$B$15</f>
        <v>A/360</v>
      </c>
      <c r="R34" s="11" t="b">
        <v>0</v>
      </c>
      <c r="S34" s="34">
        <f t="shared" si="10"/>
        <v>1</v>
      </c>
      <c r="T34" s="7" t="b">
        <v>1</v>
      </c>
    </row>
    <row r="35" spans="1:20" x14ac:dyDescent="0.25">
      <c r="A35" s="3" t="s">
        <v>45</v>
      </c>
      <c r="B35" s="11" t="b">
        <v>0</v>
      </c>
      <c r="C35" s="11" t="b">
        <v>0</v>
      </c>
      <c r="D35" s="23"/>
      <c r="F35" s="23"/>
      <c r="G35" s="23"/>
      <c r="I35" s="14" t="str">
        <f>_xll.qlDepositRateHelper2(J35,K35,L35,M35,N35,O35,P35,Q35,R35,S35,T35)</f>
        <v>obj_00055#0008</v>
      </c>
      <c r="K35" s="13" t="str">
        <f t="shared" si="9"/>
        <v>obj_00027#0008</v>
      </c>
      <c r="L35" s="90" t="s">
        <v>232</v>
      </c>
      <c r="M35" s="90">
        <v>2</v>
      </c>
      <c r="N35" s="41" t="str">
        <f t="shared" si="11"/>
        <v>Australia</v>
      </c>
      <c r="O35" s="39" t="s">
        <v>251</v>
      </c>
      <c r="P35" s="39" t="b">
        <f t="shared" si="12"/>
        <v>0</v>
      </c>
      <c r="Q35" s="3" t="str">
        <f t="shared" si="13"/>
        <v>A/360</v>
      </c>
      <c r="R35" s="11" t="b">
        <v>0</v>
      </c>
      <c r="S35" s="34">
        <f t="shared" si="10"/>
        <v>1</v>
      </c>
      <c r="T35" s="7" t="b">
        <v>1</v>
      </c>
    </row>
    <row r="36" spans="1:20" x14ac:dyDescent="0.25">
      <c r="A36" s="3" t="s">
        <v>46</v>
      </c>
      <c r="B36" s="34">
        <f>$B$4</f>
        <v>1</v>
      </c>
      <c r="C36" s="34">
        <f>$B$4</f>
        <v>1</v>
      </c>
      <c r="D36" s="23"/>
      <c r="F36" s="23"/>
      <c r="G36" s="23"/>
      <c r="I36" s="14" t="str">
        <f>_xll.qlDepositRateHelper2(J36,K36,L36,M36,N36,O36,P36,Q36,R36,S36,T36)</f>
        <v>obj_00056#0008</v>
      </c>
      <c r="K36" s="13" t="str">
        <f t="shared" si="9"/>
        <v>obj_0002a#0008</v>
      </c>
      <c r="L36" s="90" t="s">
        <v>236</v>
      </c>
      <c r="M36" s="90">
        <v>2</v>
      </c>
      <c r="N36" s="41" t="str">
        <f t="shared" si="11"/>
        <v>Australia</v>
      </c>
      <c r="O36" s="39" t="s">
        <v>251</v>
      </c>
      <c r="P36" s="39" t="b">
        <f t="shared" si="12"/>
        <v>0</v>
      </c>
      <c r="Q36" s="3" t="str">
        <f t="shared" si="13"/>
        <v>A/360</v>
      </c>
      <c r="R36" s="11" t="b">
        <v>0</v>
      </c>
      <c r="S36" s="34">
        <f t="shared" si="10"/>
        <v>1</v>
      </c>
      <c r="T36" s="7" t="b">
        <v>1</v>
      </c>
    </row>
    <row r="37" spans="1:20" x14ac:dyDescent="0.25">
      <c r="A37" s="3" t="s">
        <v>47</v>
      </c>
      <c r="B37" s="11" t="b">
        <v>1</v>
      </c>
      <c r="C37" s="11" t="b">
        <v>1</v>
      </c>
      <c r="D37" s="23"/>
      <c r="F37" s="23"/>
      <c r="G37" s="23"/>
      <c r="I37" s="14" t="str">
        <f>_xll.qlDepositRateHelper2(J37,K37,L37,M37,N37,O37,P37,Q37,R37,S37,T37)</f>
        <v>obj_00052#0008</v>
      </c>
      <c r="K37" s="13" t="str">
        <f t="shared" si="9"/>
        <v>obj_0003b#0008</v>
      </c>
      <c r="L37" s="90" t="s">
        <v>237</v>
      </c>
      <c r="M37" s="90">
        <f>M36</f>
        <v>2</v>
      </c>
      <c r="N37" s="41" t="str">
        <f t="shared" si="11"/>
        <v>Australia</v>
      </c>
      <c r="O37" s="39" t="s">
        <v>251</v>
      </c>
      <c r="P37" s="39" t="b">
        <f t="shared" si="12"/>
        <v>0</v>
      </c>
      <c r="Q37" s="3" t="str">
        <f t="shared" si="13"/>
        <v>A/360</v>
      </c>
      <c r="R37" s="11" t="b">
        <v>0</v>
      </c>
      <c r="S37" s="34">
        <f t="shared" si="10"/>
        <v>1</v>
      </c>
      <c r="T37" s="7" t="b">
        <v>1</v>
      </c>
    </row>
    <row r="38" spans="1:20" x14ac:dyDescent="0.25">
      <c r="D38" s="23"/>
      <c r="E38" s="3" t="str">
        <f>_xll.ohRangeRetrieveError(E36)</f>
        <v/>
      </c>
      <c r="F38" s="23"/>
      <c r="G38" s="23"/>
      <c r="I38" s="14" t="str">
        <f>_xll.qlDepositRateHelper2(J38,K38,L38,M38,N38,O38,P38,Q38,R38,S38,T38)</f>
        <v>obj_0004c#0008</v>
      </c>
      <c r="K38" s="13" t="str">
        <f t="shared" si="9"/>
        <v>obj_0003d#0008</v>
      </c>
      <c r="L38" s="90" t="s">
        <v>238</v>
      </c>
      <c r="M38" s="90">
        <f t="shared" ref="M38:M49" si="14">M37</f>
        <v>2</v>
      </c>
      <c r="N38" s="41" t="str">
        <f t="shared" si="11"/>
        <v>Australia</v>
      </c>
      <c r="O38" s="39" t="s">
        <v>251</v>
      </c>
      <c r="P38" s="39" t="b">
        <f t="shared" si="12"/>
        <v>0</v>
      </c>
      <c r="Q38" s="3" t="str">
        <f t="shared" si="13"/>
        <v>A/360</v>
      </c>
      <c r="R38" s="11" t="b">
        <v>0</v>
      </c>
      <c r="S38" s="34">
        <f t="shared" si="10"/>
        <v>1</v>
      </c>
      <c r="T38" s="7" t="b">
        <v>1</v>
      </c>
    </row>
    <row r="39" spans="1:20" x14ac:dyDescent="0.25">
      <c r="D39" s="23"/>
      <c r="F39" s="23"/>
      <c r="G39" s="23"/>
      <c r="I39" s="14" t="str">
        <f>_xll.qlDepositRateHelper2(J39,K39,L39,M39,N39,O39,P39,Q39,R39,S39,T39)</f>
        <v>obj_0005c#0008</v>
      </c>
      <c r="K39" s="13" t="str">
        <f t="shared" si="9"/>
        <v>obj_00030#0008</v>
      </c>
      <c r="L39" s="90" t="s">
        <v>0</v>
      </c>
      <c r="M39" s="90">
        <f t="shared" si="14"/>
        <v>2</v>
      </c>
      <c r="N39" s="41" t="str">
        <f t="shared" si="11"/>
        <v>Australia</v>
      </c>
      <c r="O39" s="39" t="s">
        <v>251</v>
      </c>
      <c r="P39" s="39" t="b">
        <f t="shared" si="12"/>
        <v>0</v>
      </c>
      <c r="Q39" s="3" t="str">
        <f t="shared" si="13"/>
        <v>A/360</v>
      </c>
      <c r="R39" s="11" t="b">
        <v>0</v>
      </c>
      <c r="S39" s="34">
        <f t="shared" si="10"/>
        <v>1</v>
      </c>
      <c r="T39" s="7" t="b">
        <v>1</v>
      </c>
    </row>
    <row r="40" spans="1:20" x14ac:dyDescent="0.25">
      <c r="D40" s="23"/>
      <c r="F40" s="23"/>
      <c r="G40" s="23"/>
      <c r="I40" s="14" t="str">
        <f>_xll.qlDepositRateHelper2(J40,K40,L40,M40,N40,O40,P40,Q40,R40,S40,T40)</f>
        <v>obj_00047#0008</v>
      </c>
      <c r="K40" s="13" t="str">
        <f t="shared" si="9"/>
        <v>obj_00032#0008</v>
      </c>
      <c r="L40" s="90" t="s">
        <v>239</v>
      </c>
      <c r="M40" s="90">
        <f t="shared" si="14"/>
        <v>2</v>
      </c>
      <c r="N40" s="41" t="str">
        <f t="shared" si="11"/>
        <v>Australia</v>
      </c>
      <c r="O40" s="39" t="s">
        <v>251</v>
      </c>
      <c r="P40" s="39" t="b">
        <f t="shared" si="12"/>
        <v>0</v>
      </c>
      <c r="Q40" s="3" t="str">
        <f t="shared" si="13"/>
        <v>A/360</v>
      </c>
      <c r="R40" s="11" t="b">
        <v>0</v>
      </c>
      <c r="S40" s="34">
        <f t="shared" si="10"/>
        <v>1</v>
      </c>
      <c r="T40" s="7" t="b">
        <v>1</v>
      </c>
    </row>
    <row r="41" spans="1:20" x14ac:dyDescent="0.25">
      <c r="A41" s="8" t="s">
        <v>50</v>
      </c>
      <c r="B41" s="3" t="s">
        <v>253</v>
      </c>
      <c r="D41" s="23"/>
      <c r="F41" s="23"/>
      <c r="G41" s="23"/>
      <c r="I41" s="14" t="str">
        <f>_xll.qlDepositRateHelper2(J41,K41,L41,M41,N41,O41,P41,Q41,R41,S41,T41)</f>
        <v>obj_0004a#0008</v>
      </c>
      <c r="K41" s="13" t="str">
        <f t="shared" si="9"/>
        <v>obj_00039#0008</v>
      </c>
      <c r="L41" s="90" t="s">
        <v>1</v>
      </c>
      <c r="M41" s="90">
        <f t="shared" si="14"/>
        <v>2</v>
      </c>
      <c r="N41" s="41" t="str">
        <f t="shared" si="11"/>
        <v>Australia</v>
      </c>
      <c r="O41" s="39" t="s">
        <v>251</v>
      </c>
      <c r="P41" s="39" t="b">
        <f t="shared" si="12"/>
        <v>0</v>
      </c>
      <c r="Q41" s="3" t="str">
        <f t="shared" si="13"/>
        <v>A/360</v>
      </c>
      <c r="R41" s="11" t="b">
        <v>0</v>
      </c>
      <c r="S41" s="34">
        <f t="shared" si="10"/>
        <v>1</v>
      </c>
      <c r="T41" s="7" t="b">
        <v>1</v>
      </c>
    </row>
    <row r="42" spans="1:20" x14ac:dyDescent="0.25">
      <c r="A42" s="15" t="str">
        <f>B24</f>
        <v>AUDZC#0008</v>
      </c>
      <c r="D42" s="23"/>
      <c r="F42" s="23"/>
      <c r="G42" s="23"/>
      <c r="I42" s="14" t="str">
        <f>_xll.qlDepositRateHelper2(J42,K42,L42,M42,N42,O42,P42,Q42,R42,S42,T42)</f>
        <v>obj_0004e#0008</v>
      </c>
      <c r="K42" s="13" t="str">
        <f t="shared" si="9"/>
        <v>obj_00033#0008</v>
      </c>
      <c r="L42" s="90" t="s">
        <v>241</v>
      </c>
      <c r="M42" s="90">
        <f t="shared" si="14"/>
        <v>2</v>
      </c>
      <c r="N42" s="41" t="str">
        <f t="shared" si="11"/>
        <v>Australia</v>
      </c>
      <c r="O42" s="39" t="s">
        <v>251</v>
      </c>
      <c r="P42" s="39" t="b">
        <f t="shared" si="12"/>
        <v>0</v>
      </c>
      <c r="Q42" s="3" t="str">
        <f t="shared" si="13"/>
        <v>A/360</v>
      </c>
      <c r="R42" s="11" t="b">
        <v>0</v>
      </c>
      <c r="S42" s="34">
        <f t="shared" si="10"/>
        <v>1</v>
      </c>
      <c r="T42" s="7" t="b">
        <v>1</v>
      </c>
    </row>
    <row r="43" spans="1:20" x14ac:dyDescent="0.25">
      <c r="A43" s="16"/>
      <c r="D43" s="23"/>
      <c r="F43" s="23"/>
      <c r="G43" s="23"/>
      <c r="I43" s="14" t="str">
        <f>_xll.qlDepositRateHelper2(J43,K43,L43,M43,N43,O43,P43,Q43,R43,S43,T43)</f>
        <v>obj_00044#0008</v>
      </c>
      <c r="K43" s="13" t="str">
        <f t="shared" si="9"/>
        <v>obj_00038#0008</v>
      </c>
      <c r="L43" s="90" t="s">
        <v>242</v>
      </c>
      <c r="M43" s="90">
        <f t="shared" si="14"/>
        <v>2</v>
      </c>
      <c r="N43" s="41" t="str">
        <f t="shared" si="11"/>
        <v>Australia</v>
      </c>
      <c r="O43" s="39" t="s">
        <v>251</v>
      </c>
      <c r="P43" s="39" t="b">
        <f t="shared" si="12"/>
        <v>0</v>
      </c>
      <c r="Q43" s="3" t="str">
        <f t="shared" si="13"/>
        <v>A/360</v>
      </c>
      <c r="R43" s="11" t="b">
        <v>0</v>
      </c>
      <c r="S43" s="34">
        <f t="shared" si="10"/>
        <v>1</v>
      </c>
      <c r="T43" s="7" t="b">
        <v>1</v>
      </c>
    </row>
    <row r="44" spans="1:20" x14ac:dyDescent="0.25">
      <c r="A44" s="16" t="str">
        <f>B29</f>
        <v>A/360</v>
      </c>
      <c r="D44" s="23"/>
      <c r="F44" s="23"/>
      <c r="G44" s="23"/>
      <c r="I44" s="14" t="str">
        <f>_xll.qlDepositRateHelper2(J44,K44,L44,M44,N44,O44,P44,Q44,R44,S44,T44)</f>
        <v>obj_00050#0008</v>
      </c>
      <c r="K44" s="13" t="str">
        <f t="shared" ref="K44:K49" si="15">I14</f>
        <v>obj_00028#0008</v>
      </c>
      <c r="L44" s="6" t="s">
        <v>69</v>
      </c>
      <c r="M44" s="90">
        <f t="shared" si="14"/>
        <v>2</v>
      </c>
      <c r="N44" s="41" t="str">
        <f t="shared" si="11"/>
        <v>Australia</v>
      </c>
      <c r="O44" s="39" t="s">
        <v>251</v>
      </c>
      <c r="P44" s="39" t="b">
        <f t="shared" si="12"/>
        <v>0</v>
      </c>
      <c r="Q44" s="3" t="str">
        <f t="shared" si="13"/>
        <v>A/360</v>
      </c>
      <c r="R44" s="11" t="b">
        <v>0</v>
      </c>
      <c r="S44" s="34">
        <f t="shared" si="10"/>
        <v>1</v>
      </c>
      <c r="T44" s="7" t="b">
        <v>1</v>
      </c>
    </row>
    <row r="45" spans="1:20" x14ac:dyDescent="0.25">
      <c r="A45" s="16" t="s">
        <v>254</v>
      </c>
      <c r="D45" s="23"/>
      <c r="F45" s="23"/>
      <c r="G45" s="23"/>
      <c r="I45" s="14" t="str">
        <f>_xll.qlDepositRateHelper2(J45,K45,L45,M45,N45,O45,P45,Q45,R45,S45,T45)</f>
        <v>obj_00048#0008</v>
      </c>
      <c r="K45" s="13" t="str">
        <f t="shared" si="15"/>
        <v>obj_00035#0008</v>
      </c>
      <c r="L45" s="6" t="s">
        <v>484</v>
      </c>
      <c r="M45" s="90">
        <f t="shared" si="14"/>
        <v>2</v>
      </c>
      <c r="N45" s="41" t="str">
        <f t="shared" si="11"/>
        <v>Australia</v>
      </c>
      <c r="O45" s="39" t="s">
        <v>251</v>
      </c>
      <c r="P45" s="39" t="b">
        <f t="shared" si="12"/>
        <v>0</v>
      </c>
      <c r="Q45" s="3" t="str">
        <f t="shared" si="13"/>
        <v>A/360</v>
      </c>
      <c r="R45" s="11" t="b">
        <v>0</v>
      </c>
      <c r="S45" s="34">
        <f t="shared" si="10"/>
        <v>1</v>
      </c>
      <c r="T45" s="7" t="b">
        <v>1</v>
      </c>
    </row>
    <row r="46" spans="1:20" x14ac:dyDescent="0.25">
      <c r="A46" s="16" t="s">
        <v>105</v>
      </c>
      <c r="D46" s="23"/>
      <c r="F46" s="23"/>
      <c r="G46" s="23"/>
      <c r="I46" s="14" t="str">
        <f>_xll.qlDepositRateHelper2(J46,K46,L46,M46,N46,O46,P46,Q46,R46,S46,T46)</f>
        <v>obj_00049#0008</v>
      </c>
      <c r="K46" s="13" t="str">
        <f t="shared" si="15"/>
        <v>obj_00036#0008</v>
      </c>
      <c r="L46" s="6" t="s">
        <v>485</v>
      </c>
      <c r="M46" s="90">
        <f t="shared" si="14"/>
        <v>2</v>
      </c>
      <c r="N46" s="41" t="str">
        <f t="shared" si="11"/>
        <v>Australia</v>
      </c>
      <c r="O46" s="39" t="s">
        <v>251</v>
      </c>
      <c r="P46" s="39" t="b">
        <f t="shared" si="12"/>
        <v>0</v>
      </c>
      <c r="Q46" s="3" t="str">
        <f t="shared" si="13"/>
        <v>A/360</v>
      </c>
      <c r="R46" s="11" t="b">
        <v>0</v>
      </c>
      <c r="S46" s="34">
        <f t="shared" si="10"/>
        <v>1</v>
      </c>
      <c r="T46" s="7" t="b">
        <v>1</v>
      </c>
    </row>
    <row r="47" spans="1:20" x14ac:dyDescent="0.25">
      <c r="A47" s="16" t="b">
        <v>1</v>
      </c>
      <c r="D47" s="23"/>
      <c r="F47" s="23"/>
      <c r="G47" s="23"/>
      <c r="H47" s="20"/>
      <c r="I47" s="14" t="str">
        <f>_xll.qlDepositRateHelper2(J47,K47,L47,M47,N47,O47,P47,Q47,R47,S47,T47)</f>
        <v>obj_00054#0008</v>
      </c>
      <c r="K47" s="13" t="str">
        <f t="shared" si="15"/>
        <v>obj_0003c#0008</v>
      </c>
      <c r="L47" s="6" t="s">
        <v>486</v>
      </c>
      <c r="M47" s="90">
        <f t="shared" si="14"/>
        <v>2</v>
      </c>
      <c r="N47" s="41" t="str">
        <f t="shared" si="11"/>
        <v>Australia</v>
      </c>
      <c r="O47" s="39" t="s">
        <v>251</v>
      </c>
      <c r="P47" s="39" t="b">
        <f t="shared" si="12"/>
        <v>0</v>
      </c>
      <c r="Q47" s="3" t="str">
        <f t="shared" si="13"/>
        <v>A/360</v>
      </c>
      <c r="R47" s="11" t="b">
        <v>0</v>
      </c>
      <c r="S47" s="34">
        <f t="shared" si="10"/>
        <v>1</v>
      </c>
      <c r="T47" s="7" t="b">
        <v>1</v>
      </c>
    </row>
    <row r="48" spans="1:20" x14ac:dyDescent="0.25">
      <c r="A48" s="16">
        <f>B4</f>
        <v>1</v>
      </c>
      <c r="D48" s="23"/>
      <c r="F48" s="23"/>
      <c r="G48" s="23"/>
      <c r="H48" s="20"/>
      <c r="I48" s="14" t="str">
        <f>_xll.qlDepositRateHelper2(J48,K48,L48,M48,N48,O48,P48,Q48,R48,S48,T48)</f>
        <v>obj_0004d#0008</v>
      </c>
      <c r="K48" s="13" t="str">
        <f t="shared" si="15"/>
        <v>obj_0002f#0008</v>
      </c>
      <c r="L48" s="6" t="s">
        <v>487</v>
      </c>
      <c r="M48" s="90">
        <f t="shared" si="14"/>
        <v>2</v>
      </c>
      <c r="N48" s="41" t="str">
        <f t="shared" si="11"/>
        <v>Australia</v>
      </c>
      <c r="O48" s="39" t="s">
        <v>251</v>
      </c>
      <c r="P48" s="39" t="b">
        <f t="shared" si="12"/>
        <v>0</v>
      </c>
      <c r="Q48" s="3" t="str">
        <f t="shared" si="13"/>
        <v>A/360</v>
      </c>
      <c r="R48" s="11" t="b">
        <v>0</v>
      </c>
      <c r="S48" s="34">
        <f t="shared" si="10"/>
        <v>1</v>
      </c>
      <c r="T48" s="7" t="b">
        <v>1</v>
      </c>
    </row>
    <row r="49" spans="1:26" x14ac:dyDescent="0.25">
      <c r="D49" s="23"/>
      <c r="F49" s="23"/>
      <c r="G49" s="23"/>
      <c r="H49" s="20"/>
      <c r="I49" s="14" t="str">
        <f>_xll.qlDepositRateHelper2(J49,K49,L49,M49,N49,O49,P49,Q49,R49,S49,T49)</f>
        <v>obj_0005e#0008</v>
      </c>
      <c r="K49" s="13" t="str">
        <f t="shared" si="15"/>
        <v>obj_0003e#0008</v>
      </c>
      <c r="L49" s="6" t="s">
        <v>488</v>
      </c>
      <c r="M49" s="90">
        <f t="shared" si="14"/>
        <v>2</v>
      </c>
      <c r="N49" s="41" t="str">
        <f t="shared" si="11"/>
        <v>Australia</v>
      </c>
      <c r="O49" s="39" t="s">
        <v>251</v>
      </c>
      <c r="P49" s="39" t="b">
        <f t="shared" si="12"/>
        <v>0</v>
      </c>
      <c r="Q49" s="3" t="str">
        <f t="shared" si="13"/>
        <v>A/360</v>
      </c>
      <c r="R49" s="11" t="b">
        <v>0</v>
      </c>
      <c r="S49" s="34">
        <f t="shared" si="10"/>
        <v>1</v>
      </c>
      <c r="T49" s="7" t="b">
        <v>1</v>
      </c>
    </row>
    <row r="50" spans="1:26" x14ac:dyDescent="0.25">
      <c r="D50" s="23"/>
      <c r="F50" s="23"/>
      <c r="G50" s="23"/>
      <c r="H50" s="20"/>
      <c r="I50" s="14"/>
      <c r="K50" s="13"/>
      <c r="L50" s="6"/>
      <c r="M50" s="6"/>
      <c r="O50" s="6"/>
      <c r="P50" s="6"/>
    </row>
    <row r="51" spans="1:26" x14ac:dyDescent="0.25">
      <c r="B51" s="3" t="str">
        <f>_xll.ohRangeRetrieveError(B52)</f>
        <v/>
      </c>
      <c r="D51" s="23"/>
      <c r="F51" s="23"/>
      <c r="G51" s="23"/>
      <c r="H51" s="20"/>
      <c r="I51" s="14"/>
      <c r="K51" s="13"/>
      <c r="L51" s="6"/>
      <c r="M51" s="6"/>
      <c r="O51" s="6"/>
      <c r="P51" s="6"/>
    </row>
    <row r="52" spans="1:26" ht="15.75" x14ac:dyDescent="0.25">
      <c r="A52" s="8" t="s">
        <v>260</v>
      </c>
      <c r="B52" s="83" t="str">
        <f>_xll.qlLibor(B53,B54,B55,B56,B57,B58,B59)</f>
        <v>AULIBOR3M#0008</v>
      </c>
      <c r="D52" s="23"/>
      <c r="F52" s="23"/>
      <c r="G52" s="23"/>
      <c r="H52" s="20"/>
      <c r="J52" s="108"/>
      <c r="K52" s="13"/>
      <c r="L52" s="6"/>
      <c r="M52" s="108"/>
      <c r="N52" s="108"/>
      <c r="O52" s="108"/>
      <c r="P52" s="108"/>
    </row>
    <row r="53" spans="1:26" x14ac:dyDescent="0.25">
      <c r="A53" s="3" t="s">
        <v>35</v>
      </c>
      <c r="B53" s="3" t="s">
        <v>494</v>
      </c>
      <c r="G53" s="23"/>
      <c r="H53" s="20"/>
      <c r="I53" s="13"/>
      <c r="J53" s="108" t="s">
        <v>10</v>
      </c>
      <c r="K53" s="108" t="s">
        <v>23</v>
      </c>
      <c r="L53" s="108" t="s">
        <v>53</v>
      </c>
      <c r="M53" s="108" t="s">
        <v>12</v>
      </c>
      <c r="N53" s="108" t="s">
        <v>17</v>
      </c>
      <c r="O53" s="108" t="s">
        <v>54</v>
      </c>
      <c r="P53" s="108" t="s">
        <v>55</v>
      </c>
      <c r="Q53" s="108" t="s">
        <v>56</v>
      </c>
      <c r="R53" s="108" t="s">
        <v>57</v>
      </c>
      <c r="S53" s="108" t="s">
        <v>58</v>
      </c>
      <c r="T53" s="108" t="s">
        <v>59</v>
      </c>
      <c r="U53" s="21" t="s">
        <v>60</v>
      </c>
      <c r="V53" s="108" t="s">
        <v>61</v>
      </c>
      <c r="W53" s="108" t="s">
        <v>62</v>
      </c>
      <c r="X53" s="108" t="s">
        <v>13</v>
      </c>
      <c r="Y53" s="108" t="s">
        <v>14</v>
      </c>
      <c r="Z53" s="108" t="s">
        <v>15</v>
      </c>
    </row>
    <row r="54" spans="1:26" x14ac:dyDescent="0.25">
      <c r="A54" s="3" t="s">
        <v>258</v>
      </c>
      <c r="B54" s="3" t="s">
        <v>365</v>
      </c>
      <c r="C54" s="3" t="b">
        <f>_xll.qlIndexAddFixings(B52,D54:D136,E54:E136,TRUE)</f>
        <v>1</v>
      </c>
      <c r="D54" s="2">
        <v>44435</v>
      </c>
      <c r="E54" s="109">
        <v>1.1888000000000001E-3</v>
      </c>
      <c r="G54" s="23"/>
      <c r="H54" s="20"/>
      <c r="I54" s="13" t="str">
        <f>_xll.qlSwapRateHelper2(J54,K54,L54,M54,N54,O54,P54,Q54,R54,S54,T54,U54,V54,W54,X54,Y54,Z54)</f>
        <v>obj_00058#0008</v>
      </c>
      <c r="K54" s="6" t="str">
        <f>I20</f>
        <v>obj_00025#0008</v>
      </c>
      <c r="L54" s="6">
        <v>2</v>
      </c>
      <c r="M54" s="6" t="s">
        <v>2</v>
      </c>
      <c r="N54" s="2" t="str">
        <f>$B$27</f>
        <v>Australia</v>
      </c>
      <c r="O54" s="3" t="s">
        <v>105</v>
      </c>
      <c r="P54" s="3" t="str">
        <f>$O$43</f>
        <v>F</v>
      </c>
      <c r="Q54" s="3" t="str">
        <f>$Q$43</f>
        <v>A/360</v>
      </c>
      <c r="R54" s="3" t="str">
        <f>$B$6</f>
        <v>AU#0008</v>
      </c>
      <c r="S54" s="3">
        <v>0</v>
      </c>
      <c r="T54" s="3" t="s">
        <v>63</v>
      </c>
      <c r="X54" s="11" t="b">
        <v>0</v>
      </c>
      <c r="Y54" s="34">
        <f t="shared" ref="Y54:Y65" si="16">$B$4</f>
        <v>1</v>
      </c>
      <c r="Z54" s="7" t="b">
        <v>1</v>
      </c>
    </row>
    <row r="55" spans="1:26" x14ac:dyDescent="0.25">
      <c r="A55" s="3" t="s">
        <v>259</v>
      </c>
      <c r="B55" s="3" t="s">
        <v>1</v>
      </c>
      <c r="D55" s="2">
        <v>44439</v>
      </c>
      <c r="E55" s="3">
        <v>1.1762999999999999E-3</v>
      </c>
      <c r="G55" s="23"/>
      <c r="I55" s="13" t="str">
        <f>_xll.qlSwapRateHelper2(J55,K55,L55,M55,N55,O55,P55,Q55,R55,S55,T55,U55,V55,W55,X55,Y55,Z55)</f>
        <v>obj_00059#0008</v>
      </c>
      <c r="K55" s="6" t="str">
        <f t="shared" ref="K55:K65" si="17">I21</f>
        <v>obj_0002b#0008</v>
      </c>
      <c r="L55" s="6">
        <v>2</v>
      </c>
      <c r="M55" s="6" t="s">
        <v>3</v>
      </c>
      <c r="N55" s="2" t="str">
        <f t="shared" ref="N55:N65" si="18">$B$27</f>
        <v>Australia</v>
      </c>
      <c r="O55" s="3" t="s">
        <v>105</v>
      </c>
      <c r="P55" s="3" t="str">
        <f t="shared" ref="P55:P65" si="19">$O$43</f>
        <v>F</v>
      </c>
      <c r="Q55" s="3" t="str">
        <f t="shared" ref="Q55:Q65" si="20">$Q$43</f>
        <v>A/360</v>
      </c>
      <c r="R55" s="3" t="str">
        <f t="shared" ref="R55:R65" si="21">$B$6</f>
        <v>AU#0008</v>
      </c>
      <c r="S55" s="3">
        <v>0</v>
      </c>
      <c r="T55" s="3" t="s">
        <v>63</v>
      </c>
      <c r="X55" s="11" t="b">
        <v>0</v>
      </c>
      <c r="Y55" s="34">
        <f t="shared" si="16"/>
        <v>1</v>
      </c>
      <c r="Z55" s="7" t="b">
        <v>1</v>
      </c>
    </row>
    <row r="56" spans="1:26" x14ac:dyDescent="0.25">
      <c r="A56" s="3" t="s">
        <v>117</v>
      </c>
      <c r="B56" s="86" t="str">
        <f>B24</f>
        <v>AUDZC#0008</v>
      </c>
      <c r="D56" s="2">
        <v>44442</v>
      </c>
      <c r="E56" s="3">
        <v>1.155E-3</v>
      </c>
      <c r="G56" s="23"/>
      <c r="I56" s="13" t="str">
        <f>_xll.qlSwapRateHelper2(J56,K56,L56,M56,N56,O56,P56,Q56,R56,S56,T56,U56,V56,W56,X56,Y56,Z56)</f>
        <v>obj_0005f#0008</v>
      </c>
      <c r="K56" s="6" t="str">
        <f t="shared" si="17"/>
        <v>obj_00042#0008</v>
      </c>
      <c r="L56" s="6">
        <v>2</v>
      </c>
      <c r="M56" s="6" t="s">
        <v>4</v>
      </c>
      <c r="N56" s="2" t="str">
        <f t="shared" si="18"/>
        <v>Australia</v>
      </c>
      <c r="O56" s="3" t="s">
        <v>105</v>
      </c>
      <c r="P56" s="3" t="str">
        <f t="shared" si="19"/>
        <v>F</v>
      </c>
      <c r="Q56" s="3" t="str">
        <f t="shared" si="20"/>
        <v>A/360</v>
      </c>
      <c r="R56" s="3" t="str">
        <f t="shared" si="21"/>
        <v>AU#0008</v>
      </c>
      <c r="S56" s="3">
        <v>0</v>
      </c>
      <c r="T56" s="3" t="s">
        <v>63</v>
      </c>
      <c r="X56" s="11" t="b">
        <v>0</v>
      </c>
      <c r="Y56" s="34">
        <f t="shared" si="16"/>
        <v>1</v>
      </c>
      <c r="Z56" s="7" t="b">
        <v>1</v>
      </c>
    </row>
    <row r="57" spans="1:26" x14ac:dyDescent="0.25">
      <c r="A57" s="3" t="s">
        <v>45</v>
      </c>
      <c r="B57" s="11" t="b">
        <v>0</v>
      </c>
      <c r="D57" s="2">
        <v>44445</v>
      </c>
      <c r="E57" s="3">
        <v>1.1463000000000001E-3</v>
      </c>
      <c r="G57" s="23"/>
      <c r="I57" s="13" t="str">
        <f>_xll.qlSwapRateHelper2(J57,K57,L57,M57,N57,O57,P57,Q57,R57,S57,T57,U57,V57,W57,X57,Y57,Z57)</f>
        <v>obj_0004f#0008</v>
      </c>
      <c r="K57" s="6" t="str">
        <f t="shared" si="17"/>
        <v>obj_0002c#0008</v>
      </c>
      <c r="L57" s="6">
        <v>2</v>
      </c>
      <c r="M57" s="6" t="s">
        <v>109</v>
      </c>
      <c r="N57" s="2" t="str">
        <f t="shared" si="18"/>
        <v>Australia</v>
      </c>
      <c r="O57" s="3" t="s">
        <v>105</v>
      </c>
      <c r="P57" s="3" t="str">
        <f t="shared" si="19"/>
        <v>F</v>
      </c>
      <c r="Q57" s="3" t="str">
        <f t="shared" si="20"/>
        <v>A/360</v>
      </c>
      <c r="R57" s="3" t="str">
        <f t="shared" si="21"/>
        <v>AU#0008</v>
      </c>
      <c r="S57" s="3">
        <v>0</v>
      </c>
      <c r="T57" s="3" t="s">
        <v>63</v>
      </c>
      <c r="X57" s="11" t="b">
        <v>0</v>
      </c>
      <c r="Y57" s="34">
        <f t="shared" si="16"/>
        <v>1</v>
      </c>
      <c r="Z57" s="7" t="b">
        <v>1</v>
      </c>
    </row>
    <row r="58" spans="1:26" x14ac:dyDescent="0.25">
      <c r="A58" s="3" t="s">
        <v>46</v>
      </c>
      <c r="B58" s="34">
        <f>$B$4</f>
        <v>1</v>
      </c>
      <c r="D58" s="2">
        <v>44446</v>
      </c>
      <c r="E58" s="3">
        <v>1.16E-3</v>
      </c>
      <c r="G58" s="23"/>
      <c r="I58" s="13" t="str">
        <f>_xll.qlSwapRateHelper2(J58,K58,L58,M58,N58,O58,P58,Q58,R58,S58,T58,U58,V58,W58,X58,Y58,Z58)</f>
        <v>obj_0005a#0008</v>
      </c>
      <c r="K58" s="6" t="str">
        <f t="shared" si="17"/>
        <v>obj_0002e#0008</v>
      </c>
      <c r="L58" s="6">
        <v>2</v>
      </c>
      <c r="M58" s="6" t="s">
        <v>5</v>
      </c>
      <c r="N58" s="2" t="str">
        <f t="shared" si="18"/>
        <v>Australia</v>
      </c>
      <c r="O58" s="3" t="s">
        <v>105</v>
      </c>
      <c r="P58" s="3" t="str">
        <f t="shared" si="19"/>
        <v>F</v>
      </c>
      <c r="Q58" s="3" t="str">
        <f t="shared" si="20"/>
        <v>A/360</v>
      </c>
      <c r="R58" s="3" t="str">
        <f t="shared" si="21"/>
        <v>AU#0008</v>
      </c>
      <c r="S58" s="3">
        <v>0</v>
      </c>
      <c r="T58" s="3" t="s">
        <v>63</v>
      </c>
      <c r="X58" s="11" t="b">
        <v>0</v>
      </c>
      <c r="Y58" s="34">
        <f t="shared" si="16"/>
        <v>1</v>
      </c>
      <c r="Z58" s="7" t="b">
        <v>1</v>
      </c>
    </row>
    <row r="59" spans="1:26" x14ac:dyDescent="0.25">
      <c r="A59" s="3" t="s">
        <v>47</v>
      </c>
      <c r="B59" s="11" t="b">
        <v>1</v>
      </c>
      <c r="D59" s="2">
        <v>44447</v>
      </c>
      <c r="E59" s="3">
        <v>1.1575000000000001E-3</v>
      </c>
      <c r="G59" s="23"/>
      <c r="I59" s="13" t="str">
        <f>_xll.qlSwapRateHelper2(J59,K59,L59,M59,N59,O59,P59,Q59,R59,S59,T59,U59,V59,W59,X59,Y59,Z59)</f>
        <v>obj_00053#0008</v>
      </c>
      <c r="K59" s="6" t="str">
        <f t="shared" si="17"/>
        <v>obj_0003f#0008</v>
      </c>
      <c r="L59" s="6">
        <v>2</v>
      </c>
      <c r="M59" s="6" t="s">
        <v>6</v>
      </c>
      <c r="N59" s="2" t="str">
        <f t="shared" si="18"/>
        <v>Australia</v>
      </c>
      <c r="O59" s="3" t="s">
        <v>105</v>
      </c>
      <c r="P59" s="3" t="str">
        <f t="shared" si="19"/>
        <v>F</v>
      </c>
      <c r="Q59" s="3" t="str">
        <f t="shared" si="20"/>
        <v>A/360</v>
      </c>
      <c r="R59" s="3" t="str">
        <f t="shared" si="21"/>
        <v>AU#0008</v>
      </c>
      <c r="S59" s="3">
        <v>0</v>
      </c>
      <c r="T59" s="3" t="s">
        <v>63</v>
      </c>
      <c r="X59" s="11" t="b">
        <v>0</v>
      </c>
      <c r="Y59" s="34">
        <f t="shared" si="16"/>
        <v>1</v>
      </c>
      <c r="Z59" s="7" t="b">
        <v>1</v>
      </c>
    </row>
    <row r="60" spans="1:26" x14ac:dyDescent="0.25">
      <c r="D60" s="2">
        <v>44448</v>
      </c>
      <c r="E60" s="3">
        <v>1.1413E-3</v>
      </c>
      <c r="G60" s="23"/>
      <c r="I60" s="13" t="str">
        <f>_xll.qlSwapRateHelper2(J60,K60,L60,M60,N60,O60,P60,Q60,R60,S60,T60,U60,V60,W60,X60,Y60,Z60)</f>
        <v>obj_00045#0008</v>
      </c>
      <c r="K60" s="6" t="str">
        <f t="shared" si="17"/>
        <v>obj_0002d#0008</v>
      </c>
      <c r="L60" s="6">
        <v>2</v>
      </c>
      <c r="M60" s="6" t="s">
        <v>7</v>
      </c>
      <c r="N60" s="2" t="str">
        <f t="shared" si="18"/>
        <v>Australia</v>
      </c>
      <c r="O60" s="3" t="s">
        <v>105</v>
      </c>
      <c r="P60" s="3" t="str">
        <f t="shared" si="19"/>
        <v>F</v>
      </c>
      <c r="Q60" s="3" t="str">
        <f t="shared" si="20"/>
        <v>A/360</v>
      </c>
      <c r="R60" s="3" t="str">
        <f t="shared" si="21"/>
        <v>AU#0008</v>
      </c>
      <c r="S60" s="3">
        <v>0</v>
      </c>
      <c r="T60" s="3" t="s">
        <v>63</v>
      </c>
      <c r="X60" s="11" t="b">
        <v>0</v>
      </c>
      <c r="Y60" s="34">
        <f t="shared" si="16"/>
        <v>1</v>
      </c>
      <c r="Z60" s="7" t="b">
        <v>1</v>
      </c>
    </row>
    <row r="61" spans="1:26" x14ac:dyDescent="0.25">
      <c r="D61" s="2">
        <v>44449</v>
      </c>
      <c r="E61" s="3">
        <v>1.1575000000000001E-3</v>
      </c>
      <c r="G61" s="23"/>
      <c r="I61" s="13" t="str">
        <f>_xll.qlSwapRateHelper2(J61,K61,L61,M61,N61,O61,P61,Q61,R61,S61,T61,U61,V61,W61,X61,Y61,Z61)</f>
        <v>obj_0005d#0008</v>
      </c>
      <c r="K61" s="6" t="str">
        <f t="shared" si="17"/>
        <v>obj_00034#0008</v>
      </c>
      <c r="L61" s="6">
        <v>2</v>
      </c>
      <c r="M61" s="6" t="s">
        <v>243</v>
      </c>
      <c r="N61" s="2" t="str">
        <f t="shared" si="18"/>
        <v>Australia</v>
      </c>
      <c r="O61" s="3" t="s">
        <v>105</v>
      </c>
      <c r="P61" s="3" t="str">
        <f t="shared" si="19"/>
        <v>F</v>
      </c>
      <c r="Q61" s="3" t="str">
        <f t="shared" si="20"/>
        <v>A/360</v>
      </c>
      <c r="R61" s="3" t="str">
        <f t="shared" si="21"/>
        <v>AU#0008</v>
      </c>
      <c r="S61" s="3">
        <v>0</v>
      </c>
      <c r="T61" s="3" t="s">
        <v>63</v>
      </c>
      <c r="X61" s="11" t="b">
        <v>0</v>
      </c>
      <c r="Y61" s="34">
        <f t="shared" si="16"/>
        <v>1</v>
      </c>
      <c r="Z61" s="7" t="b">
        <v>1</v>
      </c>
    </row>
    <row r="62" spans="1:26" x14ac:dyDescent="0.25">
      <c r="D62" s="2">
        <v>44452</v>
      </c>
      <c r="E62" s="3">
        <v>1.16E-3</v>
      </c>
      <c r="G62" s="23"/>
      <c r="I62" s="13" t="str">
        <f>_xll.qlSwapRateHelper2(J62,K62,L62,M62,N62,O62,P62,Q62,R62,S62,T62,U62,V62,W62,X62,Y62,Z62)</f>
        <v>obj_00043#0008</v>
      </c>
      <c r="K62" s="6" t="str">
        <f t="shared" si="17"/>
        <v>obj_00040#0008</v>
      </c>
      <c r="L62" s="6">
        <v>2</v>
      </c>
      <c r="M62" s="6" t="s">
        <v>246</v>
      </c>
      <c r="N62" s="2" t="str">
        <f t="shared" si="18"/>
        <v>Australia</v>
      </c>
      <c r="O62" s="3" t="s">
        <v>105</v>
      </c>
      <c r="P62" s="3" t="str">
        <f t="shared" si="19"/>
        <v>F</v>
      </c>
      <c r="Q62" s="3" t="str">
        <f t="shared" si="20"/>
        <v>A/360</v>
      </c>
      <c r="R62" s="3" t="str">
        <f t="shared" si="21"/>
        <v>AU#0008</v>
      </c>
      <c r="S62" s="3">
        <v>0</v>
      </c>
      <c r="T62" s="3" t="s">
        <v>63</v>
      </c>
      <c r="X62" s="11" t="b">
        <v>0</v>
      </c>
      <c r="Y62" s="34">
        <f t="shared" si="16"/>
        <v>1</v>
      </c>
      <c r="Z62" s="7" t="b">
        <v>1</v>
      </c>
    </row>
    <row r="63" spans="1:26" x14ac:dyDescent="0.25">
      <c r="D63" s="2">
        <v>44453</v>
      </c>
      <c r="E63" s="3">
        <v>1.1799999999999998E-3</v>
      </c>
      <c r="G63" s="23"/>
      <c r="I63" s="13" t="str">
        <f>_xll.qlSwapRateHelper2(J63,K63,L63,M63,N63,O63,P63,Q63,R63,S63,T63,U63,V63,W63,X63,Y63,Z63)</f>
        <v>obj_00046#0008</v>
      </c>
      <c r="K63" s="6" t="str">
        <f t="shared" si="17"/>
        <v>obj_00026#0008</v>
      </c>
      <c r="L63" s="6">
        <v>2</v>
      </c>
      <c r="M63" s="6" t="s">
        <v>247</v>
      </c>
      <c r="N63" s="2" t="str">
        <f t="shared" si="18"/>
        <v>Australia</v>
      </c>
      <c r="O63" s="3" t="s">
        <v>105</v>
      </c>
      <c r="P63" s="3" t="str">
        <f t="shared" si="19"/>
        <v>F</v>
      </c>
      <c r="Q63" s="3" t="str">
        <f t="shared" si="20"/>
        <v>A/360</v>
      </c>
      <c r="R63" s="3" t="str">
        <f t="shared" si="21"/>
        <v>AU#0008</v>
      </c>
      <c r="S63" s="3">
        <v>0</v>
      </c>
      <c r="T63" s="3" t="s">
        <v>63</v>
      </c>
      <c r="X63" s="11" t="b">
        <v>0</v>
      </c>
      <c r="Y63" s="34">
        <f t="shared" si="16"/>
        <v>1</v>
      </c>
      <c r="Z63" s="7" t="b">
        <v>1</v>
      </c>
    </row>
    <row r="64" spans="1:26" x14ac:dyDescent="0.25">
      <c r="D64" s="2">
        <v>44454</v>
      </c>
      <c r="E64" s="3">
        <v>1.1999999999999999E-3</v>
      </c>
      <c r="G64" s="23"/>
      <c r="I64" s="13" t="str">
        <f>_xll.qlSwapRateHelper2(J64,K64,L64,M64,N64,O64,P64,Q64,R64,S64,T64,U64,V64,W64,X64,Y64,Z64)</f>
        <v>obj_00051#0008</v>
      </c>
      <c r="K64" s="6" t="str">
        <f t="shared" si="17"/>
        <v>obj_00031#0008</v>
      </c>
      <c r="L64" s="6">
        <v>2</v>
      </c>
      <c r="M64" s="6" t="s">
        <v>248</v>
      </c>
      <c r="N64" s="2" t="str">
        <f t="shared" si="18"/>
        <v>Australia</v>
      </c>
      <c r="O64" s="3" t="s">
        <v>105</v>
      </c>
      <c r="P64" s="3" t="str">
        <f t="shared" si="19"/>
        <v>F</v>
      </c>
      <c r="Q64" s="3" t="str">
        <f t="shared" si="20"/>
        <v>A/360</v>
      </c>
      <c r="R64" s="3" t="str">
        <f t="shared" si="21"/>
        <v>AU#0008</v>
      </c>
      <c r="S64" s="3">
        <v>0</v>
      </c>
      <c r="T64" s="3" t="s">
        <v>63</v>
      </c>
      <c r="X64" s="11" t="b">
        <v>0</v>
      </c>
      <c r="Y64" s="34">
        <f t="shared" si="16"/>
        <v>1</v>
      </c>
      <c r="Z64" s="7" t="b">
        <v>1</v>
      </c>
    </row>
    <row r="65" spans="4:26" x14ac:dyDescent="0.25">
      <c r="D65" s="2">
        <v>44455</v>
      </c>
      <c r="E65" s="3">
        <v>1.2199999999999999E-3</v>
      </c>
      <c r="G65" s="23"/>
      <c r="I65" s="13" t="str">
        <f>_xll.qlSwapRateHelper2(J65,K65,L65,M65,N65,O65,P65,Q65,R65,S65,T65,U65,V65,W65,X65,Y65,Z65)</f>
        <v>obj_00057#0008</v>
      </c>
      <c r="K65" s="6" t="str">
        <f t="shared" si="17"/>
        <v>obj_0003a#0008</v>
      </c>
      <c r="L65" s="6">
        <v>2</v>
      </c>
      <c r="M65" s="6" t="s">
        <v>249</v>
      </c>
      <c r="N65" s="2" t="str">
        <f t="shared" si="18"/>
        <v>Australia</v>
      </c>
      <c r="O65" s="3" t="s">
        <v>105</v>
      </c>
      <c r="P65" s="3" t="str">
        <f t="shared" si="19"/>
        <v>F</v>
      </c>
      <c r="Q65" s="3" t="str">
        <f t="shared" si="20"/>
        <v>A/360</v>
      </c>
      <c r="R65" s="3" t="str">
        <f t="shared" si="21"/>
        <v>AU#0008</v>
      </c>
      <c r="S65" s="3">
        <v>0</v>
      </c>
      <c r="T65" s="3" t="s">
        <v>63</v>
      </c>
      <c r="X65" s="11" t="b">
        <v>0</v>
      </c>
      <c r="Y65" s="34">
        <f t="shared" si="16"/>
        <v>1</v>
      </c>
      <c r="Z65" s="7" t="b">
        <v>1</v>
      </c>
    </row>
    <row r="66" spans="4:26" x14ac:dyDescent="0.25">
      <c r="D66" s="2">
        <v>44456</v>
      </c>
      <c r="E66" s="3">
        <v>1.2388E-3</v>
      </c>
      <c r="G66" s="23"/>
      <c r="I66" s="14"/>
      <c r="K66" s="6"/>
      <c r="L66" s="6"/>
      <c r="M66" s="6"/>
      <c r="N66" s="2"/>
      <c r="X66" s="11"/>
      <c r="Y66" s="34"/>
      <c r="Z66" s="7"/>
    </row>
    <row r="67" spans="4:26" x14ac:dyDescent="0.25">
      <c r="D67" s="2">
        <v>44459</v>
      </c>
      <c r="E67" s="3">
        <v>1.2538E-3</v>
      </c>
      <c r="G67" s="23"/>
      <c r="I67" s="14"/>
      <c r="K67" s="6"/>
      <c r="L67" s="6"/>
      <c r="M67" s="6"/>
      <c r="N67" s="2"/>
      <c r="X67" s="11"/>
      <c r="Y67" s="34"/>
      <c r="Z67" s="7"/>
    </row>
    <row r="68" spans="4:26" x14ac:dyDescent="0.25">
      <c r="D68" s="2">
        <v>44460</v>
      </c>
      <c r="E68" s="3">
        <v>1.2837999999999999E-3</v>
      </c>
      <c r="G68" s="23"/>
      <c r="I68" s="14"/>
      <c r="K68" s="6"/>
      <c r="L68" s="6"/>
      <c r="M68" s="6"/>
      <c r="N68" s="2"/>
      <c r="X68" s="11"/>
      <c r="Y68" s="34"/>
      <c r="Z68" s="7"/>
    </row>
    <row r="69" spans="4:26" x14ac:dyDescent="0.25">
      <c r="D69" s="2">
        <v>44461</v>
      </c>
      <c r="E69" s="3">
        <v>1.2925E-3</v>
      </c>
      <c r="G69" s="23"/>
    </row>
    <row r="70" spans="4:26" x14ac:dyDescent="0.25">
      <c r="D70" s="2">
        <v>44462</v>
      </c>
      <c r="E70" s="3">
        <v>1.3225000000000001E-3</v>
      </c>
      <c r="G70" s="23"/>
    </row>
    <row r="71" spans="4:26" x14ac:dyDescent="0.25">
      <c r="D71" s="2">
        <v>44463</v>
      </c>
      <c r="E71" s="3">
        <v>1.3225000000000001E-3</v>
      </c>
      <c r="G71" s="23"/>
    </row>
    <row r="72" spans="4:26" x14ac:dyDescent="0.25">
      <c r="D72" s="2">
        <v>44466</v>
      </c>
      <c r="E72" s="3">
        <v>1.3175000000000001E-3</v>
      </c>
      <c r="G72" s="23"/>
    </row>
    <row r="73" spans="4:26" x14ac:dyDescent="0.25">
      <c r="D73" s="2">
        <v>44467</v>
      </c>
      <c r="E73" s="3">
        <v>1.315E-3</v>
      </c>
      <c r="G73" s="23"/>
    </row>
    <row r="74" spans="4:26" x14ac:dyDescent="0.25">
      <c r="D74" s="2">
        <v>44468</v>
      </c>
      <c r="E74" s="3">
        <v>1.3087999999999999E-3</v>
      </c>
      <c r="G74" s="23"/>
    </row>
    <row r="75" spans="4:26" x14ac:dyDescent="0.25">
      <c r="D75" s="2">
        <v>44469</v>
      </c>
      <c r="E75" s="3">
        <v>1.3013E-3</v>
      </c>
      <c r="G75" s="23"/>
    </row>
    <row r="76" spans="4:26" x14ac:dyDescent="0.25">
      <c r="D76" s="2">
        <v>44470</v>
      </c>
      <c r="E76" s="3">
        <v>1.3312999999999999E-3</v>
      </c>
      <c r="G76" s="23"/>
    </row>
    <row r="77" spans="4:26" x14ac:dyDescent="0.25">
      <c r="D77" s="2">
        <v>44473</v>
      </c>
      <c r="E77" s="3">
        <v>1.2662999999999999E-3</v>
      </c>
      <c r="G77" s="23"/>
    </row>
    <row r="78" spans="4:26" x14ac:dyDescent="0.25">
      <c r="D78" s="2">
        <v>44474</v>
      </c>
      <c r="E78" s="3">
        <v>1.24E-3</v>
      </c>
      <c r="G78" s="23"/>
    </row>
    <row r="79" spans="4:26" x14ac:dyDescent="0.25">
      <c r="D79" s="2">
        <v>44475</v>
      </c>
      <c r="E79" s="3">
        <v>1.24E-3</v>
      </c>
      <c r="G79" s="23"/>
    </row>
    <row r="80" spans="4:26" x14ac:dyDescent="0.25">
      <c r="D80" s="2">
        <v>44476</v>
      </c>
      <c r="E80" s="3">
        <v>1.2363000000000001E-3</v>
      </c>
      <c r="F80" s="3">
        <v>0</v>
      </c>
    </row>
    <row r="81" spans="4:5" x14ac:dyDescent="0.25">
      <c r="D81" s="2">
        <v>44477</v>
      </c>
      <c r="E81" s="3">
        <v>1.2113E-3</v>
      </c>
    </row>
    <row r="82" spans="4:5" x14ac:dyDescent="0.25">
      <c r="D82" s="2">
        <v>44480</v>
      </c>
      <c r="E82" s="3">
        <v>1.2175E-3</v>
      </c>
    </row>
    <row r="83" spans="4:5" x14ac:dyDescent="0.25">
      <c r="D83" s="2">
        <v>44481</v>
      </c>
      <c r="E83" s="3">
        <v>1.2675E-3</v>
      </c>
    </row>
    <row r="84" spans="4:5" x14ac:dyDescent="0.25">
      <c r="D84" s="2">
        <v>44482</v>
      </c>
      <c r="E84" s="3">
        <v>1.2374999999999999E-3</v>
      </c>
    </row>
    <row r="85" spans="4:5" x14ac:dyDescent="0.25">
      <c r="D85" s="2">
        <v>44483</v>
      </c>
      <c r="E85" s="3">
        <v>1.2225000000000001E-3</v>
      </c>
    </row>
    <row r="86" spans="4:5" x14ac:dyDescent="0.25">
      <c r="D86" s="2">
        <v>44484</v>
      </c>
      <c r="E86" s="3">
        <v>1.2363000000000001E-3</v>
      </c>
    </row>
    <row r="87" spans="4:5" x14ac:dyDescent="0.25">
      <c r="D87" s="2">
        <v>44487</v>
      </c>
      <c r="E87" s="3">
        <v>1.315E-3</v>
      </c>
    </row>
    <row r="88" spans="4:5" x14ac:dyDescent="0.25">
      <c r="D88" s="2">
        <v>44488</v>
      </c>
      <c r="E88" s="3">
        <v>1.2950000000000001E-3</v>
      </c>
    </row>
    <row r="89" spans="4:5" x14ac:dyDescent="0.25">
      <c r="D89" s="2">
        <v>44489</v>
      </c>
      <c r="E89" s="3">
        <v>1.2825E-3</v>
      </c>
    </row>
    <row r="90" spans="4:5" x14ac:dyDescent="0.25">
      <c r="D90" s="2">
        <v>44490</v>
      </c>
      <c r="E90" s="3">
        <v>1.2388E-3</v>
      </c>
    </row>
    <row r="91" spans="4:5" x14ac:dyDescent="0.25">
      <c r="D91" s="2">
        <v>44491</v>
      </c>
      <c r="E91" s="3">
        <v>1.2488E-3</v>
      </c>
    </row>
    <row r="92" spans="4:5" x14ac:dyDescent="0.25">
      <c r="D92" s="2">
        <v>44494</v>
      </c>
      <c r="E92" s="3">
        <v>1.3450000000000001E-3</v>
      </c>
    </row>
    <row r="93" spans="4:5" x14ac:dyDescent="0.25">
      <c r="D93" s="2">
        <v>44495</v>
      </c>
      <c r="E93" s="3">
        <v>1.3588000000000001E-3</v>
      </c>
    </row>
    <row r="94" spans="4:5" x14ac:dyDescent="0.25">
      <c r="D94" s="2">
        <v>44496</v>
      </c>
      <c r="E94" s="3">
        <v>1.2863E-3</v>
      </c>
    </row>
    <row r="95" spans="4:5" x14ac:dyDescent="0.25">
      <c r="D95" s="2">
        <v>44497</v>
      </c>
      <c r="E95" s="3">
        <v>1.3163000000000001E-3</v>
      </c>
    </row>
    <row r="96" spans="4:5" x14ac:dyDescent="0.25">
      <c r="D96" s="2">
        <v>44498</v>
      </c>
      <c r="E96" s="3">
        <v>1.3225000000000001E-3</v>
      </c>
    </row>
    <row r="97" spans="4:5" x14ac:dyDescent="0.25">
      <c r="D97" s="2">
        <v>44501</v>
      </c>
      <c r="E97" s="3">
        <v>1.4088E-3</v>
      </c>
    </row>
    <row r="98" spans="4:5" x14ac:dyDescent="0.25">
      <c r="D98" s="2">
        <v>44502</v>
      </c>
      <c r="E98" s="3">
        <v>1.4499999999999999E-3</v>
      </c>
    </row>
    <row r="99" spans="4:5" x14ac:dyDescent="0.25">
      <c r="D99" s="2">
        <v>44503</v>
      </c>
      <c r="E99" s="3">
        <v>1.3975000000000001E-3</v>
      </c>
    </row>
    <row r="100" spans="4:5" x14ac:dyDescent="0.25">
      <c r="D100" s="2">
        <v>44504</v>
      </c>
      <c r="E100" s="3">
        <v>1.4438000000000001E-3</v>
      </c>
    </row>
    <row r="101" spans="4:5" x14ac:dyDescent="0.25">
      <c r="D101" s="2">
        <v>44505</v>
      </c>
      <c r="E101" s="3">
        <v>1.4274999999999999E-3</v>
      </c>
    </row>
    <row r="102" spans="4:5" x14ac:dyDescent="0.25">
      <c r="D102" s="2">
        <v>44508</v>
      </c>
      <c r="E102" s="3">
        <v>1.4563E-3</v>
      </c>
    </row>
    <row r="103" spans="4:5" x14ac:dyDescent="0.25">
      <c r="D103" s="2">
        <v>44509</v>
      </c>
      <c r="E103" s="3">
        <v>1.495E-3</v>
      </c>
    </row>
    <row r="104" spans="4:5" x14ac:dyDescent="0.25">
      <c r="D104" s="2">
        <v>44510</v>
      </c>
      <c r="E104" s="3">
        <v>1.5437999999999999E-3</v>
      </c>
    </row>
    <row r="105" spans="4:5" x14ac:dyDescent="0.25">
      <c r="D105" s="2">
        <v>44511</v>
      </c>
      <c r="E105" s="3">
        <v>1.56E-3</v>
      </c>
    </row>
    <row r="106" spans="4:5" x14ac:dyDescent="0.25">
      <c r="D106" s="2">
        <v>44512</v>
      </c>
      <c r="E106" s="3">
        <v>1.5499999999999999E-3</v>
      </c>
    </row>
    <row r="107" spans="4:5" x14ac:dyDescent="0.25">
      <c r="D107" s="2">
        <v>44515</v>
      </c>
      <c r="E107" s="3">
        <v>1.5788E-3</v>
      </c>
    </row>
    <row r="108" spans="4:5" x14ac:dyDescent="0.25">
      <c r="D108" s="2">
        <v>44516</v>
      </c>
      <c r="E108" s="3">
        <v>1.6000000000000001E-3</v>
      </c>
    </row>
    <row r="109" spans="4:5" x14ac:dyDescent="0.25">
      <c r="D109" s="2">
        <v>44517</v>
      </c>
      <c r="E109" s="3">
        <v>1.575E-3</v>
      </c>
    </row>
    <row r="110" spans="4:5" x14ac:dyDescent="0.25">
      <c r="D110" s="2">
        <v>44518</v>
      </c>
      <c r="E110" s="3">
        <v>1.5962999999999999E-3</v>
      </c>
    </row>
    <row r="111" spans="4:5" x14ac:dyDescent="0.25">
      <c r="D111" s="2">
        <v>44519</v>
      </c>
      <c r="E111" s="3">
        <v>1.64E-3</v>
      </c>
    </row>
    <row r="112" spans="4:5" x14ac:dyDescent="0.25">
      <c r="D112" s="2">
        <v>44522</v>
      </c>
      <c r="E112" s="3">
        <v>1.6963E-3</v>
      </c>
    </row>
    <row r="113" spans="4:5" x14ac:dyDescent="0.25">
      <c r="D113" s="2">
        <v>44523</v>
      </c>
      <c r="E113" s="3">
        <v>1.7799999999999999E-3</v>
      </c>
    </row>
    <row r="114" spans="4:5" x14ac:dyDescent="0.25">
      <c r="D114" s="2">
        <v>44524</v>
      </c>
      <c r="E114" s="3">
        <v>1.8024999999999998E-3</v>
      </c>
    </row>
    <row r="115" spans="4:5" x14ac:dyDescent="0.25">
      <c r="D115" s="2">
        <v>44525</v>
      </c>
      <c r="E115" s="3">
        <v>1.7563000000000001E-3</v>
      </c>
    </row>
    <row r="116" spans="4:5" x14ac:dyDescent="0.25">
      <c r="D116" s="2">
        <v>44526</v>
      </c>
      <c r="E116" s="3">
        <v>1.7538E-3</v>
      </c>
    </row>
    <row r="117" spans="4:5" x14ac:dyDescent="0.25">
      <c r="D117" s="2">
        <v>44529</v>
      </c>
      <c r="E117" s="3">
        <v>1.7088000000000001E-3</v>
      </c>
    </row>
    <row r="118" spans="4:5" x14ac:dyDescent="0.25">
      <c r="D118" s="2">
        <v>44530</v>
      </c>
      <c r="E118" s="3">
        <v>1.7324999999999999E-3</v>
      </c>
    </row>
    <row r="119" spans="4:5" x14ac:dyDescent="0.25">
      <c r="D119" s="2">
        <v>44531</v>
      </c>
      <c r="E119" s="3">
        <v>1.7463000000000001E-3</v>
      </c>
    </row>
    <row r="120" spans="4:5" x14ac:dyDescent="0.25">
      <c r="D120" s="2">
        <v>44532</v>
      </c>
      <c r="E120" s="3">
        <v>1.8013E-3</v>
      </c>
    </row>
    <row r="121" spans="4:5" x14ac:dyDescent="0.25">
      <c r="D121" s="2">
        <v>44533</v>
      </c>
      <c r="E121" s="3">
        <v>1.8763E-3</v>
      </c>
    </row>
    <row r="122" spans="4:5" x14ac:dyDescent="0.25">
      <c r="D122" s="2">
        <v>44536</v>
      </c>
      <c r="E122" s="3">
        <v>1.9E-3</v>
      </c>
    </row>
    <row r="123" spans="4:5" x14ac:dyDescent="0.25">
      <c r="D123" s="2">
        <v>44537</v>
      </c>
      <c r="E123" s="3">
        <v>1.9824999999999999E-3</v>
      </c>
    </row>
    <row r="124" spans="4:5" x14ac:dyDescent="0.25">
      <c r="D124" s="2">
        <v>44538</v>
      </c>
      <c r="E124" s="3">
        <v>2.0050000000000003E-3</v>
      </c>
    </row>
    <row r="125" spans="4:5" x14ac:dyDescent="0.25">
      <c r="D125" s="2">
        <v>44539</v>
      </c>
      <c r="E125" s="3">
        <v>2.0087999999999998E-3</v>
      </c>
    </row>
    <row r="126" spans="4:5" x14ac:dyDescent="0.25">
      <c r="D126" s="2">
        <v>44540</v>
      </c>
      <c r="E126" s="3">
        <v>1.9824999999999999E-3</v>
      </c>
    </row>
    <row r="127" spans="4:5" x14ac:dyDescent="0.25">
      <c r="D127" s="2">
        <v>44543</v>
      </c>
      <c r="E127" s="3">
        <v>2.0275000000000002E-3</v>
      </c>
    </row>
    <row r="128" spans="4:5" x14ac:dyDescent="0.25">
      <c r="D128" s="2">
        <v>44544</v>
      </c>
      <c r="E128" s="3">
        <v>2.1088000000000001E-3</v>
      </c>
    </row>
    <row r="129" spans="4:5" x14ac:dyDescent="0.25">
      <c r="D129" s="2">
        <v>44545</v>
      </c>
      <c r="E129" s="3">
        <v>2.1562999999999999E-3</v>
      </c>
    </row>
    <row r="130" spans="4:5" x14ac:dyDescent="0.25">
      <c r="D130" s="2">
        <v>44546</v>
      </c>
      <c r="E130" s="3">
        <v>2.1362999999999998E-3</v>
      </c>
    </row>
    <row r="131" spans="4:5" x14ac:dyDescent="0.25">
      <c r="D131" s="2">
        <v>44547</v>
      </c>
      <c r="E131" s="3">
        <v>2.1263000000000002E-3</v>
      </c>
    </row>
    <row r="132" spans="4:5" x14ac:dyDescent="0.25">
      <c r="D132" s="2">
        <v>44550</v>
      </c>
      <c r="E132" s="3">
        <v>2.1424999999999999E-3</v>
      </c>
    </row>
    <row r="133" spans="4:5" x14ac:dyDescent="0.25">
      <c r="D133" s="2">
        <v>44551</v>
      </c>
      <c r="E133" s="3">
        <v>2.16E-3</v>
      </c>
    </row>
    <row r="134" spans="4:5" x14ac:dyDescent="0.25">
      <c r="D134" s="2">
        <v>44552</v>
      </c>
      <c r="E134" s="3">
        <v>2.1138000000000003E-3</v>
      </c>
    </row>
    <row r="135" spans="4:5" x14ac:dyDescent="0.25">
      <c r="D135" s="2">
        <v>44553</v>
      </c>
      <c r="E135" s="3">
        <v>2.1974999999999998E-3</v>
      </c>
    </row>
    <row r="136" spans="4:5" x14ac:dyDescent="0.25">
      <c r="D136" s="2">
        <v>44554</v>
      </c>
      <c r="E136" s="3">
        <v>2.1787999999999998E-3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Z126"/>
  <sheetViews>
    <sheetView workbookViewId="0">
      <selection activeCell="B5" sqref="B5"/>
    </sheetView>
  </sheetViews>
  <sheetFormatPr defaultColWidth="9" defaultRowHeight="15" x14ac:dyDescent="0.25"/>
  <cols>
    <col min="1" max="1" width="15.75" style="3" customWidth="1"/>
    <col min="2" max="2" width="14" style="3" customWidth="1"/>
    <col min="3" max="3" width="9.25" style="3" customWidth="1"/>
    <col min="4" max="4" width="9.625" style="3" customWidth="1"/>
    <col min="5" max="5" width="10.5" style="3" customWidth="1"/>
    <col min="6" max="6" width="10.75" style="3" customWidth="1"/>
    <col min="7" max="7" width="16.375" style="3" customWidth="1"/>
    <col min="8" max="8" width="14" style="3" customWidth="1"/>
    <col min="9" max="9" width="5.75" style="3" customWidth="1"/>
    <col min="10" max="10" width="5.25" style="3" customWidth="1"/>
    <col min="11" max="11" width="17.25" style="3" customWidth="1"/>
    <col min="12" max="12" width="11.375" style="3" customWidth="1"/>
    <col min="13" max="13" width="10.375" style="3" customWidth="1"/>
    <col min="14" max="14" width="12.25" style="3" customWidth="1"/>
    <col min="15" max="15" width="10.25" style="3" customWidth="1"/>
    <col min="16" max="16" width="10.375" style="3" customWidth="1"/>
    <col min="17" max="17" width="10.625" style="3" customWidth="1"/>
    <col min="18" max="18" width="12.25" style="3" customWidth="1"/>
    <col min="19" max="19" width="9" style="3"/>
    <col min="20" max="20" width="10" style="3" bestFit="1" customWidth="1"/>
    <col min="21" max="23" width="9" style="3"/>
    <col min="24" max="24" width="9.375" style="3" customWidth="1"/>
    <col min="25" max="25" width="12.25" style="3" customWidth="1"/>
    <col min="26" max="26" width="9.75" style="3" customWidth="1"/>
    <col min="27" max="16384" width="9" style="3"/>
  </cols>
  <sheetData>
    <row r="1" spans="1:24" x14ac:dyDescent="0.25">
      <c r="A1" s="1" t="s">
        <v>8</v>
      </c>
      <c r="B1" s="17">
        <v>44530</v>
      </c>
      <c r="C1" s="25" t="s">
        <v>66</v>
      </c>
      <c r="D1" s="25" t="s">
        <v>51</v>
      </c>
      <c r="E1" s="25" t="s">
        <v>65</v>
      </c>
      <c r="F1" s="25" t="s">
        <v>67</v>
      </c>
      <c r="G1" s="3" t="s">
        <v>126</v>
      </c>
    </row>
    <row r="2" spans="1:24" ht="15.75" thickBot="1" x14ac:dyDescent="0.3">
      <c r="A2" s="5"/>
      <c r="C2" s="59">
        <f>D2-$B$1</f>
        <v>29</v>
      </c>
      <c r="D2" s="60">
        <f t="array" ref="D2:D10">_xll.qlPiecewiseYieldCurveDates(B24)</f>
        <v>44559</v>
      </c>
      <c r="E2" s="61">
        <f t="array" ref="E2:E10">_xll.qlYieldTSZeroRate(B24,$D$2:$D$10,A62,A63,A64,A65,A66)</f>
        <v>2.1253436294045101E-2</v>
      </c>
      <c r="F2" s="62">
        <f t="array" ref="F2:F10">_xll.qlYieldTSDiscount(B24,D2:D10,TRUE,B5)</f>
        <v>1</v>
      </c>
      <c r="G2" s="63" t="s">
        <v>64</v>
      </c>
      <c r="H2" s="63" t="s">
        <v>21</v>
      </c>
      <c r="I2" s="63" t="s">
        <v>16</v>
      </c>
      <c r="J2" s="63" t="s">
        <v>19</v>
      </c>
      <c r="K2" s="63" t="s">
        <v>20</v>
      </c>
      <c r="L2" s="63" t="s">
        <v>12</v>
      </c>
      <c r="M2" s="63" t="s">
        <v>22</v>
      </c>
      <c r="N2" s="63" t="s">
        <v>13</v>
      </c>
      <c r="O2" s="63" t="s">
        <v>14</v>
      </c>
      <c r="P2" s="63" t="s">
        <v>15</v>
      </c>
      <c r="Q2" s="63"/>
      <c r="R2" s="8"/>
      <c r="S2" s="63"/>
      <c r="T2" s="63"/>
      <c r="U2" s="63"/>
      <c r="V2" s="63"/>
      <c r="W2" s="63"/>
      <c r="X2" s="63"/>
    </row>
    <row r="3" spans="1:24" x14ac:dyDescent="0.25">
      <c r="A3" s="1"/>
      <c r="B3" s="17"/>
      <c r="C3" s="59">
        <f t="shared" ref="C3:C10" si="0">D3-$B$1</f>
        <v>121</v>
      </c>
      <c r="D3" s="60">
        <v>44651</v>
      </c>
      <c r="E3" s="61">
        <v>2.1253436293992636E-2</v>
      </c>
      <c r="F3" s="62">
        <v>0.99458328984779476</v>
      </c>
      <c r="G3" s="43" t="str">
        <f>H60</f>
        <v>obj_00146#0008</v>
      </c>
      <c r="H3" s="18" t="str">
        <f>_xll.qlSimpleQuote(,K3,M3,N3,O3,P3)</f>
        <v>obj_00108#0008</v>
      </c>
      <c r="I3" s="3" t="str">
        <f>_xll.ohRangeRetrieveError(H3)</f>
        <v/>
      </c>
      <c r="K3" s="27">
        <f>R3/100</f>
        <v>2.1309999999999999E-2</v>
      </c>
      <c r="L3" s="36" t="s">
        <v>1</v>
      </c>
      <c r="M3" s="3">
        <v>0.01</v>
      </c>
      <c r="N3" s="11" t="b">
        <v>0</v>
      </c>
      <c r="O3" s="34">
        <f>$B$5</f>
        <v>1</v>
      </c>
      <c r="P3" s="7" t="b">
        <v>1</v>
      </c>
      <c r="Q3" s="26" t="s">
        <v>408</v>
      </c>
      <c r="R3" s="3">
        <v>2.1309999999999998</v>
      </c>
      <c r="S3" s="2"/>
      <c r="T3" s="2"/>
      <c r="U3" s="6"/>
      <c r="X3" s="103"/>
    </row>
    <row r="4" spans="1:24" x14ac:dyDescent="0.25">
      <c r="A4" s="1" t="s">
        <v>73</v>
      </c>
      <c r="B4" s="17">
        <f>_xll.qlCalendarAdvance(B12,B1,"2D",V3,W3,X3)</f>
        <v>44532</v>
      </c>
      <c r="C4" s="59">
        <f t="shared" si="0"/>
        <v>212</v>
      </c>
      <c r="D4" s="60">
        <v>44742</v>
      </c>
      <c r="E4" s="61">
        <v>2.1852813372139554E-2</v>
      </c>
      <c r="F4" s="62">
        <v>0.98895295824121177</v>
      </c>
      <c r="G4" s="44" t="str">
        <f t="shared" ref="G4:G34" si="1">H61</f>
        <v>obj_00148#0008</v>
      </c>
      <c r="H4" s="18" t="str">
        <f>_xll.qlSimpleQuote(,K4,M4,N4,O4,P4)</f>
        <v>obj_0010c#0008</v>
      </c>
      <c r="I4" s="3" t="str">
        <f>_xll.ohRangeRetrieveError(H4)</f>
        <v/>
      </c>
      <c r="K4" s="27">
        <f t="shared" ref="K4:K34" si="2">R4/100</f>
        <v>2.198E-2</v>
      </c>
      <c r="L4" s="36" t="s">
        <v>69</v>
      </c>
      <c r="M4" s="3">
        <f>$M$3</f>
        <v>0.01</v>
      </c>
      <c r="N4" s="11" t="b">
        <v>0</v>
      </c>
      <c r="O4" s="34">
        <f t="shared" ref="O4:O34" si="3">$B$5</f>
        <v>1</v>
      </c>
      <c r="P4" s="7" t="b">
        <v>1</v>
      </c>
      <c r="Q4" s="26" t="s">
        <v>409</v>
      </c>
      <c r="R4" s="3">
        <v>2.198</v>
      </c>
      <c r="S4" s="2"/>
      <c r="T4" s="2"/>
      <c r="U4" s="6"/>
      <c r="X4" s="103"/>
    </row>
    <row r="5" spans="1:24" x14ac:dyDescent="0.25">
      <c r="A5" s="8" t="s">
        <v>14</v>
      </c>
      <c r="B5" s="3">
        <f>'ql-US-ZC'!B4</f>
        <v>1</v>
      </c>
      <c r="C5" s="59">
        <f t="shared" si="0"/>
        <v>398</v>
      </c>
      <c r="D5" s="60">
        <v>44928</v>
      </c>
      <c r="E5" s="61">
        <v>2.2746225623651643E-2</v>
      </c>
      <c r="F5" s="62">
        <v>0.97695481056969524</v>
      </c>
      <c r="G5" s="44" t="str">
        <f t="shared" si="1"/>
        <v>obj_0014f#0008</v>
      </c>
      <c r="H5" s="18" t="str">
        <f>_xll.qlSimpleQuote(,K5,M5,N5,O5,P5)</f>
        <v>obj_00120#0008</v>
      </c>
      <c r="I5" s="3" t="str">
        <f>_xll.ohRangeRetrieveError(H5)</f>
        <v/>
      </c>
      <c r="K5" s="27">
        <f t="shared" si="2"/>
        <v>2.282E-2</v>
      </c>
      <c r="L5" s="36" t="s">
        <v>2</v>
      </c>
      <c r="M5" s="3">
        <f t="shared" ref="M5:M34" si="4">$M$3</f>
        <v>0.01</v>
      </c>
      <c r="N5" s="11" t="b">
        <v>0</v>
      </c>
      <c r="O5" s="34">
        <f t="shared" si="3"/>
        <v>1</v>
      </c>
      <c r="P5" s="7" t="b">
        <v>1</v>
      </c>
      <c r="Q5" s="26" t="s">
        <v>410</v>
      </c>
      <c r="R5" s="3">
        <v>2.282</v>
      </c>
      <c r="S5" s="2"/>
      <c r="T5" s="2"/>
      <c r="U5" s="6"/>
      <c r="X5" s="103"/>
    </row>
    <row r="6" spans="1:24" x14ac:dyDescent="0.25">
      <c r="A6" s="3" t="s">
        <v>27</v>
      </c>
      <c r="B6" s="19" t="str">
        <f>_xll.qlIborIndex(B7,B8,B9,B10,B11,B12,B13,B14,B15,B16,B17,B18,B19)</f>
        <v>obj_00110#0008</v>
      </c>
      <c r="C6" s="59">
        <f t="shared" si="0"/>
        <v>763</v>
      </c>
      <c r="D6" s="60">
        <v>45293</v>
      </c>
      <c r="E6" s="61">
        <v>2.2783663747782255E-2</v>
      </c>
      <c r="F6" s="62">
        <v>0.9546090835841996</v>
      </c>
      <c r="G6" s="44" t="str">
        <f t="shared" si="1"/>
        <v>obj_00131#0008</v>
      </c>
      <c r="H6" s="18" t="str">
        <f>_xll.qlSimpleQuote(,K6,M6,N6,O6,P6)</f>
        <v>obj_00106#0008</v>
      </c>
      <c r="I6" s="3" t="str">
        <f>_xll.ohRangeRetrieveError(H6)</f>
        <v/>
      </c>
      <c r="K6" s="27">
        <f t="shared" si="2"/>
        <v>2.2930000000000002E-2</v>
      </c>
      <c r="L6" s="36" t="s">
        <v>3</v>
      </c>
      <c r="M6" s="3">
        <f t="shared" si="4"/>
        <v>0.01</v>
      </c>
      <c r="N6" s="11" t="b">
        <v>0</v>
      </c>
      <c r="O6" s="34">
        <f t="shared" si="3"/>
        <v>1</v>
      </c>
      <c r="P6" s="7" t="b">
        <v>1</v>
      </c>
      <c r="Q6" s="26" t="s">
        <v>411</v>
      </c>
      <c r="R6" s="3">
        <v>2.2930000000000001</v>
      </c>
      <c r="S6" s="2"/>
      <c r="T6" s="2"/>
      <c r="U6" s="6"/>
      <c r="X6" s="103"/>
    </row>
    <row r="7" spans="1:24" x14ac:dyDescent="0.25">
      <c r="A7" s="8" t="s">
        <v>10</v>
      </c>
      <c r="B7" s="9"/>
      <c r="C7" s="59">
        <f t="shared" si="0"/>
        <v>1127</v>
      </c>
      <c r="D7" s="60">
        <v>45657</v>
      </c>
      <c r="E7" s="61">
        <v>2.3511078537581158E-2</v>
      </c>
      <c r="F7" s="62">
        <v>0.93080191560175407</v>
      </c>
      <c r="G7" s="44" t="str">
        <f t="shared" si="1"/>
        <v>obj_0012c#0008</v>
      </c>
      <c r="H7" s="18" t="str">
        <f>_xll.qlSimpleQuote(,K7,M7,N7,O7,P7)</f>
        <v>obj_00118#0008</v>
      </c>
      <c r="I7" s="3" t="str">
        <f>_xll.ohRangeRetrieveError(H7)</f>
        <v/>
      </c>
      <c r="K7" s="27">
        <f t="shared" si="2"/>
        <v>2.3780000000000003E-2</v>
      </c>
      <c r="L7" s="36" t="s">
        <v>4</v>
      </c>
      <c r="M7" s="3">
        <f t="shared" si="4"/>
        <v>0.01</v>
      </c>
      <c r="N7" s="11" t="b">
        <v>0</v>
      </c>
      <c r="O7" s="34">
        <f t="shared" si="3"/>
        <v>1</v>
      </c>
      <c r="P7" s="7" t="b">
        <v>1</v>
      </c>
      <c r="Q7" s="26" t="s">
        <v>412</v>
      </c>
      <c r="R7" s="3">
        <v>2.3780000000000001</v>
      </c>
      <c r="S7" s="2"/>
      <c r="T7" s="2"/>
      <c r="U7" s="6"/>
      <c r="X7" s="103"/>
    </row>
    <row r="8" spans="1:24" x14ac:dyDescent="0.25">
      <c r="A8" s="8" t="s">
        <v>28</v>
      </c>
      <c r="B8" s="9" t="s">
        <v>32</v>
      </c>
      <c r="C8" s="59">
        <f t="shared" si="0"/>
        <v>1857</v>
      </c>
      <c r="D8" s="60">
        <v>46387</v>
      </c>
      <c r="E8" s="61">
        <v>2.6293997373620214E-2</v>
      </c>
      <c r="F8" s="62">
        <v>0.87501427755431438</v>
      </c>
      <c r="G8" s="44" t="str">
        <f t="shared" si="1"/>
        <v>obj_00147#0008</v>
      </c>
      <c r="H8" s="18" t="str">
        <f>_xll.qlSimpleQuote(,K8,M8,N8,O8,P8)</f>
        <v>obj_0011c#0008</v>
      </c>
      <c r="I8" s="3" t="str">
        <f>_xll.ohRangeRetrieveError(H8)</f>
        <v/>
      </c>
      <c r="K8" s="27">
        <f t="shared" si="2"/>
        <v>2.6520000000000002E-2</v>
      </c>
      <c r="L8" s="36" t="s">
        <v>5</v>
      </c>
      <c r="M8" s="3">
        <f t="shared" si="4"/>
        <v>0.01</v>
      </c>
      <c r="N8" s="11" t="b">
        <v>0</v>
      </c>
      <c r="O8" s="34">
        <f t="shared" si="3"/>
        <v>1</v>
      </c>
      <c r="P8" s="7" t="b">
        <v>1</v>
      </c>
      <c r="Q8" s="26" t="s">
        <v>413</v>
      </c>
      <c r="R8" s="3">
        <v>2.6520000000000001</v>
      </c>
      <c r="S8" s="2"/>
      <c r="T8" s="2"/>
      <c r="U8" s="6"/>
      <c r="X8" s="103"/>
    </row>
    <row r="9" spans="1:24" x14ac:dyDescent="0.25">
      <c r="A9" s="8" t="s">
        <v>12</v>
      </c>
      <c r="B9" s="9" t="s">
        <v>33</v>
      </c>
      <c r="C9" s="59">
        <f t="shared" si="0"/>
        <v>2590</v>
      </c>
      <c r="D9" s="60">
        <v>47120</v>
      </c>
      <c r="E9" s="61">
        <v>2.8479475714781589E-2</v>
      </c>
      <c r="F9" s="62">
        <v>0.81660496024589679</v>
      </c>
      <c r="G9" s="44" t="str">
        <f t="shared" si="1"/>
        <v>obj_00144#0008</v>
      </c>
      <c r="H9" s="18" t="str">
        <f>_xll.qlSimpleQuote(,K9,M9,N9,O9,P9)</f>
        <v>obj_00111#0008</v>
      </c>
      <c r="I9" s="3" t="str">
        <f>_xll.ohRangeRetrieveError(H9)</f>
        <v/>
      </c>
      <c r="K9" s="27">
        <f t="shared" si="2"/>
        <v>2.8580000000000001E-2</v>
      </c>
      <c r="L9" s="36" t="s">
        <v>6</v>
      </c>
      <c r="M9" s="3">
        <f t="shared" si="4"/>
        <v>0.01</v>
      </c>
      <c r="N9" s="11" t="b">
        <v>0</v>
      </c>
      <c r="O9" s="34">
        <f t="shared" si="3"/>
        <v>1</v>
      </c>
      <c r="P9" s="7" t="b">
        <v>1</v>
      </c>
      <c r="Q9" s="26" t="s">
        <v>414</v>
      </c>
      <c r="R9" s="3">
        <v>2.8580000000000001</v>
      </c>
      <c r="S9" s="2"/>
      <c r="T9" s="2"/>
      <c r="U9" s="6"/>
      <c r="X9" s="103"/>
    </row>
    <row r="10" spans="1:24" ht="15.75" thickBot="1" x14ac:dyDescent="0.3">
      <c r="A10" s="8" t="s">
        <v>24</v>
      </c>
      <c r="B10" s="9">
        <v>2</v>
      </c>
      <c r="C10" s="59">
        <f t="shared" si="0"/>
        <v>3683</v>
      </c>
      <c r="D10" s="60">
        <v>48213</v>
      </c>
      <c r="E10" s="61">
        <v>2.9341274902491325E-2</v>
      </c>
      <c r="F10" s="62">
        <v>0.7424394649912115</v>
      </c>
      <c r="G10" s="45" t="str">
        <f t="shared" si="1"/>
        <v>obj_00145#0008</v>
      </c>
      <c r="H10" s="18" t="str">
        <f>_xll.qlSimpleQuote(,K10,M10,N10,O10,P10)</f>
        <v>obj_00112#0008</v>
      </c>
      <c r="I10" s="3" t="str">
        <f>_xll.ohRangeRetrieveError(H10)</f>
        <v/>
      </c>
      <c r="K10" s="27">
        <f t="shared" si="2"/>
        <v>2.9489999999999999E-2</v>
      </c>
      <c r="L10" s="36" t="s">
        <v>7</v>
      </c>
      <c r="M10" s="3">
        <f t="shared" si="4"/>
        <v>0.01</v>
      </c>
      <c r="N10" s="11" t="b">
        <v>0</v>
      </c>
      <c r="O10" s="34">
        <f t="shared" si="3"/>
        <v>1</v>
      </c>
      <c r="P10" s="7" t="b">
        <v>1</v>
      </c>
      <c r="Q10" s="26" t="s">
        <v>415</v>
      </c>
      <c r="R10" s="3">
        <v>2.9489999999999998</v>
      </c>
      <c r="S10" s="2"/>
      <c r="T10" s="2"/>
      <c r="U10" s="6"/>
      <c r="X10" s="103"/>
    </row>
    <row r="11" spans="1:24" x14ac:dyDescent="0.25">
      <c r="A11" s="8" t="s">
        <v>11</v>
      </c>
      <c r="B11" s="9" t="s">
        <v>482</v>
      </c>
      <c r="C11" s="59"/>
      <c r="D11" s="60"/>
      <c r="E11" s="61">
        <f t="array" ref="E11:E19">_xll.qlYieldTSZeroRate(B23,$D$2:$D$10,A62,A63,A64,A65,A66)</f>
        <v>1.3197822474388544E-3</v>
      </c>
      <c r="F11" s="62">
        <f t="array" ref="F11:F19">_xll.qlYieldTSDiscount(B23,D2:D10,TRUE,B5)</f>
        <v>1</v>
      </c>
      <c r="G11" s="43" t="str">
        <f t="shared" si="1"/>
        <v>obj_00139#0008</v>
      </c>
      <c r="H11" s="18" t="str">
        <f>_xll.qlSimpleQuote(,K11,M11,N11,O11,P11)</f>
        <v>obj_00122#0008</v>
      </c>
      <c r="I11" s="3" t="str">
        <f>_xll.ohRangeRetrieveError(H11)</f>
        <v/>
      </c>
      <c r="K11" s="27">
        <f t="shared" si="2"/>
        <v>1.32E-3</v>
      </c>
      <c r="L11" s="36" t="s">
        <v>1</v>
      </c>
      <c r="M11" s="3">
        <f t="shared" si="4"/>
        <v>0.01</v>
      </c>
      <c r="N11" s="11" t="b">
        <v>0</v>
      </c>
      <c r="O11" s="34">
        <f t="shared" si="3"/>
        <v>1</v>
      </c>
      <c r="P11" s="7" t="b">
        <v>1</v>
      </c>
      <c r="Q11" s="26" t="s">
        <v>416</v>
      </c>
      <c r="R11" s="3">
        <v>0.13200000000000001</v>
      </c>
      <c r="S11" s="2"/>
      <c r="T11" s="2"/>
      <c r="U11" s="6"/>
      <c r="X11" s="103"/>
    </row>
    <row r="12" spans="1:24" x14ac:dyDescent="0.25">
      <c r="A12" s="8" t="s">
        <v>17</v>
      </c>
      <c r="B12" s="10" t="s">
        <v>368</v>
      </c>
      <c r="C12" s="59"/>
      <c r="D12" s="60"/>
      <c r="E12" s="61">
        <v>1.3197822479024495E-3</v>
      </c>
      <c r="F12" s="62">
        <v>0.99966277918614943</v>
      </c>
      <c r="G12" s="44" t="str">
        <f t="shared" si="1"/>
        <v>obj_00143#0008</v>
      </c>
      <c r="H12" s="18" t="str">
        <f>_xll.qlSimpleQuote(,K12,M12,N12,O12,P12)</f>
        <v>obj_00104#0008</v>
      </c>
      <c r="K12" s="27">
        <f t="shared" si="2"/>
        <v>2.0499999999999997E-3</v>
      </c>
      <c r="L12" s="36" t="s">
        <v>69</v>
      </c>
      <c r="M12" s="3">
        <f t="shared" si="4"/>
        <v>0.01</v>
      </c>
      <c r="N12" s="11" t="b">
        <v>0</v>
      </c>
      <c r="O12" s="34">
        <f t="shared" si="3"/>
        <v>1</v>
      </c>
      <c r="P12" s="7" t="b">
        <v>1</v>
      </c>
      <c r="Q12" s="26" t="s">
        <v>417</v>
      </c>
      <c r="R12" s="3">
        <v>0.20499999999999999</v>
      </c>
      <c r="S12" s="2"/>
      <c r="T12" s="2"/>
      <c r="U12" s="6"/>
      <c r="X12" s="103"/>
    </row>
    <row r="13" spans="1:24" x14ac:dyDescent="0.25">
      <c r="A13" s="8" t="s">
        <v>29</v>
      </c>
      <c r="B13" s="9" t="s">
        <v>34</v>
      </c>
      <c r="C13" s="59"/>
      <c r="D13" s="60"/>
      <c r="E13" s="61">
        <v>2.0409752798940324E-3</v>
      </c>
      <c r="F13" s="62">
        <v>0.99896304224537602</v>
      </c>
      <c r="G13" s="44" t="str">
        <f t="shared" si="1"/>
        <v>obj_00127#0008</v>
      </c>
      <c r="H13" s="18" t="str">
        <f>_xll.qlSimpleQuote(,K13,M13,N13,O13,P13)</f>
        <v>obj_0011b#0008</v>
      </c>
      <c r="K13" s="27">
        <f t="shared" si="2"/>
        <v>5.0600000000000003E-3</v>
      </c>
      <c r="L13" s="36" t="s">
        <v>2</v>
      </c>
      <c r="M13" s="3">
        <f t="shared" si="4"/>
        <v>0.01</v>
      </c>
      <c r="N13" s="11" t="b">
        <v>0</v>
      </c>
      <c r="O13" s="34">
        <f t="shared" si="3"/>
        <v>1</v>
      </c>
      <c r="P13" s="7" t="b">
        <v>1</v>
      </c>
      <c r="Q13" s="26" t="s">
        <v>418</v>
      </c>
      <c r="R13" s="3">
        <v>0.50600000000000001</v>
      </c>
      <c r="S13" s="2"/>
      <c r="T13" s="2"/>
      <c r="U13" s="6"/>
      <c r="X13" s="103"/>
    </row>
    <row r="14" spans="1:24" x14ac:dyDescent="0.25">
      <c r="A14" s="8" t="s">
        <v>30</v>
      </c>
      <c r="B14" s="9" t="b">
        <v>0</v>
      </c>
      <c r="C14" s="59"/>
      <c r="D14" s="60"/>
      <c r="E14" s="61">
        <v>5.117141236272109E-3</v>
      </c>
      <c r="F14" s="62">
        <v>0.9947686615934479</v>
      </c>
      <c r="G14" s="44" t="str">
        <f t="shared" si="1"/>
        <v>obj_0014d#0008</v>
      </c>
      <c r="H14" s="18" t="str">
        <f>_xll.qlSimpleQuote(,K14,M14,N14,O14,P14)</f>
        <v>obj_0010e#0008</v>
      </c>
      <c r="K14" s="27">
        <f t="shared" si="2"/>
        <v>1.1819999999999999E-2</v>
      </c>
      <c r="L14" s="36" t="s">
        <v>3</v>
      </c>
      <c r="M14" s="3">
        <f t="shared" si="4"/>
        <v>0.01</v>
      </c>
      <c r="N14" s="11" t="b">
        <v>0</v>
      </c>
      <c r="O14" s="34">
        <f t="shared" si="3"/>
        <v>1</v>
      </c>
      <c r="P14" s="7" t="b">
        <v>1</v>
      </c>
      <c r="Q14" s="26" t="s">
        <v>419</v>
      </c>
      <c r="R14" s="3">
        <v>1.1819999999999999</v>
      </c>
      <c r="S14" s="2"/>
      <c r="T14" s="2"/>
      <c r="U14" s="6"/>
      <c r="X14" s="103"/>
    </row>
    <row r="15" spans="1:24" x14ac:dyDescent="0.25">
      <c r="A15" s="8" t="s">
        <v>18</v>
      </c>
      <c r="B15" s="9" t="s">
        <v>215</v>
      </c>
      <c r="C15" s="59"/>
      <c r="D15" s="60"/>
      <c r="E15" s="61">
        <v>1.1898199400016832E-2</v>
      </c>
      <c r="F15" s="62">
        <v>0.97603278050069631</v>
      </c>
      <c r="G15" s="44" t="str">
        <f t="shared" si="1"/>
        <v>obj_0012b#0008</v>
      </c>
      <c r="H15" s="18" t="str">
        <f>_xll.qlSimpleQuote(,K15,M15,N15,O15,P15)</f>
        <v>obj_0011d#0008</v>
      </c>
      <c r="K15" s="27">
        <f t="shared" si="2"/>
        <v>1.6469999999999999E-2</v>
      </c>
      <c r="L15" s="36" t="s">
        <v>4</v>
      </c>
      <c r="M15" s="3">
        <f t="shared" si="4"/>
        <v>0.01</v>
      </c>
      <c r="N15" s="11" t="b">
        <v>0</v>
      </c>
      <c r="O15" s="34">
        <f t="shared" si="3"/>
        <v>1</v>
      </c>
      <c r="P15" s="7" t="b">
        <v>1</v>
      </c>
      <c r="Q15" s="26" t="s">
        <v>420</v>
      </c>
      <c r="R15" s="3">
        <v>1.647</v>
      </c>
      <c r="S15" s="2"/>
      <c r="T15" s="2"/>
      <c r="U15" s="6"/>
      <c r="X15" s="103"/>
    </row>
    <row r="16" spans="1:24" x14ac:dyDescent="0.25">
      <c r="A16" s="8" t="s">
        <v>31</v>
      </c>
      <c r="B16" s="9"/>
      <c r="C16" s="24"/>
      <c r="D16" s="2"/>
      <c r="E16" s="61">
        <v>1.6420065302954878E-2</v>
      </c>
      <c r="F16" s="62">
        <v>0.95115218859293671</v>
      </c>
      <c r="G16" s="44" t="str">
        <f t="shared" si="1"/>
        <v>obj_0013a#0008</v>
      </c>
      <c r="H16" s="18" t="str">
        <f>_xll.qlSimpleQuote(,K16,M16,N16,O16,P16)</f>
        <v>obj_00114#0008</v>
      </c>
      <c r="K16" s="27">
        <f t="shared" si="2"/>
        <v>2.215E-2</v>
      </c>
      <c r="L16" s="36" t="s">
        <v>5</v>
      </c>
      <c r="M16" s="3">
        <f t="shared" si="4"/>
        <v>0.01</v>
      </c>
      <c r="N16" s="11" t="b">
        <v>0</v>
      </c>
      <c r="O16" s="34">
        <f t="shared" si="3"/>
        <v>1</v>
      </c>
      <c r="P16" s="7" t="b">
        <v>1</v>
      </c>
      <c r="Q16" s="26" t="s">
        <v>421</v>
      </c>
      <c r="R16" s="3">
        <v>2.2149999999999999</v>
      </c>
      <c r="S16" s="2"/>
      <c r="T16" s="2"/>
      <c r="U16" s="6"/>
      <c r="X16" s="103"/>
    </row>
    <row r="17" spans="1:25" x14ac:dyDescent="0.25">
      <c r="A17" s="8" t="s">
        <v>13</v>
      </c>
      <c r="B17" s="11" t="b">
        <v>0</v>
      </c>
      <c r="C17" s="24"/>
      <c r="D17" s="2"/>
      <c r="E17" s="61">
        <v>2.2181293066440198E-2</v>
      </c>
      <c r="F17" s="62">
        <v>0.89347968862373484</v>
      </c>
      <c r="G17" s="44" t="str">
        <f t="shared" si="1"/>
        <v>obj_0014c#0008</v>
      </c>
      <c r="H17" s="18" t="str">
        <f>_xll.qlSimpleQuote(,K17,M17,N17,O17,P17)</f>
        <v>obj_0011a#0008</v>
      </c>
      <c r="K17" s="27">
        <f t="shared" si="2"/>
        <v>2.5739999999999999E-2</v>
      </c>
      <c r="L17" s="36" t="s">
        <v>6</v>
      </c>
      <c r="M17" s="3">
        <f t="shared" si="4"/>
        <v>0.01</v>
      </c>
      <c r="N17" s="11" t="b">
        <v>0</v>
      </c>
      <c r="O17" s="34">
        <f t="shared" si="3"/>
        <v>1</v>
      </c>
      <c r="P17" s="7" t="b">
        <v>1</v>
      </c>
      <c r="Q17" s="26" t="s">
        <v>422</v>
      </c>
      <c r="R17" s="3">
        <v>2.5739999999999998</v>
      </c>
      <c r="S17" s="2"/>
      <c r="T17" s="2"/>
      <c r="U17" s="6"/>
      <c r="X17" s="103"/>
      <c r="Y17" s="6"/>
    </row>
    <row r="18" spans="1:25" ht="15.75" thickBot="1" x14ac:dyDescent="0.3">
      <c r="A18" s="8" t="s">
        <v>14</v>
      </c>
      <c r="B18" s="34">
        <f>$B$5</f>
        <v>1</v>
      </c>
      <c r="C18" s="24"/>
      <c r="D18" s="2"/>
      <c r="E18" s="61">
        <v>2.5948962753428461E-2</v>
      </c>
      <c r="F18" s="62">
        <v>0.83143842350159591</v>
      </c>
      <c r="G18" s="45" t="str">
        <f t="shared" si="1"/>
        <v>obj_00142#0008</v>
      </c>
      <c r="H18" s="18" t="str">
        <f>_xll.qlSimpleQuote(,K18,M18,N18,O18,P18)</f>
        <v>obj_00100#0008</v>
      </c>
      <c r="K18" s="27">
        <f t="shared" si="2"/>
        <v>2.8889999999999999E-2</v>
      </c>
      <c r="L18" s="36" t="s">
        <v>7</v>
      </c>
      <c r="M18" s="3">
        <f t="shared" si="4"/>
        <v>0.01</v>
      </c>
      <c r="N18" s="11" t="b">
        <v>0</v>
      </c>
      <c r="O18" s="34">
        <f t="shared" si="3"/>
        <v>1</v>
      </c>
      <c r="P18" s="7" t="b">
        <v>1</v>
      </c>
      <c r="Q18" s="26" t="s">
        <v>423</v>
      </c>
      <c r="R18" s="3">
        <v>2.8889999999999998</v>
      </c>
      <c r="Y18" s="6"/>
    </row>
    <row r="19" spans="1:25" x14ac:dyDescent="0.25">
      <c r="A19" s="8" t="s">
        <v>15</v>
      </c>
      <c r="B19" s="11" t="b">
        <v>1</v>
      </c>
      <c r="C19" s="24"/>
      <c r="D19" s="2"/>
      <c r="E19" s="61">
        <v>2.921399786147881E-2</v>
      </c>
      <c r="F19" s="62">
        <v>0.74339921409650211</v>
      </c>
      <c r="G19" s="43" t="str">
        <f t="shared" si="1"/>
        <v>obj_0014e#0008</v>
      </c>
      <c r="H19" s="18" t="str">
        <f>_xll.qlSimpleQuote(,K19,M19,N19,O19,P19)</f>
        <v>obj_0011e#0008</v>
      </c>
      <c r="K19" s="27">
        <f t="shared" si="2"/>
        <v>4.0600000000000002E-3</v>
      </c>
      <c r="L19" s="36" t="s">
        <v>1</v>
      </c>
      <c r="M19" s="3">
        <f t="shared" si="4"/>
        <v>0.01</v>
      </c>
      <c r="N19" s="11" t="b">
        <v>0</v>
      </c>
      <c r="O19" s="34">
        <f t="shared" si="3"/>
        <v>1</v>
      </c>
      <c r="P19" s="7" t="b">
        <v>1</v>
      </c>
      <c r="Q19" s="26" t="s">
        <v>424</v>
      </c>
      <c r="R19" s="3">
        <v>0.40600000000000003</v>
      </c>
      <c r="S19" s="63"/>
      <c r="T19" s="63"/>
      <c r="Y19" s="6"/>
    </row>
    <row r="20" spans="1:25" x14ac:dyDescent="0.25">
      <c r="A20" s="110" t="s">
        <v>48</v>
      </c>
      <c r="B20" s="110"/>
      <c r="C20" s="24"/>
      <c r="D20" s="2"/>
      <c r="E20" s="61">
        <f t="array" ref="E20:E28">_xll.qlYieldTSZeroRate(B22,$D$2:$D$10,A62,A63,A64,A65,A66)</f>
        <v>4.0579409437106377E-3</v>
      </c>
      <c r="F20" s="62">
        <f t="array" ref="F20:F28">_xll.qlYieldTSDiscount(B22,D2:D10,TRUE,B5)</f>
        <v>1</v>
      </c>
      <c r="G20" s="44" t="str">
        <f t="shared" si="1"/>
        <v>obj_00141#0008</v>
      </c>
      <c r="H20" s="18" t="str">
        <f>_xll.qlSimpleQuote(,K20,M20,N20,O20,P20)</f>
        <v>obj_0010f#0008</v>
      </c>
      <c r="I20" s="63"/>
      <c r="J20" s="63"/>
      <c r="K20" s="27">
        <f t="shared" si="2"/>
        <v>3.4599999999999995E-3</v>
      </c>
      <c r="L20" s="36" t="s">
        <v>69</v>
      </c>
      <c r="M20" s="3">
        <f t="shared" si="4"/>
        <v>0.01</v>
      </c>
      <c r="N20" s="11" t="b">
        <v>0</v>
      </c>
      <c r="O20" s="34">
        <f t="shared" si="3"/>
        <v>1</v>
      </c>
      <c r="P20" s="7" t="b">
        <v>1</v>
      </c>
      <c r="Q20" s="26" t="s">
        <v>425</v>
      </c>
      <c r="R20" s="3">
        <v>0.34599999999999997</v>
      </c>
      <c r="S20" s="63"/>
      <c r="T20" s="63"/>
      <c r="Y20" s="6"/>
    </row>
    <row r="21" spans="1:25" x14ac:dyDescent="0.25">
      <c r="A21" s="63" t="s">
        <v>477</v>
      </c>
      <c r="B21" s="13" t="str">
        <f>_xll.qlPiecewiseYieldCurve(A21,B26,B27,G27:G34,B29,B30,B31,B32,B33,B34,B35,B36,B37)</f>
        <v>AUDBBB#0008</v>
      </c>
      <c r="C21" s="24"/>
      <c r="D21" s="2"/>
      <c r="E21" s="61">
        <v>4.0579409431760541E-3</v>
      </c>
      <c r="F21" s="62">
        <v>0.99896350817696633</v>
      </c>
      <c r="G21" s="44" t="str">
        <f t="shared" si="1"/>
        <v>obj_00125#0008</v>
      </c>
      <c r="H21" s="18" t="str">
        <f>_xll.qlSimpleQuote(,K21,M21,N21,O21,P21)</f>
        <v>obj_00109#0008</v>
      </c>
      <c r="I21" s="63"/>
      <c r="J21" s="63"/>
      <c r="K21" s="27">
        <f t="shared" si="2"/>
        <v>5.6999999999999993E-3</v>
      </c>
      <c r="L21" s="36" t="s">
        <v>2</v>
      </c>
      <c r="M21" s="3">
        <f t="shared" si="4"/>
        <v>0.01</v>
      </c>
      <c r="N21" s="11" t="b">
        <v>0</v>
      </c>
      <c r="O21" s="34">
        <f t="shared" si="3"/>
        <v>1</v>
      </c>
      <c r="P21" s="7" t="b">
        <v>1</v>
      </c>
      <c r="Q21" s="26" t="s">
        <v>426</v>
      </c>
      <c r="R21" s="3">
        <v>0.56999999999999995</v>
      </c>
      <c r="S21" s="63"/>
      <c r="T21" s="63"/>
      <c r="Y21" s="6"/>
    </row>
    <row r="22" spans="1:25" x14ac:dyDescent="0.25">
      <c r="A22" s="63" t="s">
        <v>476</v>
      </c>
      <c r="B22" s="13" t="str">
        <f>_xll.qlPiecewiseYieldCurve(A22,B26,B27,G19:G26,B29,B30,B31,B32,B33,B34,B35,B36,B37)</f>
        <v>AUDA#0008</v>
      </c>
      <c r="C22" s="24"/>
      <c r="D22" s="2"/>
      <c r="E22" s="61">
        <v>3.4635616851104922E-3</v>
      </c>
      <c r="F22" s="62">
        <v>0.99824090516757036</v>
      </c>
      <c r="G22" s="44" t="str">
        <f t="shared" si="1"/>
        <v>obj_00149#0008</v>
      </c>
      <c r="H22" s="18" t="str">
        <f>_xll.qlSimpleQuote(,K22,M22,N22,O22,P22)</f>
        <v>obj_000fa#0008</v>
      </c>
      <c r="I22" s="63"/>
      <c r="J22" s="63"/>
      <c r="K22" s="27">
        <f t="shared" si="2"/>
        <v>1.2580000000000001E-2</v>
      </c>
      <c r="L22" s="36" t="s">
        <v>3</v>
      </c>
      <c r="M22" s="3">
        <f t="shared" si="4"/>
        <v>0.01</v>
      </c>
      <c r="N22" s="11" t="b">
        <v>0</v>
      </c>
      <c r="O22" s="34">
        <f t="shared" si="3"/>
        <v>1</v>
      </c>
      <c r="P22" s="7" t="b">
        <v>1</v>
      </c>
      <c r="Q22" s="26" t="s">
        <v>427</v>
      </c>
      <c r="R22" s="3">
        <v>1.258</v>
      </c>
      <c r="S22" s="63"/>
      <c r="T22" s="63"/>
      <c r="Y22" s="6"/>
    </row>
    <row r="23" spans="1:25" x14ac:dyDescent="0.25">
      <c r="A23" s="63" t="s">
        <v>475</v>
      </c>
      <c r="B23" s="13" t="str">
        <f>_xll.qlPiecewiseYieldCurve(A23,B26,B27,G11:G18,B29,B30,B31,B32,B33,B34,B35,B36,B37)</f>
        <v>AUDAA#0008</v>
      </c>
      <c r="C23" s="24"/>
      <c r="D23" s="2"/>
      <c r="E23" s="61">
        <v>5.7577224239415137E-3</v>
      </c>
      <c r="F23" s="62">
        <v>0.99411571513486274</v>
      </c>
      <c r="G23" s="44" t="str">
        <f t="shared" si="1"/>
        <v>obj_00134#0008</v>
      </c>
      <c r="H23" s="18" t="str">
        <f>_xll.qlSimpleQuote(,K23,M23,N23,O23,P23)</f>
        <v>obj_00105#0008</v>
      </c>
      <c r="I23" s="63"/>
      <c r="J23" s="63"/>
      <c r="K23" s="27">
        <f t="shared" si="2"/>
        <v>1.7639999999999999E-2</v>
      </c>
      <c r="L23" s="36" t="s">
        <v>4</v>
      </c>
      <c r="M23" s="3">
        <f t="shared" si="4"/>
        <v>0.01</v>
      </c>
      <c r="N23" s="11" t="b">
        <v>0</v>
      </c>
      <c r="O23" s="34">
        <f t="shared" si="3"/>
        <v>1</v>
      </c>
      <c r="P23" s="7" t="b">
        <v>1</v>
      </c>
      <c r="Q23" s="26" t="s">
        <v>428</v>
      </c>
      <c r="R23" s="3">
        <v>1.764</v>
      </c>
      <c r="S23" s="63"/>
      <c r="T23" s="63"/>
      <c r="Y23" s="6"/>
    </row>
    <row r="24" spans="1:25" x14ac:dyDescent="0.25">
      <c r="A24" s="63" t="s">
        <v>474</v>
      </c>
      <c r="B24" s="13" t="str">
        <f>_xll.qlPiecewiseYieldCurve(A24,B26,B27,G3:G10,B29,B30,B31,B32,B33,B34,B35,B36,B37)</f>
        <v>AUDAAA#0008</v>
      </c>
      <c r="C24" s="24"/>
      <c r="D24" s="2"/>
      <c r="E24" s="61">
        <v>1.2663006457997996E-2</v>
      </c>
      <c r="F24" s="62">
        <v>0.97451198337094169</v>
      </c>
      <c r="G24" s="44" t="str">
        <f t="shared" si="1"/>
        <v>obj_0013f#0008</v>
      </c>
      <c r="H24" s="18" t="str">
        <f>_xll.qlSimpleQuote(,K24,M24,N24,O24,P24)</f>
        <v>obj_00101#0008</v>
      </c>
      <c r="I24" s="63"/>
      <c r="J24" s="63"/>
      <c r="K24" s="27">
        <f t="shared" si="2"/>
        <v>2.3519999999999999E-2</v>
      </c>
      <c r="L24" s="36" t="s">
        <v>5</v>
      </c>
      <c r="M24" s="3">
        <f t="shared" si="4"/>
        <v>0.01</v>
      </c>
      <c r="N24" s="11" t="b">
        <v>0</v>
      </c>
      <c r="O24" s="34">
        <f t="shared" si="3"/>
        <v>1</v>
      </c>
      <c r="P24" s="7" t="b">
        <v>1</v>
      </c>
      <c r="Q24" s="26" t="s">
        <v>429</v>
      </c>
      <c r="R24" s="3">
        <v>2.3519999999999999</v>
      </c>
      <c r="S24" s="63"/>
      <c r="T24" s="63"/>
      <c r="Y24" s="6"/>
    </row>
    <row r="25" spans="1:25" x14ac:dyDescent="0.25">
      <c r="A25" s="3" t="s">
        <v>35</v>
      </c>
      <c r="B25" s="3" t="s">
        <v>106</v>
      </c>
      <c r="C25" s="24"/>
      <c r="D25" s="2"/>
      <c r="E25" s="61">
        <v>1.7589128633059881E-2</v>
      </c>
      <c r="F25" s="62">
        <v>0.94776675850520731</v>
      </c>
      <c r="G25" s="44" t="str">
        <f t="shared" si="1"/>
        <v>obj_00137#0008</v>
      </c>
      <c r="H25" s="18" t="str">
        <f>_xll.qlSimpleQuote(,K25,M25,N25,O25,P25)</f>
        <v>obj_00119#0008</v>
      </c>
      <c r="I25" s="63"/>
      <c r="J25" s="63"/>
      <c r="K25" s="27">
        <f t="shared" si="2"/>
        <v>2.7300000000000001E-2</v>
      </c>
      <c r="L25" s="36" t="s">
        <v>6</v>
      </c>
      <c r="M25" s="3">
        <f t="shared" si="4"/>
        <v>0.01</v>
      </c>
      <c r="N25" s="11" t="b">
        <v>0</v>
      </c>
      <c r="O25" s="34">
        <f t="shared" si="3"/>
        <v>1</v>
      </c>
      <c r="P25" s="7" t="b">
        <v>1</v>
      </c>
      <c r="Q25" s="26" t="s">
        <v>430</v>
      </c>
      <c r="R25" s="3">
        <v>2.73</v>
      </c>
      <c r="S25" s="63"/>
      <c r="T25" s="63"/>
      <c r="Y25" s="6"/>
    </row>
    <row r="26" spans="1:25" ht="15.75" thickBot="1" x14ac:dyDescent="0.3">
      <c r="A26" s="3" t="s">
        <v>36</v>
      </c>
      <c r="B26" s="3">
        <v>0</v>
      </c>
      <c r="C26" s="24"/>
      <c r="D26" s="2"/>
      <c r="E26" s="61">
        <v>2.3554638724954391E-2</v>
      </c>
      <c r="F26" s="62">
        <v>0.88727064333081007</v>
      </c>
      <c r="G26" s="45" t="str">
        <f t="shared" si="1"/>
        <v>obj_00129#0008</v>
      </c>
      <c r="H26" s="18" t="str">
        <f>_xll.qlSimpleQuote(,K26,M26,N26,O26,P26)</f>
        <v>obj_000fd#0008</v>
      </c>
      <c r="I26" s="63"/>
      <c r="J26" s="63"/>
      <c r="K26" s="27">
        <f t="shared" si="2"/>
        <v>3.1530000000000002E-2</v>
      </c>
      <c r="L26" s="36" t="s">
        <v>7</v>
      </c>
      <c r="M26" s="3">
        <f t="shared" si="4"/>
        <v>0.01</v>
      </c>
      <c r="N26" s="11" t="b">
        <v>0</v>
      </c>
      <c r="O26" s="34">
        <f t="shared" si="3"/>
        <v>1</v>
      </c>
      <c r="P26" s="7" t="b">
        <v>1</v>
      </c>
      <c r="Q26" s="26" t="s">
        <v>431</v>
      </c>
      <c r="R26" s="3">
        <v>3.153</v>
      </c>
      <c r="S26" s="63"/>
      <c r="T26" s="63"/>
      <c r="Y26" s="6"/>
    </row>
    <row r="27" spans="1:25" x14ac:dyDescent="0.25">
      <c r="A27" s="3" t="s">
        <v>37</v>
      </c>
      <c r="B27" s="2" t="str">
        <f>B12</f>
        <v>Australia</v>
      </c>
      <c r="C27" s="24"/>
      <c r="D27" s="2"/>
      <c r="E27" s="61">
        <v>2.7529281314053529E-2</v>
      </c>
      <c r="F27" s="62">
        <v>0.8221435628889433</v>
      </c>
      <c r="G27" s="43" t="str">
        <f t="shared" si="1"/>
        <v>obj_0013e#0008</v>
      </c>
      <c r="H27" s="18" t="str">
        <f>_xll.qlSimpleQuote(,K27,M27,N27,O27,P27)</f>
        <v>obj_00113#0008</v>
      </c>
      <c r="I27" s="63"/>
      <c r="J27" s="63"/>
      <c r="K27" s="27">
        <f t="shared" si="2"/>
        <v>3.7000000000000002E-3</v>
      </c>
      <c r="L27" s="36" t="s">
        <v>1</v>
      </c>
      <c r="M27" s="3">
        <f t="shared" si="4"/>
        <v>0.01</v>
      </c>
      <c r="N27" s="11" t="b">
        <v>0</v>
      </c>
      <c r="O27" s="34">
        <f t="shared" si="3"/>
        <v>1</v>
      </c>
      <c r="P27" s="7" t="b">
        <v>1</v>
      </c>
      <c r="Q27" s="26" t="s">
        <v>432</v>
      </c>
      <c r="R27" s="3">
        <v>0.37</v>
      </c>
      <c r="S27" s="63"/>
      <c r="T27" s="63"/>
      <c r="Y27" s="6"/>
    </row>
    <row r="28" spans="1:25" x14ac:dyDescent="0.25">
      <c r="A28" s="3" t="s">
        <v>38</v>
      </c>
      <c r="C28" s="24"/>
      <c r="D28" s="2"/>
      <c r="E28" s="61">
        <v>3.2007455375208764E-2</v>
      </c>
      <c r="F28" s="62">
        <v>0.72261718956516463</v>
      </c>
      <c r="G28" s="44" t="str">
        <f t="shared" si="1"/>
        <v>obj_00135#0008</v>
      </c>
      <c r="H28" s="18" t="str">
        <f>_xll.qlSimpleQuote(,K28,M28,N28,O28,P28)</f>
        <v>obj_00123#0008</v>
      </c>
      <c r="I28" s="63"/>
      <c r="J28" s="63"/>
      <c r="K28" s="27">
        <f t="shared" si="2"/>
        <v>3.8400000000000001E-3</v>
      </c>
      <c r="L28" s="36" t="s">
        <v>69</v>
      </c>
      <c r="M28" s="3">
        <f t="shared" si="4"/>
        <v>0.01</v>
      </c>
      <c r="N28" s="11" t="b">
        <v>0</v>
      </c>
      <c r="O28" s="34">
        <f t="shared" si="3"/>
        <v>1</v>
      </c>
      <c r="P28" s="7" t="b">
        <v>1</v>
      </c>
      <c r="Q28" s="26" t="s">
        <v>433</v>
      </c>
      <c r="R28" s="3">
        <v>0.38400000000000001</v>
      </c>
      <c r="S28" s="63"/>
      <c r="T28" s="63"/>
      <c r="Y28" s="6"/>
    </row>
    <row r="29" spans="1:25" x14ac:dyDescent="0.25">
      <c r="A29" s="3" t="s">
        <v>39</v>
      </c>
      <c r="B29" s="3" t="str">
        <f>B15</f>
        <v>A/360</v>
      </c>
      <c r="C29" s="24"/>
      <c r="D29" s="2"/>
      <c r="E29" s="61">
        <f t="array" ref="E29:E37">_xll.qlYieldTSZeroRate(B21,$D$2:$D$10,A62,A63,A64,A65,A66)</f>
        <v>3.698289803318826E-3</v>
      </c>
      <c r="F29" s="62">
        <f t="array" ref="F29:F37">_xll.qlYieldTSDiscount(B21,D2:D10,TRUE,B5)</f>
        <v>1</v>
      </c>
      <c r="G29" s="44" t="str">
        <f t="shared" si="1"/>
        <v>obj_0013c#0008</v>
      </c>
      <c r="H29" s="18" t="str">
        <f>_xll.qlSimpleQuote(,K29,M29,N29,O29,P29)</f>
        <v>obj_0010b#0008</v>
      </c>
      <c r="I29" s="63"/>
      <c r="J29" s="63"/>
      <c r="K29" s="27">
        <f t="shared" si="2"/>
        <v>6.8700000000000002E-3</v>
      </c>
      <c r="L29" s="36" t="s">
        <v>2</v>
      </c>
      <c r="M29" s="3">
        <f t="shared" si="4"/>
        <v>0.01</v>
      </c>
      <c r="N29" s="11" t="b">
        <v>0</v>
      </c>
      <c r="O29" s="34">
        <f t="shared" si="3"/>
        <v>1</v>
      </c>
      <c r="P29" s="7" t="b">
        <v>1</v>
      </c>
      <c r="Q29" s="26" t="s">
        <v>434</v>
      </c>
      <c r="R29" s="3">
        <v>0.68700000000000006</v>
      </c>
      <c r="S29" s="63"/>
      <c r="T29" s="63"/>
      <c r="Y29" s="6"/>
    </row>
    <row r="30" spans="1:25" x14ac:dyDescent="0.25">
      <c r="A30" s="3" t="s">
        <v>40</v>
      </c>
      <c r="C30" s="24"/>
      <c r="D30" s="2"/>
      <c r="E30" s="61">
        <v>3.6982898045387642E-3</v>
      </c>
      <c r="F30" s="62">
        <v>0.99905532797821939</v>
      </c>
      <c r="G30" s="44" t="str">
        <f t="shared" si="1"/>
        <v>obj_00126#0008</v>
      </c>
      <c r="H30" s="18" t="str">
        <f>_xll.qlSimpleQuote(,K30,M30,N30,O30,P30)</f>
        <v>obj_000fc#0008</v>
      </c>
      <c r="I30" s="63"/>
      <c r="J30" s="63"/>
      <c r="K30" s="27">
        <f t="shared" si="2"/>
        <v>1.474E-2</v>
      </c>
      <c r="L30" s="36" t="s">
        <v>3</v>
      </c>
      <c r="M30" s="3">
        <f t="shared" si="4"/>
        <v>0.01</v>
      </c>
      <c r="N30" s="11" t="b">
        <v>0</v>
      </c>
      <c r="O30" s="34">
        <f t="shared" si="3"/>
        <v>1</v>
      </c>
      <c r="P30" s="7" t="b">
        <v>1</v>
      </c>
      <c r="Q30" s="26" t="s">
        <v>435</v>
      </c>
      <c r="R30" s="3">
        <v>1.474</v>
      </c>
      <c r="S30" s="63"/>
      <c r="T30" s="63"/>
      <c r="Y30" s="6"/>
    </row>
    <row r="31" spans="1:25" x14ac:dyDescent="0.25">
      <c r="A31" s="3" t="s">
        <v>41</v>
      </c>
      <c r="C31" s="24"/>
      <c r="D31" s="2"/>
      <c r="E31" s="61">
        <v>3.8347895992413613E-3</v>
      </c>
      <c r="F31" s="62">
        <v>0.99805254737180804</v>
      </c>
      <c r="G31" s="44" t="str">
        <f t="shared" si="1"/>
        <v>obj_0012f#0008</v>
      </c>
      <c r="H31" s="18" t="str">
        <f>_xll.qlSimpleQuote(,K31,M31,N31,O31,P31)</f>
        <v>obj_000fb#0008</v>
      </c>
      <c r="I31" s="63"/>
      <c r="J31" s="63"/>
      <c r="K31" s="27">
        <f t="shared" si="2"/>
        <v>2.0049999999999998E-2</v>
      </c>
      <c r="L31" s="36" t="s">
        <v>4</v>
      </c>
      <c r="M31" s="3">
        <f t="shared" si="4"/>
        <v>0.01</v>
      </c>
      <c r="N31" s="11" t="b">
        <v>0</v>
      </c>
      <c r="O31" s="34">
        <f t="shared" si="3"/>
        <v>1</v>
      </c>
      <c r="P31" s="7" t="b">
        <v>1</v>
      </c>
      <c r="Q31" s="26" t="s">
        <v>436</v>
      </c>
      <c r="R31" s="3">
        <v>2.0049999999999999</v>
      </c>
      <c r="S31" s="63"/>
      <c r="T31" s="63"/>
      <c r="Y31" s="6"/>
    </row>
    <row r="32" spans="1:25" x14ac:dyDescent="0.25">
      <c r="A32" s="3" t="s">
        <v>42</v>
      </c>
      <c r="C32" s="24"/>
      <c r="D32" s="2"/>
      <c r="E32" s="61">
        <v>6.934216547924507E-3</v>
      </c>
      <c r="F32" s="62">
        <v>0.9929176270912673</v>
      </c>
      <c r="G32" s="44" t="str">
        <f t="shared" si="1"/>
        <v>obj_0013d#0008</v>
      </c>
      <c r="H32" s="18" t="str">
        <f>_xll.qlSimpleQuote(,K32,M32,N32,O32,P32)</f>
        <v>obj_000f8#0008</v>
      </c>
      <c r="I32" s="63"/>
      <c r="J32" s="63"/>
      <c r="K32" s="27">
        <f t="shared" si="2"/>
        <v>2.657E-2</v>
      </c>
      <c r="L32" s="36" t="s">
        <v>5</v>
      </c>
      <c r="M32" s="3">
        <f t="shared" si="4"/>
        <v>0.01</v>
      </c>
      <c r="N32" s="11" t="b">
        <v>0</v>
      </c>
      <c r="O32" s="34">
        <f t="shared" si="3"/>
        <v>1</v>
      </c>
      <c r="P32" s="7" t="b">
        <v>1</v>
      </c>
      <c r="Q32" s="26" t="s">
        <v>437</v>
      </c>
      <c r="R32" s="3">
        <v>2.657</v>
      </c>
      <c r="S32" s="63"/>
      <c r="T32" s="63"/>
      <c r="Y32" s="6"/>
    </row>
    <row r="33" spans="1:25" x14ac:dyDescent="0.25">
      <c r="A33" s="3" t="s">
        <v>43</v>
      </c>
      <c r="B33" s="23" t="s">
        <v>71</v>
      </c>
      <c r="C33" s="24"/>
      <c r="D33" s="2"/>
      <c r="E33" s="61">
        <v>1.4823085127901018E-2</v>
      </c>
      <c r="F33" s="62">
        <v>0.97022951354936271</v>
      </c>
      <c r="G33" s="44" t="str">
        <f t="shared" si="1"/>
        <v>obj_0012a#0008</v>
      </c>
      <c r="H33" s="18" t="str">
        <f>_xll.qlSimpleQuote(,K33,M33,N33,O33,P33)</f>
        <v>obj_000fe#0008</v>
      </c>
      <c r="I33" s="63"/>
      <c r="J33" s="63"/>
      <c r="K33" s="27">
        <f t="shared" si="2"/>
        <v>3.1120000000000002E-2</v>
      </c>
      <c r="L33" s="36" t="s">
        <v>6</v>
      </c>
      <c r="M33" s="3">
        <f t="shared" si="4"/>
        <v>0.01</v>
      </c>
      <c r="N33" s="11" t="b">
        <v>0</v>
      </c>
      <c r="O33" s="34">
        <f t="shared" si="3"/>
        <v>1</v>
      </c>
      <c r="P33" s="7" t="b">
        <v>1</v>
      </c>
      <c r="Q33" s="26" t="s">
        <v>438</v>
      </c>
      <c r="R33" s="3">
        <v>3.1120000000000001</v>
      </c>
      <c r="S33" s="63"/>
      <c r="T33" s="63"/>
      <c r="Y33" s="6"/>
    </row>
    <row r="34" spans="1:25" ht="15.75" thickBot="1" x14ac:dyDescent="0.3">
      <c r="A34" s="3" t="s">
        <v>44</v>
      </c>
      <c r="B34" s="3" t="s">
        <v>52</v>
      </c>
      <c r="C34" s="24"/>
      <c r="D34" s="2"/>
      <c r="E34" s="61">
        <v>1.9977890501295954E-2</v>
      </c>
      <c r="F34" s="62">
        <v>0.94088668536229136</v>
      </c>
      <c r="G34" s="45" t="str">
        <f t="shared" si="1"/>
        <v>obj_00128#0008</v>
      </c>
      <c r="H34" s="18" t="str">
        <f>_xll.qlSimpleQuote(,K34,M34,N34,O34,P34)</f>
        <v>obj_00115#0008</v>
      </c>
      <c r="I34" s="63"/>
      <c r="J34" s="63"/>
      <c r="K34" s="27">
        <f t="shared" si="2"/>
        <v>3.4529999999999998E-2</v>
      </c>
      <c r="L34" s="36" t="s">
        <v>7</v>
      </c>
      <c r="M34" s="3">
        <f t="shared" si="4"/>
        <v>0.01</v>
      </c>
      <c r="N34" s="11" t="b">
        <v>0</v>
      </c>
      <c r="O34" s="34">
        <f t="shared" si="3"/>
        <v>1</v>
      </c>
      <c r="P34" s="7" t="b">
        <v>1</v>
      </c>
      <c r="Q34" s="26" t="s">
        <v>439</v>
      </c>
      <c r="R34" s="3">
        <v>3.4529999999999998</v>
      </c>
      <c r="S34" s="63"/>
      <c r="T34" s="63"/>
      <c r="Y34" s="6"/>
    </row>
    <row r="35" spans="1:25" x14ac:dyDescent="0.25">
      <c r="A35" s="3" t="s">
        <v>45</v>
      </c>
      <c r="B35" s="11" t="b">
        <v>0</v>
      </c>
      <c r="C35" s="24"/>
      <c r="D35" s="2"/>
      <c r="E35" s="61">
        <v>2.6605869153298514E-2</v>
      </c>
      <c r="F35" s="62">
        <v>0.87362968791906448</v>
      </c>
      <c r="G35" s="71"/>
      <c r="H35" s="18"/>
      <c r="I35" s="63"/>
      <c r="J35" s="63"/>
      <c r="K35" s="27"/>
      <c r="L35" s="36"/>
      <c r="N35" s="11"/>
      <c r="O35" s="34"/>
      <c r="P35" s="7"/>
      <c r="Q35" s="63"/>
      <c r="R35" s="63"/>
      <c r="S35" s="63"/>
      <c r="T35" s="63"/>
      <c r="Y35" s="6"/>
    </row>
    <row r="36" spans="1:25" x14ac:dyDescent="0.25">
      <c r="A36" s="3" t="s">
        <v>46</v>
      </c>
      <c r="B36" s="34">
        <f>$B$5</f>
        <v>1</v>
      </c>
      <c r="C36" s="24"/>
      <c r="D36" s="2"/>
      <c r="E36" s="61">
        <v>3.1423033495865373E-2</v>
      </c>
      <c r="F36" s="62">
        <v>0.79968292882866887</v>
      </c>
      <c r="G36" s="71"/>
      <c r="H36" s="18"/>
      <c r="I36" s="63"/>
      <c r="J36" s="63"/>
      <c r="K36" s="27"/>
      <c r="L36" s="36"/>
      <c r="N36" s="11"/>
      <c r="O36" s="34"/>
      <c r="P36" s="7"/>
      <c r="Q36" s="63"/>
      <c r="R36" s="63"/>
      <c r="S36" s="63"/>
      <c r="T36" s="63"/>
      <c r="Y36" s="6"/>
    </row>
    <row r="37" spans="1:25" x14ac:dyDescent="0.25">
      <c r="A37" s="3" t="s">
        <v>47</v>
      </c>
      <c r="B37" s="11" t="b">
        <v>1</v>
      </c>
      <c r="C37" s="24"/>
      <c r="D37" s="2"/>
      <c r="E37" s="61">
        <v>3.4967331157000306E-2</v>
      </c>
      <c r="F37" s="62">
        <v>0.70123065341168034</v>
      </c>
      <c r="G37" s="71"/>
      <c r="H37" s="18"/>
      <c r="I37" s="63"/>
      <c r="J37" s="63"/>
      <c r="K37" s="27"/>
      <c r="L37" s="36"/>
      <c r="N37" s="11"/>
      <c r="O37" s="34"/>
      <c r="P37" s="7"/>
      <c r="Q37" s="63"/>
      <c r="R37" s="63"/>
      <c r="S37" s="63"/>
      <c r="T37" s="63"/>
      <c r="Y37" s="6"/>
    </row>
    <row r="38" spans="1:25" x14ac:dyDescent="0.25">
      <c r="C38" s="24"/>
      <c r="D38" s="2"/>
      <c r="E38" s="61"/>
      <c r="F38" s="62"/>
      <c r="G38" s="71"/>
      <c r="H38" s="18"/>
      <c r="I38" s="63"/>
      <c r="J38" s="63"/>
      <c r="K38" s="27"/>
      <c r="L38" s="36"/>
      <c r="N38" s="11"/>
      <c r="O38" s="34"/>
      <c r="P38" s="7"/>
      <c r="Q38" s="63"/>
      <c r="R38" s="63"/>
      <c r="S38" s="63"/>
      <c r="T38" s="63"/>
      <c r="Y38" s="6"/>
    </row>
    <row r="39" spans="1:25" x14ac:dyDescent="0.25">
      <c r="C39" s="24"/>
      <c r="D39" s="24"/>
      <c r="E39" s="61"/>
      <c r="F39" s="62"/>
      <c r="G39" s="71"/>
      <c r="H39" s="18"/>
      <c r="I39" s="63"/>
      <c r="J39" s="63"/>
      <c r="K39" s="27"/>
      <c r="L39" s="36"/>
      <c r="N39" s="11"/>
      <c r="O39" s="34"/>
      <c r="P39" s="7"/>
      <c r="Q39" s="63"/>
      <c r="R39" s="63"/>
      <c r="S39" s="63"/>
      <c r="T39" s="63"/>
      <c r="Y39" s="6"/>
    </row>
    <row r="40" spans="1:25" x14ac:dyDescent="0.25">
      <c r="C40" s="24"/>
      <c r="D40" s="24"/>
      <c r="E40" s="61"/>
      <c r="F40" s="62"/>
      <c r="G40" s="71"/>
      <c r="H40" s="18"/>
      <c r="I40" s="63"/>
      <c r="J40" s="63"/>
      <c r="K40" s="27"/>
      <c r="L40" s="36"/>
      <c r="N40" s="11"/>
      <c r="O40" s="34"/>
      <c r="P40" s="7"/>
      <c r="Q40" s="63"/>
      <c r="R40" s="63"/>
      <c r="S40" s="63"/>
      <c r="T40" s="63"/>
      <c r="Y40" s="6"/>
    </row>
    <row r="41" spans="1:25" x14ac:dyDescent="0.25">
      <c r="C41" s="24"/>
      <c r="D41" s="24"/>
      <c r="E41" s="61"/>
      <c r="F41" s="62"/>
      <c r="G41" s="71"/>
      <c r="H41" s="18"/>
      <c r="I41" s="63"/>
      <c r="J41" s="63"/>
      <c r="K41" s="27"/>
      <c r="L41" s="36"/>
      <c r="N41" s="11"/>
      <c r="O41" s="34"/>
      <c r="P41" s="7"/>
      <c r="Q41" s="63"/>
      <c r="R41" s="63"/>
      <c r="S41" s="63"/>
      <c r="T41" s="63"/>
      <c r="Y41" s="6"/>
    </row>
    <row r="42" spans="1:25" x14ac:dyDescent="0.25">
      <c r="C42" s="24"/>
      <c r="D42" s="24"/>
      <c r="E42" s="61"/>
      <c r="F42" s="62"/>
      <c r="G42" s="71"/>
      <c r="H42" s="18"/>
      <c r="I42" s="63"/>
      <c r="J42" s="63"/>
      <c r="K42" s="27"/>
      <c r="L42" s="36"/>
      <c r="N42" s="11"/>
      <c r="O42" s="34"/>
      <c r="P42" s="7"/>
      <c r="Q42" s="63"/>
      <c r="R42" s="63"/>
      <c r="S42" s="63"/>
      <c r="T42" s="63"/>
      <c r="Y42" s="6"/>
    </row>
    <row r="43" spans="1:25" x14ac:dyDescent="0.25">
      <c r="C43" s="24"/>
      <c r="D43" s="24"/>
      <c r="E43" s="61"/>
      <c r="F43" s="62"/>
      <c r="G43" s="71"/>
      <c r="H43" s="18"/>
      <c r="I43" s="63"/>
      <c r="J43" s="63"/>
      <c r="K43" s="27"/>
      <c r="L43" s="36"/>
      <c r="N43" s="11"/>
      <c r="O43" s="34"/>
      <c r="P43" s="7"/>
      <c r="Q43" s="63"/>
      <c r="R43" s="63"/>
      <c r="S43" s="63"/>
      <c r="T43" s="63"/>
      <c r="Y43" s="6"/>
    </row>
    <row r="44" spans="1:25" x14ac:dyDescent="0.25">
      <c r="C44" s="24"/>
      <c r="D44" s="24"/>
      <c r="E44" s="61"/>
      <c r="F44" s="62"/>
      <c r="G44" s="71"/>
      <c r="H44" s="18"/>
      <c r="I44" s="63"/>
      <c r="J44" s="63"/>
      <c r="K44" s="27"/>
      <c r="L44" s="36"/>
      <c r="N44" s="11"/>
      <c r="O44" s="34"/>
      <c r="P44" s="7"/>
      <c r="Q44" s="63"/>
      <c r="R44" s="63"/>
      <c r="S44" s="63"/>
      <c r="T44" s="63"/>
      <c r="Y44" s="6"/>
    </row>
    <row r="45" spans="1:25" x14ac:dyDescent="0.25">
      <c r="C45" s="24"/>
      <c r="D45" s="24"/>
      <c r="E45" s="61"/>
      <c r="F45" s="62"/>
      <c r="G45" s="71"/>
      <c r="H45" s="18"/>
      <c r="I45" s="63"/>
      <c r="J45" s="63"/>
      <c r="K45" s="27"/>
      <c r="L45" s="36"/>
      <c r="N45" s="11"/>
      <c r="O45" s="34"/>
      <c r="P45" s="7"/>
      <c r="Q45" s="63"/>
      <c r="R45" s="63"/>
      <c r="S45" s="63"/>
      <c r="T45" s="63"/>
      <c r="Y45" s="6"/>
    </row>
    <row r="46" spans="1:25" x14ac:dyDescent="0.25">
      <c r="C46" s="24"/>
      <c r="D46" s="24"/>
      <c r="E46" s="61"/>
      <c r="F46" s="62"/>
      <c r="G46" s="71"/>
      <c r="H46" s="18"/>
      <c r="I46" s="63"/>
      <c r="J46" s="63"/>
      <c r="K46" s="27"/>
      <c r="L46" s="36"/>
      <c r="N46" s="11"/>
      <c r="O46" s="34"/>
      <c r="P46" s="7"/>
      <c r="Q46" s="63"/>
      <c r="R46" s="63"/>
      <c r="S46" s="63"/>
      <c r="T46" s="63"/>
      <c r="Y46" s="6"/>
    </row>
    <row r="47" spans="1:25" x14ac:dyDescent="0.25">
      <c r="C47" s="24"/>
      <c r="D47" s="24"/>
      <c r="E47" s="61"/>
      <c r="F47" s="62"/>
      <c r="G47" s="71"/>
      <c r="H47" s="18"/>
      <c r="I47" s="63"/>
      <c r="J47" s="63"/>
      <c r="K47" s="27"/>
      <c r="L47" s="36"/>
      <c r="N47" s="11"/>
      <c r="O47" s="34"/>
      <c r="P47" s="7"/>
      <c r="Q47" s="63"/>
      <c r="R47" s="63"/>
      <c r="S47" s="63"/>
      <c r="T47" s="63"/>
      <c r="Y47" s="6"/>
    </row>
    <row r="48" spans="1:25" x14ac:dyDescent="0.25">
      <c r="C48" s="24"/>
      <c r="D48" s="24"/>
      <c r="E48" s="61"/>
      <c r="F48" s="62"/>
      <c r="G48" s="71"/>
      <c r="H48" s="18"/>
      <c r="I48" s="63"/>
      <c r="J48" s="63"/>
      <c r="K48" s="27"/>
      <c r="L48" s="36"/>
      <c r="N48" s="11"/>
      <c r="O48" s="34"/>
      <c r="P48" s="7"/>
      <c r="Q48" s="63"/>
      <c r="R48" s="63"/>
      <c r="S48" s="63"/>
      <c r="T48" s="63"/>
      <c r="Y48" s="6"/>
    </row>
    <row r="49" spans="1:26" x14ac:dyDescent="0.25">
      <c r="C49" s="24"/>
      <c r="D49" s="24"/>
      <c r="E49" s="61"/>
      <c r="F49" s="62"/>
      <c r="G49" s="71"/>
      <c r="H49" s="18"/>
      <c r="I49" s="63"/>
      <c r="J49" s="63"/>
      <c r="K49" s="27"/>
      <c r="L49" s="36"/>
      <c r="N49" s="11"/>
      <c r="O49" s="34"/>
      <c r="P49" s="7"/>
      <c r="Q49" s="63"/>
      <c r="R49" s="63"/>
      <c r="S49" s="63"/>
      <c r="T49" s="63"/>
      <c r="Y49" s="6"/>
    </row>
    <row r="50" spans="1:26" x14ac:dyDescent="0.25">
      <c r="C50" s="24"/>
      <c r="D50" s="24"/>
      <c r="E50" s="61"/>
      <c r="F50" s="62"/>
      <c r="G50" s="71"/>
      <c r="H50" s="18"/>
      <c r="I50" s="63"/>
      <c r="J50" s="63"/>
      <c r="K50" s="27"/>
      <c r="L50" s="36"/>
      <c r="N50" s="11"/>
      <c r="O50" s="34"/>
      <c r="P50" s="7"/>
      <c r="Q50" s="63"/>
      <c r="R50" s="63"/>
      <c r="S50" s="63"/>
      <c r="T50" s="63"/>
      <c r="Y50" s="6"/>
    </row>
    <row r="51" spans="1:26" x14ac:dyDescent="0.25">
      <c r="C51" s="24"/>
      <c r="D51" s="24"/>
      <c r="E51" s="61"/>
      <c r="F51" s="62"/>
      <c r="G51" s="71"/>
      <c r="H51" s="18"/>
      <c r="I51" s="63"/>
      <c r="K51" s="27"/>
      <c r="L51" s="36"/>
      <c r="N51" s="11"/>
      <c r="O51" s="34"/>
      <c r="P51" s="7"/>
      <c r="R51" s="63"/>
      <c r="S51" s="63"/>
      <c r="T51" s="63"/>
      <c r="Y51" s="6"/>
    </row>
    <row r="52" spans="1:26" x14ac:dyDescent="0.25">
      <c r="C52" s="24"/>
      <c r="D52" s="24"/>
      <c r="E52" s="61"/>
      <c r="F52" s="62"/>
      <c r="G52" s="71"/>
      <c r="H52" s="18"/>
      <c r="K52" s="27"/>
      <c r="L52" s="36"/>
      <c r="N52" s="11"/>
      <c r="O52" s="34"/>
      <c r="P52" s="7"/>
      <c r="R52" s="63"/>
      <c r="S52" s="63"/>
      <c r="T52" s="63"/>
      <c r="Y52" s="6"/>
    </row>
    <row r="53" spans="1:26" x14ac:dyDescent="0.25">
      <c r="C53" s="24"/>
      <c r="D53" s="24"/>
      <c r="E53" s="61"/>
      <c r="F53" s="62"/>
      <c r="G53" s="71"/>
      <c r="H53" s="18"/>
      <c r="K53" s="27"/>
      <c r="L53" s="36"/>
      <c r="N53" s="11"/>
      <c r="O53" s="34"/>
      <c r="P53" s="7"/>
      <c r="R53" s="63"/>
      <c r="S53" s="63"/>
      <c r="T53" s="63"/>
      <c r="Y53" s="6"/>
    </row>
    <row r="54" spans="1:26" x14ac:dyDescent="0.25">
      <c r="C54" s="24"/>
      <c r="D54" s="24"/>
      <c r="E54" s="61"/>
      <c r="F54" s="62"/>
      <c r="G54" s="71"/>
      <c r="H54" s="18"/>
      <c r="K54" s="27"/>
      <c r="L54" s="36"/>
      <c r="N54" s="11"/>
      <c r="O54" s="34"/>
      <c r="P54" s="7"/>
      <c r="R54" s="63"/>
      <c r="S54" s="63"/>
      <c r="T54" s="63"/>
      <c r="Y54" s="6"/>
    </row>
    <row r="55" spans="1:26" x14ac:dyDescent="0.25">
      <c r="C55" s="24"/>
      <c r="D55" s="24"/>
      <c r="E55" s="61"/>
      <c r="F55" s="62"/>
      <c r="G55" s="18"/>
      <c r="H55" s="18"/>
      <c r="I55" s="18"/>
      <c r="J55" s="18"/>
      <c r="K55" s="18"/>
      <c r="L55" s="18"/>
      <c r="M55" s="18"/>
      <c r="N55" s="18"/>
      <c r="O55" s="18"/>
      <c r="P55" s="18"/>
      <c r="R55" s="63"/>
      <c r="S55" s="63"/>
      <c r="T55" s="63"/>
      <c r="Y55" s="6"/>
    </row>
    <row r="56" spans="1:26" x14ac:dyDescent="0.25">
      <c r="C56" s="24"/>
      <c r="D56" s="24"/>
      <c r="E56" s="61"/>
      <c r="F56" s="62"/>
      <c r="G56" s="18"/>
      <c r="H56" s="18"/>
      <c r="I56" s="18"/>
      <c r="J56" s="18"/>
      <c r="K56" s="18"/>
      <c r="L56" s="18"/>
      <c r="M56" s="18"/>
      <c r="N56" s="18"/>
      <c r="O56" s="18"/>
      <c r="P56" s="18"/>
      <c r="R56" s="63"/>
      <c r="S56" s="63"/>
      <c r="T56" s="63"/>
      <c r="Y56" s="6"/>
    </row>
    <row r="57" spans="1:26" x14ac:dyDescent="0.25">
      <c r="C57" s="24"/>
      <c r="D57" s="24"/>
      <c r="E57" s="61"/>
      <c r="F57" s="62"/>
      <c r="G57" s="18"/>
      <c r="H57" s="14"/>
      <c r="I57" s="18"/>
      <c r="J57" s="18"/>
      <c r="K57" s="18"/>
      <c r="L57" s="18"/>
      <c r="M57" s="18"/>
      <c r="N57" s="18"/>
      <c r="O57" s="18"/>
      <c r="P57" s="18"/>
      <c r="Y57" s="6"/>
    </row>
    <row r="58" spans="1:26" x14ac:dyDescent="0.25">
      <c r="C58" s="23"/>
      <c r="D58" s="24"/>
      <c r="E58" s="24"/>
      <c r="F58" s="24"/>
      <c r="G58" s="18"/>
      <c r="J58" s="63"/>
      <c r="K58" s="13"/>
      <c r="L58" s="6"/>
      <c r="M58" s="63"/>
      <c r="N58" s="63"/>
      <c r="O58" s="63"/>
      <c r="P58" s="63"/>
    </row>
    <row r="59" spans="1:26" x14ac:dyDescent="0.25">
      <c r="A59" s="8" t="s">
        <v>50</v>
      </c>
      <c r="B59" s="42" t="s">
        <v>115</v>
      </c>
      <c r="C59" s="23"/>
      <c r="D59" s="24"/>
      <c r="E59" s="24"/>
      <c r="F59" s="24"/>
      <c r="H59" s="63" t="s">
        <v>107</v>
      </c>
      <c r="I59" s="63"/>
      <c r="J59" s="63" t="s">
        <v>10</v>
      </c>
      <c r="K59" s="63" t="s">
        <v>23</v>
      </c>
      <c r="L59" s="63" t="s">
        <v>53</v>
      </c>
      <c r="M59" s="63" t="s">
        <v>12</v>
      </c>
      <c r="N59" s="63" t="s">
        <v>17</v>
      </c>
      <c r="O59" s="63" t="s">
        <v>54</v>
      </c>
      <c r="P59" s="63" t="s">
        <v>55</v>
      </c>
      <c r="Q59" s="63" t="s">
        <v>56</v>
      </c>
      <c r="R59" s="63" t="s">
        <v>57</v>
      </c>
      <c r="S59" s="63" t="s">
        <v>58</v>
      </c>
      <c r="T59" s="63" t="s">
        <v>59</v>
      </c>
      <c r="U59" s="21" t="s">
        <v>60</v>
      </c>
      <c r="V59" s="63" t="s">
        <v>61</v>
      </c>
      <c r="W59" s="63" t="s">
        <v>62</v>
      </c>
      <c r="X59" s="63" t="s">
        <v>13</v>
      </c>
      <c r="Y59" s="63" t="s">
        <v>14</v>
      </c>
      <c r="Z59" s="63" t="s">
        <v>15</v>
      </c>
    </row>
    <row r="60" spans="1:26" x14ac:dyDescent="0.25">
      <c r="A60" s="15"/>
      <c r="B60" s="3" t="s">
        <v>116</v>
      </c>
      <c r="C60" s="2" t="s">
        <v>104</v>
      </c>
      <c r="D60" s="3" t="s">
        <v>117</v>
      </c>
      <c r="E60" s="23" t="s">
        <v>45</v>
      </c>
      <c r="F60" s="23" t="s">
        <v>46</v>
      </c>
      <c r="G60" s="3" t="s">
        <v>47</v>
      </c>
      <c r="H60" s="14" t="str">
        <f>_xll.qlSwapRateHelper2(J60,K60,L60,M60,N60,O60,P60,Q60,R60,S60,T60,U60,V60,W60,X60,Y60,Z60)</f>
        <v>obj_00146#0008</v>
      </c>
      <c r="K60" s="6" t="str">
        <f>H3</f>
        <v>obj_00108#0008</v>
      </c>
      <c r="L60" s="6">
        <v>2</v>
      </c>
      <c r="M60" s="36" t="str">
        <f>L3</f>
        <v>3M</v>
      </c>
      <c r="N60" s="2" t="str">
        <f>$B$27</f>
        <v>Australia</v>
      </c>
      <c r="O60" s="3" t="s">
        <v>105</v>
      </c>
      <c r="P60" s="3" t="s">
        <v>72</v>
      </c>
      <c r="Q60" s="3" t="str">
        <f>B15</f>
        <v>A/360</v>
      </c>
      <c r="R60" s="3" t="str">
        <f>$B$6</f>
        <v>obj_00110#0008</v>
      </c>
      <c r="S60" s="3">
        <v>0</v>
      </c>
      <c r="T60" s="3" t="s">
        <v>63</v>
      </c>
      <c r="X60" s="11" t="b">
        <v>0</v>
      </c>
      <c r="Y60" s="12"/>
      <c r="Z60" s="7" t="b">
        <v>1</v>
      </c>
    </row>
    <row r="61" spans="1:26" ht="15.75" x14ac:dyDescent="0.25">
      <c r="A61" s="16"/>
      <c r="B61" s="33" t="str">
        <f>_xll.qlBondEngine(C61,D61,E61,F61,G61)</f>
        <v>AUDBBBEng#0008</v>
      </c>
      <c r="C61" s="17" t="str">
        <f>A21&amp;"Eng"</f>
        <v>AUDBBBEng</v>
      </c>
      <c r="D61" s="14" t="str">
        <f>E72</f>
        <v>AUDBBBDF#0008</v>
      </c>
      <c r="E61" s="32" t="b">
        <v>0</v>
      </c>
      <c r="F61" s="32">
        <f>$B$5</f>
        <v>1</v>
      </c>
      <c r="G61" s="32" t="b">
        <v>1</v>
      </c>
      <c r="H61" s="14" t="str">
        <f>_xll.qlSwapRateHelper2(J61,K61,L61,M61,N61,O61,P61,Q61,R61,S61,T61,U61,V61,W61,X61,Y61,Z61)</f>
        <v>obj_00148#0008</v>
      </c>
      <c r="K61" s="6" t="str">
        <f t="shared" ref="K61:K91" si="5">H4</f>
        <v>obj_0010c#0008</v>
      </c>
      <c r="L61" s="6">
        <v>2</v>
      </c>
      <c r="M61" s="36" t="str">
        <f t="shared" ref="M61:M91" si="6">L4</f>
        <v>6M</v>
      </c>
      <c r="N61" s="2" t="str">
        <f t="shared" ref="N61:N91" si="7">$B$27</f>
        <v>Australia</v>
      </c>
      <c r="O61" s="3" t="s">
        <v>105</v>
      </c>
      <c r="P61" s="3" t="s">
        <v>72</v>
      </c>
      <c r="Q61" s="3" t="str">
        <f>Q60</f>
        <v>A/360</v>
      </c>
      <c r="R61" s="3" t="str">
        <f t="shared" ref="R61:R91" si="8">$B$6</f>
        <v>obj_00110#0008</v>
      </c>
      <c r="S61" s="3">
        <v>0</v>
      </c>
      <c r="T61" s="3" t="s">
        <v>63</v>
      </c>
      <c r="X61" s="11" t="b">
        <v>0</v>
      </c>
      <c r="Y61" s="12"/>
      <c r="Z61" s="7" t="b">
        <v>1</v>
      </c>
    </row>
    <row r="62" spans="1:26" ht="15.75" x14ac:dyDescent="0.25">
      <c r="A62" s="46" t="str">
        <f>B29</f>
        <v>A/360</v>
      </c>
      <c r="B62" s="33" t="str">
        <f>_xll.qlBondEngine(C62,D62,E62,F62,G62)</f>
        <v>AUDAEng#0008</v>
      </c>
      <c r="C62" s="17" t="str">
        <f>A22&amp;"Eng"</f>
        <v>AUDAEng</v>
      </c>
      <c r="D62" s="14" t="str">
        <f>D72</f>
        <v>AUDADF#0008</v>
      </c>
      <c r="E62" s="32" t="b">
        <v>0</v>
      </c>
      <c r="F62" s="32">
        <f t="shared" ref="F62:F64" si="9">$B$5</f>
        <v>1</v>
      </c>
      <c r="G62" s="32" t="b">
        <v>1</v>
      </c>
      <c r="H62" s="14" t="str">
        <f>_xll.qlSwapRateHelper2(J62,K62,L62,M62,N62,O62,P62,Q62,R62,S62,T62,U62,V62,W62,X62,Y62,Z62)</f>
        <v>obj_0014f#0008</v>
      </c>
      <c r="K62" s="6" t="str">
        <f t="shared" si="5"/>
        <v>obj_00120#0008</v>
      </c>
      <c r="L62" s="6">
        <v>2</v>
      </c>
      <c r="M62" s="36" t="str">
        <f t="shared" si="6"/>
        <v>1Y</v>
      </c>
      <c r="N62" s="2" t="str">
        <f t="shared" si="7"/>
        <v>Australia</v>
      </c>
      <c r="O62" s="3" t="s">
        <v>105</v>
      </c>
      <c r="P62" s="3" t="s">
        <v>72</v>
      </c>
      <c r="Q62" s="3" t="str">
        <f t="shared" ref="Q62:Q91" si="10">Q61</f>
        <v>A/360</v>
      </c>
      <c r="R62" s="3" t="str">
        <f t="shared" si="8"/>
        <v>obj_00110#0008</v>
      </c>
      <c r="S62" s="3">
        <v>0</v>
      </c>
      <c r="T62" s="3" t="s">
        <v>63</v>
      </c>
      <c r="X62" s="11" t="b">
        <v>0</v>
      </c>
      <c r="Y62" s="12"/>
      <c r="Z62" s="7" t="b">
        <v>1</v>
      </c>
    </row>
    <row r="63" spans="1:26" ht="15.75" x14ac:dyDescent="0.25">
      <c r="A63" s="46" t="s">
        <v>254</v>
      </c>
      <c r="B63" s="33" t="str">
        <f>_xll.qlBondEngine(C63,D63,E63,F63,G63)</f>
        <v>AUDAAEng#0008</v>
      </c>
      <c r="C63" s="17" t="str">
        <f>A23&amp;"Eng"</f>
        <v>AUDAAEng</v>
      </c>
      <c r="D63" s="14" t="str">
        <f>C72</f>
        <v>AUDAADF#0008</v>
      </c>
      <c r="E63" s="32" t="b">
        <v>0</v>
      </c>
      <c r="F63" s="32">
        <f t="shared" si="9"/>
        <v>1</v>
      </c>
      <c r="G63" s="32" t="b">
        <v>1</v>
      </c>
      <c r="H63" s="14" t="str">
        <f>_xll.qlSwapRateHelper2(J63,K63,L63,M63,N63,O63,P63,Q63,R63,S63,T63,U63,V63,W63,X63,Y63,Z63)</f>
        <v>obj_00131#0008</v>
      </c>
      <c r="K63" s="6" t="str">
        <f t="shared" si="5"/>
        <v>obj_00106#0008</v>
      </c>
      <c r="L63" s="6">
        <v>2</v>
      </c>
      <c r="M63" s="36" t="str">
        <f t="shared" si="6"/>
        <v>2Y</v>
      </c>
      <c r="N63" s="2" t="str">
        <f t="shared" si="7"/>
        <v>Australia</v>
      </c>
      <c r="O63" s="3" t="s">
        <v>105</v>
      </c>
      <c r="P63" s="3" t="s">
        <v>72</v>
      </c>
      <c r="Q63" s="3" t="str">
        <f t="shared" si="10"/>
        <v>A/360</v>
      </c>
      <c r="R63" s="3" t="str">
        <f t="shared" si="8"/>
        <v>obj_00110#0008</v>
      </c>
      <c r="S63" s="3">
        <v>0</v>
      </c>
      <c r="T63" s="3" t="s">
        <v>63</v>
      </c>
      <c r="X63" s="11" t="b">
        <v>0</v>
      </c>
      <c r="Y63" s="12"/>
      <c r="Z63" s="7" t="b">
        <v>1</v>
      </c>
    </row>
    <row r="64" spans="1:26" ht="15.75" x14ac:dyDescent="0.25">
      <c r="A64" s="46" t="s">
        <v>105</v>
      </c>
      <c r="B64" s="33" t="str">
        <f>_xll.qlBondEngine(C64,D64,E64,F64,G64)</f>
        <v>AUDAAAEng#0008</v>
      </c>
      <c r="C64" s="17" t="str">
        <f>A24&amp;"Eng"</f>
        <v>AUDAAAEng</v>
      </c>
      <c r="D64" s="14" t="str">
        <f>B72</f>
        <v>AUDAAADF#0008</v>
      </c>
      <c r="E64" s="32" t="b">
        <v>0</v>
      </c>
      <c r="F64" s="32">
        <f t="shared" si="9"/>
        <v>1</v>
      </c>
      <c r="G64" s="32" t="b">
        <v>1</v>
      </c>
      <c r="H64" s="14" t="str">
        <f>_xll.qlSwapRateHelper2(J64,K64,L64,M64,N64,O64,P64,Q64,R64,S64,T64,U64,V64,W64,X64,Y64,Z64)</f>
        <v>obj_0012c#0008</v>
      </c>
      <c r="K64" s="6" t="str">
        <f t="shared" si="5"/>
        <v>obj_00118#0008</v>
      </c>
      <c r="L64" s="6">
        <v>2</v>
      </c>
      <c r="M64" s="36" t="str">
        <f t="shared" si="6"/>
        <v>3Y</v>
      </c>
      <c r="N64" s="2" t="str">
        <f t="shared" si="7"/>
        <v>Australia</v>
      </c>
      <c r="O64" s="3" t="s">
        <v>105</v>
      </c>
      <c r="P64" s="3" t="s">
        <v>72</v>
      </c>
      <c r="Q64" s="3" t="str">
        <f t="shared" si="10"/>
        <v>A/360</v>
      </c>
      <c r="R64" s="3" t="str">
        <f t="shared" si="8"/>
        <v>obj_00110#0008</v>
      </c>
      <c r="S64" s="3">
        <v>0</v>
      </c>
      <c r="T64" s="3" t="s">
        <v>63</v>
      </c>
      <c r="X64" s="11" t="b">
        <v>0</v>
      </c>
      <c r="Y64" s="12"/>
      <c r="Z64" s="7" t="b">
        <v>1</v>
      </c>
    </row>
    <row r="65" spans="1:26" x14ac:dyDescent="0.25">
      <c r="A65" s="46" t="b">
        <v>1</v>
      </c>
      <c r="C65" s="17"/>
      <c r="E65" s="23"/>
      <c r="F65" s="23"/>
      <c r="G65" s="20"/>
      <c r="H65" s="14" t="str">
        <f>_xll.qlSwapRateHelper2(J65,K65,L65,M65,N65,O65,P65,Q65,R65,S65,T65,U65,V65,W65,X65,Y65,Z65)</f>
        <v>obj_00147#0008</v>
      </c>
      <c r="K65" s="6" t="str">
        <f t="shared" si="5"/>
        <v>obj_0011c#0008</v>
      </c>
      <c r="L65" s="6">
        <v>2</v>
      </c>
      <c r="M65" s="36" t="str">
        <f t="shared" si="6"/>
        <v>5Y</v>
      </c>
      <c r="N65" s="2" t="str">
        <f t="shared" si="7"/>
        <v>Australia</v>
      </c>
      <c r="O65" s="3" t="s">
        <v>105</v>
      </c>
      <c r="P65" s="3" t="s">
        <v>72</v>
      </c>
      <c r="Q65" s="3" t="str">
        <f t="shared" si="10"/>
        <v>A/360</v>
      </c>
      <c r="R65" s="3" t="str">
        <f t="shared" si="8"/>
        <v>obj_00110#0008</v>
      </c>
      <c r="S65" s="3">
        <v>0</v>
      </c>
      <c r="T65" s="3" t="s">
        <v>63</v>
      </c>
      <c r="X65" s="11" t="b">
        <v>0</v>
      </c>
      <c r="Y65" s="12"/>
      <c r="Z65" s="7" t="b">
        <v>1</v>
      </c>
    </row>
    <row r="66" spans="1:26" x14ac:dyDescent="0.25">
      <c r="A66" s="46">
        <f>B5</f>
        <v>1</v>
      </c>
      <c r="C66" s="2"/>
      <c r="E66" s="23"/>
      <c r="F66" s="23"/>
      <c r="G66" s="20"/>
      <c r="H66" s="14" t="str">
        <f>_xll.qlSwapRateHelper2(J66,K66,L66,M66,N66,O66,P66,Q66,R66,S66,T66,U66,V66,W66,X66,Y66,Z66)</f>
        <v>obj_00144#0008</v>
      </c>
      <c r="K66" s="6" t="str">
        <f t="shared" si="5"/>
        <v>obj_00111#0008</v>
      </c>
      <c r="L66" s="6">
        <v>2</v>
      </c>
      <c r="M66" s="36" t="str">
        <f t="shared" si="6"/>
        <v>7Y</v>
      </c>
      <c r="N66" s="2" t="str">
        <f t="shared" si="7"/>
        <v>Australia</v>
      </c>
      <c r="O66" s="3" t="s">
        <v>105</v>
      </c>
      <c r="P66" s="3" t="s">
        <v>72</v>
      </c>
      <c r="Q66" s="3" t="str">
        <f t="shared" si="10"/>
        <v>A/360</v>
      </c>
      <c r="R66" s="3" t="str">
        <f t="shared" si="8"/>
        <v>obj_00110#0008</v>
      </c>
      <c r="S66" s="3">
        <v>0</v>
      </c>
      <c r="T66" s="3" t="s">
        <v>63</v>
      </c>
      <c r="X66" s="11" t="b">
        <v>0</v>
      </c>
      <c r="Y66" s="12"/>
      <c r="Z66" s="7" t="b">
        <v>1</v>
      </c>
    </row>
    <row r="67" spans="1:26" x14ac:dyDescent="0.25">
      <c r="C67" s="2"/>
      <c r="E67" s="23"/>
      <c r="F67" s="23"/>
      <c r="G67" s="20"/>
      <c r="H67" s="14" t="str">
        <f>_xll.qlSwapRateHelper2(J67,K67,L67,M67,N67,O67,P67,Q67,R67,S67,T67,U67,V67,W67,X67,Y67,Z67)</f>
        <v>obj_00145#0008</v>
      </c>
      <c r="K67" s="6" t="str">
        <f t="shared" si="5"/>
        <v>obj_00112#0008</v>
      </c>
      <c r="L67" s="6">
        <v>2</v>
      </c>
      <c r="M67" s="36" t="str">
        <f t="shared" si="6"/>
        <v>10Y</v>
      </c>
      <c r="N67" s="2" t="str">
        <f t="shared" si="7"/>
        <v>Australia</v>
      </c>
      <c r="O67" s="3" t="s">
        <v>105</v>
      </c>
      <c r="P67" s="3" t="s">
        <v>72</v>
      </c>
      <c r="Q67" s="3" t="str">
        <f t="shared" si="10"/>
        <v>A/360</v>
      </c>
      <c r="R67" s="3" t="str">
        <f t="shared" si="8"/>
        <v>obj_00110#0008</v>
      </c>
      <c r="S67" s="3">
        <v>0</v>
      </c>
      <c r="T67" s="3" t="s">
        <v>63</v>
      </c>
      <c r="X67" s="11" t="b">
        <v>0</v>
      </c>
      <c r="Y67" s="12"/>
      <c r="Z67" s="7" t="b">
        <v>1</v>
      </c>
    </row>
    <row r="68" spans="1:26" x14ac:dyDescent="0.25">
      <c r="C68" s="2"/>
      <c r="E68" s="23"/>
      <c r="F68" s="23"/>
      <c r="G68" s="20"/>
      <c r="H68" s="14" t="str">
        <f>_xll.qlSwapRateHelper2(J68,K68,L68,M68,N68,O68,P68,Q68,R68,S68,T68,U68,V68,W68,X68,Y68,Z68)</f>
        <v>obj_00139#0008</v>
      </c>
      <c r="K68" s="6" t="str">
        <f t="shared" si="5"/>
        <v>obj_00122#0008</v>
      </c>
      <c r="L68" s="6">
        <v>2</v>
      </c>
      <c r="M68" s="36" t="str">
        <f t="shared" si="6"/>
        <v>3M</v>
      </c>
      <c r="N68" s="2" t="str">
        <f t="shared" si="7"/>
        <v>Australia</v>
      </c>
      <c r="O68" s="3" t="s">
        <v>105</v>
      </c>
      <c r="P68" s="3" t="s">
        <v>72</v>
      </c>
      <c r="Q68" s="3" t="str">
        <f t="shared" si="10"/>
        <v>A/360</v>
      </c>
      <c r="R68" s="3" t="str">
        <f t="shared" si="8"/>
        <v>obj_00110#0008</v>
      </c>
      <c r="S68" s="3">
        <v>0</v>
      </c>
      <c r="T68" s="3" t="s">
        <v>63</v>
      </c>
      <c r="X68" s="11" t="b">
        <v>0</v>
      </c>
      <c r="Y68" s="12"/>
      <c r="Z68" s="7" t="b">
        <v>1</v>
      </c>
    </row>
    <row r="69" spans="1:26" x14ac:dyDescent="0.25">
      <c r="C69" s="2"/>
      <c r="E69" s="23"/>
      <c r="F69" s="23"/>
      <c r="G69" s="20"/>
      <c r="H69" s="14" t="str">
        <f>_xll.qlSwapRateHelper2(J69,K69,L69,M69,N69,O69,P69,Q69,R69,S69,T69,U69,V69,W69,X69,Y69,Z69)</f>
        <v>obj_00143#0008</v>
      </c>
      <c r="K69" s="6" t="str">
        <f t="shared" si="5"/>
        <v>obj_00104#0008</v>
      </c>
      <c r="L69" s="6">
        <v>2</v>
      </c>
      <c r="M69" s="36" t="str">
        <f t="shared" si="6"/>
        <v>6M</v>
      </c>
      <c r="N69" s="2" t="str">
        <f t="shared" si="7"/>
        <v>Australia</v>
      </c>
      <c r="O69" s="3" t="s">
        <v>105</v>
      </c>
      <c r="P69" s="3" t="s">
        <v>72</v>
      </c>
      <c r="Q69" s="3" t="str">
        <f t="shared" si="10"/>
        <v>A/360</v>
      </c>
      <c r="R69" s="3" t="str">
        <f t="shared" si="8"/>
        <v>obj_00110#0008</v>
      </c>
      <c r="S69" s="3">
        <v>0</v>
      </c>
      <c r="T69" s="3" t="s">
        <v>63</v>
      </c>
      <c r="X69" s="11" t="b">
        <v>0</v>
      </c>
      <c r="Y69" s="12"/>
      <c r="Z69" s="7" t="b">
        <v>1</v>
      </c>
    </row>
    <row r="70" spans="1:26" x14ac:dyDescent="0.25">
      <c r="C70" s="2"/>
      <c r="E70" s="23"/>
      <c r="F70" s="23"/>
      <c r="G70" s="20"/>
      <c r="H70" s="14" t="str">
        <f>_xll.qlSwapRateHelper2(J70,K70,L70,M70,N70,O70,P70,Q70,R70,S70,T70,U70,V70,W70,X70,Y70,Z70)</f>
        <v>obj_00127#0008</v>
      </c>
      <c r="K70" s="6" t="str">
        <f t="shared" si="5"/>
        <v>obj_0011b#0008</v>
      </c>
      <c r="L70" s="6">
        <v>2</v>
      </c>
      <c r="M70" s="36" t="str">
        <f t="shared" si="6"/>
        <v>1Y</v>
      </c>
      <c r="N70" s="2" t="str">
        <f t="shared" si="7"/>
        <v>Australia</v>
      </c>
      <c r="O70" s="3" t="s">
        <v>105</v>
      </c>
      <c r="P70" s="3" t="s">
        <v>72</v>
      </c>
      <c r="Q70" s="3" t="str">
        <f t="shared" si="10"/>
        <v>A/360</v>
      </c>
      <c r="R70" s="3" t="str">
        <f t="shared" si="8"/>
        <v>obj_00110#0008</v>
      </c>
      <c r="S70" s="3">
        <v>0</v>
      </c>
      <c r="T70" s="3" t="s">
        <v>63</v>
      </c>
      <c r="X70" s="11" t="b">
        <v>0</v>
      </c>
      <c r="Y70" s="12"/>
      <c r="Z70" s="7" t="b">
        <v>1</v>
      </c>
    </row>
    <row r="71" spans="1:26" x14ac:dyDescent="0.25">
      <c r="C71" s="2"/>
      <c r="E71" s="23"/>
      <c r="F71" s="23"/>
      <c r="G71" s="20"/>
      <c r="H71" s="14" t="str">
        <f>_xll.qlSwapRateHelper2(J71,K71,L71,M71,N71,O71,P71,Q71,R71,S71,T71,U71,V71,W71,X71,Y71,Z71)</f>
        <v>obj_0014d#0008</v>
      </c>
      <c r="K71" s="6" t="str">
        <f t="shared" si="5"/>
        <v>obj_0010e#0008</v>
      </c>
      <c r="L71" s="6">
        <v>2</v>
      </c>
      <c r="M71" s="36" t="str">
        <f t="shared" si="6"/>
        <v>2Y</v>
      </c>
      <c r="N71" s="2" t="str">
        <f t="shared" si="7"/>
        <v>Australia</v>
      </c>
      <c r="O71" s="3" t="s">
        <v>105</v>
      </c>
      <c r="P71" s="3" t="s">
        <v>72</v>
      </c>
      <c r="Q71" s="3" t="str">
        <f t="shared" si="10"/>
        <v>A/360</v>
      </c>
      <c r="R71" s="3" t="str">
        <f t="shared" si="8"/>
        <v>obj_00110#0008</v>
      </c>
      <c r="S71" s="3">
        <v>0</v>
      </c>
      <c r="T71" s="3" t="s">
        <v>63</v>
      </c>
      <c r="X71" s="11" t="b">
        <v>0</v>
      </c>
      <c r="Y71" s="12"/>
      <c r="Z71" s="7" t="b">
        <v>1</v>
      </c>
    </row>
    <row r="72" spans="1:26" ht="15.75" x14ac:dyDescent="0.25">
      <c r="A72" s="3" t="s">
        <v>118</v>
      </c>
      <c r="B72" s="31" t="str">
        <f>_xll.qlDiscountCurve(B73,$D$2:$D$10,F2:F10,$B$76,$B$77,$B$78,$B$79)</f>
        <v>AUDAAADF#0008</v>
      </c>
      <c r="C72" s="31" t="str">
        <f>_xll.qlDiscountCurve(C73,$D$2:$D$10,F11:F19,$B$76,$B$77,$B$78,$B$79)</f>
        <v>AUDAADF#0008</v>
      </c>
      <c r="D72" s="31" t="str">
        <f>_xll.qlDiscountCurve(D73,$D$2:$D$10,F20:F28,$B$76,$B$77,$B$78,$B$79)</f>
        <v>AUDADF#0008</v>
      </c>
      <c r="E72" s="31" t="str">
        <f>_xll.qlDiscountCurve(E73,$D$2:$D$10,F29:F37,$B$76,$B$77,$B$78,$B$79)</f>
        <v>AUDBBBDF#0008</v>
      </c>
      <c r="F72" s="23"/>
      <c r="H72" s="14" t="str">
        <f>_xll.qlSwapRateHelper2(J72,K72,L72,M72,N72,O72,P72,Q72,R72,S72,T72,U72,V72,W72,X72,Y72,Z72)</f>
        <v>obj_0012b#0008</v>
      </c>
      <c r="K72" s="6" t="str">
        <f t="shared" si="5"/>
        <v>obj_0011d#0008</v>
      </c>
      <c r="L72" s="6">
        <v>2</v>
      </c>
      <c r="M72" s="36" t="str">
        <f t="shared" si="6"/>
        <v>3Y</v>
      </c>
      <c r="N72" s="2" t="str">
        <f t="shared" si="7"/>
        <v>Australia</v>
      </c>
      <c r="O72" s="3" t="s">
        <v>105</v>
      </c>
      <c r="P72" s="3" t="s">
        <v>72</v>
      </c>
      <c r="Q72" s="3" t="str">
        <f t="shared" si="10"/>
        <v>A/360</v>
      </c>
      <c r="R72" s="3" t="str">
        <f t="shared" si="8"/>
        <v>obj_00110#0008</v>
      </c>
      <c r="S72" s="3">
        <v>0</v>
      </c>
      <c r="T72" s="3" t="s">
        <v>63</v>
      </c>
      <c r="X72" s="11" t="b">
        <v>0</v>
      </c>
      <c r="Y72" s="12"/>
      <c r="Z72" s="7" t="b">
        <v>1</v>
      </c>
    </row>
    <row r="73" spans="1:26" x14ac:dyDescent="0.25">
      <c r="A73" s="3" t="s">
        <v>35</v>
      </c>
      <c r="B73" s="23" t="s">
        <v>478</v>
      </c>
      <c r="C73" s="3" t="s">
        <v>479</v>
      </c>
      <c r="D73" s="2" t="s">
        <v>480</v>
      </c>
      <c r="E73" s="3" t="s">
        <v>481</v>
      </c>
      <c r="F73" s="23"/>
      <c r="H73" s="14" t="str">
        <f>_xll.qlSwapRateHelper2(J73,K73,L73,M73,N73,O73,P73,Q73,R73,S73,T73,U73,V73,W73,X73,Y73,Z73)</f>
        <v>obj_0013a#0008</v>
      </c>
      <c r="K73" s="6" t="str">
        <f t="shared" si="5"/>
        <v>obj_00114#0008</v>
      </c>
      <c r="L73" s="6">
        <v>2</v>
      </c>
      <c r="M73" s="36" t="str">
        <f t="shared" si="6"/>
        <v>5Y</v>
      </c>
      <c r="N73" s="2" t="str">
        <f t="shared" si="7"/>
        <v>Australia</v>
      </c>
      <c r="O73" s="3" t="s">
        <v>105</v>
      </c>
      <c r="P73" s="3" t="s">
        <v>72</v>
      </c>
      <c r="Q73" s="3" t="str">
        <f t="shared" si="10"/>
        <v>A/360</v>
      </c>
      <c r="R73" s="3" t="str">
        <f t="shared" si="8"/>
        <v>obj_00110#0008</v>
      </c>
      <c r="S73" s="3">
        <v>0</v>
      </c>
      <c r="T73" s="3" t="s">
        <v>63</v>
      </c>
      <c r="X73" s="11" t="b">
        <v>0</v>
      </c>
      <c r="Y73" s="12"/>
      <c r="Z73" s="7" t="b">
        <v>1</v>
      </c>
    </row>
    <row r="74" spans="1:26" x14ac:dyDescent="0.25">
      <c r="A74" s="3" t="s">
        <v>119</v>
      </c>
      <c r="H74" s="14" t="str">
        <f>_xll.qlSwapRateHelper2(J74,K74,L74,M74,N74,O74,P74,Q74,R74,S74,T74,U74,V74,W74,X74,Y74,Z74)</f>
        <v>obj_0014c#0008</v>
      </c>
      <c r="K74" s="6" t="str">
        <f t="shared" si="5"/>
        <v>obj_0011a#0008</v>
      </c>
      <c r="L74" s="6">
        <v>2</v>
      </c>
      <c r="M74" s="36" t="str">
        <f t="shared" si="6"/>
        <v>7Y</v>
      </c>
      <c r="N74" s="2" t="str">
        <f t="shared" si="7"/>
        <v>Australia</v>
      </c>
      <c r="O74" s="3" t="s">
        <v>105</v>
      </c>
      <c r="P74" s="3" t="s">
        <v>72</v>
      </c>
      <c r="Q74" s="3" t="str">
        <f t="shared" si="10"/>
        <v>A/360</v>
      </c>
      <c r="R74" s="3" t="str">
        <f t="shared" si="8"/>
        <v>obj_00110#0008</v>
      </c>
      <c r="S74" s="3">
        <v>0</v>
      </c>
      <c r="T74" s="3" t="s">
        <v>63</v>
      </c>
      <c r="X74" s="11" t="b">
        <v>0</v>
      </c>
      <c r="Y74" s="12"/>
      <c r="Z74" s="7" t="b">
        <v>1</v>
      </c>
    </row>
    <row r="75" spans="1:26" x14ac:dyDescent="0.25">
      <c r="A75" s="3" t="s">
        <v>120</v>
      </c>
      <c r="H75" s="14" t="str">
        <f>_xll.qlSwapRateHelper2(J75,K75,L75,M75,N75,O75,P75,Q75,R75,S75,T75,U75,V75,W75,X75,Y75,Z75)</f>
        <v>obj_00142#0008</v>
      </c>
      <c r="K75" s="6" t="str">
        <f t="shared" si="5"/>
        <v>obj_00100#0008</v>
      </c>
      <c r="L75" s="6">
        <v>2</v>
      </c>
      <c r="M75" s="36" t="str">
        <f t="shared" si="6"/>
        <v>10Y</v>
      </c>
      <c r="N75" s="2" t="str">
        <f t="shared" si="7"/>
        <v>Australia</v>
      </c>
      <c r="O75" s="3" t="s">
        <v>105</v>
      </c>
      <c r="P75" s="3" t="s">
        <v>72</v>
      </c>
      <c r="Q75" s="3" t="str">
        <f t="shared" si="10"/>
        <v>A/360</v>
      </c>
      <c r="R75" s="3" t="str">
        <f t="shared" si="8"/>
        <v>obj_00110#0008</v>
      </c>
      <c r="S75" s="3">
        <v>0</v>
      </c>
      <c r="T75" s="3" t="s">
        <v>63</v>
      </c>
      <c r="X75" s="11" t="b">
        <v>0</v>
      </c>
      <c r="Y75" s="12"/>
      <c r="Z75" s="7" t="b">
        <v>1</v>
      </c>
    </row>
    <row r="76" spans="1:26" x14ac:dyDescent="0.25">
      <c r="A76" s="3" t="s">
        <v>39</v>
      </c>
      <c r="B76" s="6" t="s">
        <v>74</v>
      </c>
      <c r="H76" s="14" t="str">
        <f>_xll.qlSwapRateHelper2(J76,K76,L76,M76,N76,O76,P76,Q76,R76,S76,T76,U76,V76,W76,X76,Y76,Z76)</f>
        <v>obj_0014e#0008</v>
      </c>
      <c r="K76" s="6" t="str">
        <f t="shared" si="5"/>
        <v>obj_0011e#0008</v>
      </c>
      <c r="L76" s="6">
        <v>2</v>
      </c>
      <c r="M76" s="36" t="str">
        <f t="shared" si="6"/>
        <v>3M</v>
      </c>
      <c r="N76" s="2" t="str">
        <f t="shared" si="7"/>
        <v>Australia</v>
      </c>
      <c r="O76" s="3" t="s">
        <v>105</v>
      </c>
      <c r="P76" s="3" t="s">
        <v>72</v>
      </c>
      <c r="Q76" s="3" t="str">
        <f t="shared" si="10"/>
        <v>A/360</v>
      </c>
      <c r="R76" s="3" t="str">
        <f t="shared" si="8"/>
        <v>obj_00110#0008</v>
      </c>
      <c r="S76" s="3">
        <v>0</v>
      </c>
      <c r="T76" s="3" t="s">
        <v>63</v>
      </c>
      <c r="X76" s="11" t="b">
        <v>0</v>
      </c>
      <c r="Y76" s="12"/>
      <c r="Z76" s="7" t="b">
        <v>1</v>
      </c>
    </row>
    <row r="77" spans="1:26" x14ac:dyDescent="0.25">
      <c r="A77" s="3" t="s">
        <v>45</v>
      </c>
      <c r="B77" s="3" t="b">
        <v>0</v>
      </c>
      <c r="H77" s="14" t="str">
        <f>_xll.qlSwapRateHelper2(J77,K77,L77,M77,N77,O77,P77,Q77,R77,S77,T77,U77,V77,W77,X77,Y77,Z77)</f>
        <v>obj_00141#0008</v>
      </c>
      <c r="K77" s="6" t="str">
        <f t="shared" si="5"/>
        <v>obj_0010f#0008</v>
      </c>
      <c r="L77" s="6">
        <v>2</v>
      </c>
      <c r="M77" s="36" t="str">
        <f t="shared" si="6"/>
        <v>6M</v>
      </c>
      <c r="N77" s="2" t="str">
        <f t="shared" si="7"/>
        <v>Australia</v>
      </c>
      <c r="O77" s="3" t="s">
        <v>105</v>
      </c>
      <c r="P77" s="3" t="s">
        <v>72</v>
      </c>
      <c r="Q77" s="3" t="str">
        <f t="shared" si="10"/>
        <v>A/360</v>
      </c>
      <c r="R77" s="3" t="str">
        <f t="shared" si="8"/>
        <v>obj_00110#0008</v>
      </c>
      <c r="S77" s="3">
        <v>0</v>
      </c>
      <c r="T77" s="3" t="s">
        <v>63</v>
      </c>
      <c r="X77" s="11" t="b">
        <v>0</v>
      </c>
      <c r="Y77" s="12"/>
      <c r="Z77" s="7" t="b">
        <v>1</v>
      </c>
    </row>
    <row r="78" spans="1:26" x14ac:dyDescent="0.25">
      <c r="A78" s="3" t="s">
        <v>46</v>
      </c>
      <c r="B78" s="6">
        <f>$B$5</f>
        <v>1</v>
      </c>
      <c r="H78" s="14" t="str">
        <f>_xll.qlSwapRateHelper2(J78,K78,L78,M78,N78,O78,P78,Q78,R78,S78,T78,U78,V78,W78,X78,Y78,Z78)</f>
        <v>obj_00125#0008</v>
      </c>
      <c r="K78" s="6" t="str">
        <f t="shared" si="5"/>
        <v>obj_00109#0008</v>
      </c>
      <c r="L78" s="6">
        <v>2</v>
      </c>
      <c r="M78" s="36" t="str">
        <f t="shared" si="6"/>
        <v>1Y</v>
      </c>
      <c r="N78" s="2" t="str">
        <f t="shared" si="7"/>
        <v>Australia</v>
      </c>
      <c r="O78" s="3" t="s">
        <v>105</v>
      </c>
      <c r="P78" s="3" t="s">
        <v>72</v>
      </c>
      <c r="Q78" s="3" t="str">
        <f t="shared" si="10"/>
        <v>A/360</v>
      </c>
      <c r="R78" s="3" t="str">
        <f t="shared" si="8"/>
        <v>obj_00110#0008</v>
      </c>
      <c r="S78" s="3">
        <v>0</v>
      </c>
      <c r="T78" s="3" t="s">
        <v>63</v>
      </c>
      <c r="X78" s="11" t="b">
        <v>0</v>
      </c>
      <c r="Y78" s="12"/>
      <c r="Z78" s="7" t="b">
        <v>1</v>
      </c>
    </row>
    <row r="79" spans="1:26" x14ac:dyDescent="0.25">
      <c r="A79" s="3" t="s">
        <v>47</v>
      </c>
      <c r="B79" s="3" t="b">
        <v>1</v>
      </c>
      <c r="H79" s="14" t="str">
        <f>_xll.qlSwapRateHelper2(J79,K79,L79,M79,N79,O79,P79,Q79,R79,S79,T79,U79,V79,W79,X79,Y79,Z79)</f>
        <v>obj_00149#0008</v>
      </c>
      <c r="K79" s="6" t="str">
        <f t="shared" si="5"/>
        <v>obj_000fa#0008</v>
      </c>
      <c r="L79" s="6">
        <v>2</v>
      </c>
      <c r="M79" s="36" t="str">
        <f t="shared" si="6"/>
        <v>2Y</v>
      </c>
      <c r="N79" s="2" t="str">
        <f t="shared" si="7"/>
        <v>Australia</v>
      </c>
      <c r="O79" s="3" t="s">
        <v>105</v>
      </c>
      <c r="P79" s="3" t="s">
        <v>72</v>
      </c>
      <c r="Q79" s="3" t="str">
        <f t="shared" si="10"/>
        <v>A/360</v>
      </c>
      <c r="R79" s="3" t="str">
        <f t="shared" si="8"/>
        <v>obj_00110#0008</v>
      </c>
      <c r="S79" s="3">
        <v>0</v>
      </c>
      <c r="T79" s="3" t="s">
        <v>63</v>
      </c>
      <c r="X79" s="11" t="b">
        <v>0</v>
      </c>
      <c r="Y79" s="12"/>
      <c r="Z79" s="7" t="b">
        <v>1</v>
      </c>
    </row>
    <row r="80" spans="1:26" x14ac:dyDescent="0.25">
      <c r="H80" s="14" t="str">
        <f>_xll.qlSwapRateHelper2(J80,K80,L80,M80,N80,O80,P80,Q80,R80,S80,T80,U80,V80,W80,X80,Y80,Z80)</f>
        <v>obj_00134#0008</v>
      </c>
      <c r="K80" s="6" t="str">
        <f t="shared" si="5"/>
        <v>obj_00105#0008</v>
      </c>
      <c r="L80" s="6">
        <v>2</v>
      </c>
      <c r="M80" s="36" t="str">
        <f t="shared" si="6"/>
        <v>3Y</v>
      </c>
      <c r="N80" s="2" t="str">
        <f t="shared" si="7"/>
        <v>Australia</v>
      </c>
      <c r="O80" s="3" t="s">
        <v>105</v>
      </c>
      <c r="P80" s="3" t="s">
        <v>72</v>
      </c>
      <c r="Q80" s="3" t="str">
        <f t="shared" si="10"/>
        <v>A/360</v>
      </c>
      <c r="R80" s="3" t="str">
        <f t="shared" si="8"/>
        <v>obj_00110#0008</v>
      </c>
      <c r="S80" s="3">
        <v>0</v>
      </c>
      <c r="T80" s="3" t="s">
        <v>63</v>
      </c>
      <c r="X80" s="11" t="b">
        <v>0</v>
      </c>
      <c r="Y80" s="12"/>
      <c r="Z80" s="7" t="b">
        <v>1</v>
      </c>
    </row>
    <row r="81" spans="1:26" x14ac:dyDescent="0.25">
      <c r="H81" s="14" t="str">
        <f>_xll.qlSwapRateHelper2(J81,K81,L81,M81,N81,O81,P81,Q81,R81,S81,T81,U81,V81,W81,X81,Y81,Z81)</f>
        <v>obj_0013f#0008</v>
      </c>
      <c r="K81" s="6" t="str">
        <f t="shared" si="5"/>
        <v>obj_00101#0008</v>
      </c>
      <c r="L81" s="6">
        <v>2</v>
      </c>
      <c r="M81" s="36" t="str">
        <f t="shared" si="6"/>
        <v>5Y</v>
      </c>
      <c r="N81" s="2" t="str">
        <f t="shared" si="7"/>
        <v>Australia</v>
      </c>
      <c r="O81" s="3" t="s">
        <v>105</v>
      </c>
      <c r="P81" s="3" t="s">
        <v>72</v>
      </c>
      <c r="Q81" s="3" t="str">
        <f t="shared" si="10"/>
        <v>A/360</v>
      </c>
      <c r="R81" s="3" t="str">
        <f t="shared" si="8"/>
        <v>obj_00110#0008</v>
      </c>
      <c r="S81" s="3">
        <v>0</v>
      </c>
      <c r="T81" s="3" t="s">
        <v>63</v>
      </c>
      <c r="X81" s="11" t="b">
        <v>0</v>
      </c>
      <c r="Y81" s="12"/>
      <c r="Z81" s="7" t="b">
        <v>1</v>
      </c>
    </row>
    <row r="82" spans="1:26" x14ac:dyDescent="0.25">
      <c r="B82" s="42" t="s">
        <v>115</v>
      </c>
      <c r="C82" s="3" t="s">
        <v>129</v>
      </c>
      <c r="H82" s="14" t="str">
        <f>_xll.qlSwapRateHelper2(J82,K82,L82,M82,N82,O82,P82,Q82,R82,S82,T82,U82,V82,W82,X82,Y82,Z82)</f>
        <v>obj_00137#0008</v>
      </c>
      <c r="K82" s="6" t="str">
        <f t="shared" si="5"/>
        <v>obj_00119#0008</v>
      </c>
      <c r="L82" s="6">
        <v>2</v>
      </c>
      <c r="M82" s="36" t="str">
        <f t="shared" si="6"/>
        <v>7Y</v>
      </c>
      <c r="N82" s="2" t="str">
        <f t="shared" si="7"/>
        <v>Australia</v>
      </c>
      <c r="O82" s="3" t="s">
        <v>105</v>
      </c>
      <c r="P82" s="3" t="s">
        <v>72</v>
      </c>
      <c r="Q82" s="3" t="str">
        <f t="shared" si="10"/>
        <v>A/360</v>
      </c>
      <c r="R82" s="3" t="str">
        <f t="shared" si="8"/>
        <v>obj_00110#0008</v>
      </c>
      <c r="S82" s="3">
        <v>0</v>
      </c>
      <c r="T82" s="3" t="s">
        <v>63</v>
      </c>
      <c r="X82" s="11" t="b">
        <v>0</v>
      </c>
      <c r="Y82" s="12"/>
      <c r="Z82" s="7" t="b">
        <v>1</v>
      </c>
    </row>
    <row r="83" spans="1:26" x14ac:dyDescent="0.25">
      <c r="A83" s="3" t="s">
        <v>124</v>
      </c>
      <c r="B83" s="23" t="str">
        <f>B64</f>
        <v>AUDAAAEng#0008</v>
      </c>
      <c r="C83" s="3" t="str">
        <f>B72</f>
        <v>AUDAAADF#0008</v>
      </c>
      <c r="D83" s="2"/>
      <c r="H83" s="14" t="str">
        <f>_xll.qlSwapRateHelper2(J83,K83,L83,M83,N83,O83,P83,Q83,R83,S83,T83,U83,V83,W83,X83,Y83,Z83)</f>
        <v>obj_00129#0008</v>
      </c>
      <c r="K83" s="6" t="str">
        <f t="shared" si="5"/>
        <v>obj_000fd#0008</v>
      </c>
      <c r="L83" s="6">
        <v>2</v>
      </c>
      <c r="M83" s="36" t="str">
        <f t="shared" si="6"/>
        <v>10Y</v>
      </c>
      <c r="N83" s="2" t="str">
        <f t="shared" si="7"/>
        <v>Australia</v>
      </c>
      <c r="O83" s="3" t="s">
        <v>105</v>
      </c>
      <c r="P83" s="3" t="s">
        <v>72</v>
      </c>
      <c r="Q83" s="3" t="str">
        <f t="shared" si="10"/>
        <v>A/360</v>
      </c>
      <c r="R83" s="3" t="str">
        <f t="shared" si="8"/>
        <v>obj_00110#0008</v>
      </c>
      <c r="S83" s="3">
        <v>0</v>
      </c>
      <c r="T83" s="3" t="s">
        <v>63</v>
      </c>
      <c r="X83" s="11" t="b">
        <v>0</v>
      </c>
      <c r="Y83" s="12"/>
      <c r="Z83" s="7" t="b">
        <v>1</v>
      </c>
    </row>
    <row r="84" spans="1:26" x14ac:dyDescent="0.25">
      <c r="A84" s="3" t="s">
        <v>122</v>
      </c>
      <c r="B84" s="2" t="str">
        <f>B63</f>
        <v>AUDAAEng#0008</v>
      </c>
      <c r="C84" s="3" t="str">
        <f>C72</f>
        <v>AUDAADF#0008</v>
      </c>
      <c r="H84" s="14" t="str">
        <f>_xll.qlSwapRateHelper2(J84,K84,L84,M84,N84,O84,P84,Q84,R84,S84,T84,U84,V84,W84,X84,Y84,Z84)</f>
        <v>obj_0013e#0008</v>
      </c>
      <c r="K84" s="6" t="str">
        <f t="shared" si="5"/>
        <v>obj_00113#0008</v>
      </c>
      <c r="L84" s="6">
        <v>2</v>
      </c>
      <c r="M84" s="36" t="str">
        <f t="shared" si="6"/>
        <v>3M</v>
      </c>
      <c r="N84" s="2" t="str">
        <f t="shared" si="7"/>
        <v>Australia</v>
      </c>
      <c r="O84" s="3" t="s">
        <v>105</v>
      </c>
      <c r="P84" s="3" t="s">
        <v>72</v>
      </c>
      <c r="Q84" s="3" t="str">
        <f t="shared" si="10"/>
        <v>A/360</v>
      </c>
      <c r="R84" s="3" t="str">
        <f t="shared" si="8"/>
        <v>obj_00110#0008</v>
      </c>
      <c r="S84" s="3">
        <v>0</v>
      </c>
      <c r="T84" s="3" t="s">
        <v>63</v>
      </c>
      <c r="X84" s="11" t="b">
        <v>0</v>
      </c>
      <c r="Y84" s="12"/>
      <c r="Z84" s="7" t="b">
        <v>1</v>
      </c>
    </row>
    <row r="85" spans="1:26" x14ac:dyDescent="0.25">
      <c r="A85" s="3" t="s">
        <v>123</v>
      </c>
      <c r="B85" s="2" t="str">
        <f>B62</f>
        <v>AUDAEng#0008</v>
      </c>
      <c r="C85" s="3" t="str">
        <f>D72</f>
        <v>AUDADF#0008</v>
      </c>
      <c r="H85" s="14" t="str">
        <f>_xll.qlSwapRateHelper2(J85,K85,L85,M85,N85,O85,P85,Q85,R85,S85,T85,U85,V85,W85,X85,Y85,Z85)</f>
        <v>obj_00135#0008</v>
      </c>
      <c r="K85" s="6" t="str">
        <f t="shared" si="5"/>
        <v>obj_00123#0008</v>
      </c>
      <c r="L85" s="6">
        <v>2</v>
      </c>
      <c r="M85" s="36" t="str">
        <f t="shared" si="6"/>
        <v>6M</v>
      </c>
      <c r="N85" s="2" t="str">
        <f t="shared" si="7"/>
        <v>Australia</v>
      </c>
      <c r="O85" s="3" t="s">
        <v>105</v>
      </c>
      <c r="P85" s="3" t="s">
        <v>72</v>
      </c>
      <c r="Q85" s="3" t="str">
        <f t="shared" si="10"/>
        <v>A/360</v>
      </c>
      <c r="R85" s="3" t="str">
        <f t="shared" si="8"/>
        <v>obj_00110#0008</v>
      </c>
      <c r="S85" s="3">
        <v>0</v>
      </c>
      <c r="T85" s="3" t="s">
        <v>63</v>
      </c>
      <c r="X85" s="11" t="b">
        <v>0</v>
      </c>
      <c r="Y85" s="12"/>
      <c r="Z85" s="7" t="b">
        <v>1</v>
      </c>
    </row>
    <row r="86" spans="1:26" x14ac:dyDescent="0.25">
      <c r="A86" s="3" t="s">
        <v>125</v>
      </c>
      <c r="B86" s="2" t="str">
        <f>B61</f>
        <v>AUDBBBEng#0008</v>
      </c>
      <c r="C86" s="3" t="str">
        <f>E72</f>
        <v>AUDBBBDF#0008</v>
      </c>
      <c r="H86" s="14" t="str">
        <f>_xll.qlSwapRateHelper2(J86,K86,L86,M86,N86,O86,P86,Q86,R86,S86,T86,U86,V86,W86,X86,Y86,Z86)</f>
        <v>obj_0013c#0008</v>
      </c>
      <c r="K86" s="6" t="str">
        <f t="shared" si="5"/>
        <v>obj_0010b#0008</v>
      </c>
      <c r="L86" s="6">
        <v>2</v>
      </c>
      <c r="M86" s="36" t="str">
        <f t="shared" si="6"/>
        <v>1Y</v>
      </c>
      <c r="N86" s="2" t="str">
        <f t="shared" si="7"/>
        <v>Australia</v>
      </c>
      <c r="O86" s="3" t="s">
        <v>105</v>
      </c>
      <c r="P86" s="3" t="s">
        <v>72</v>
      </c>
      <c r="Q86" s="3" t="str">
        <f t="shared" si="10"/>
        <v>A/360</v>
      </c>
      <c r="R86" s="3" t="str">
        <f t="shared" si="8"/>
        <v>obj_00110#0008</v>
      </c>
      <c r="S86" s="3">
        <v>0</v>
      </c>
      <c r="T86" s="3" t="s">
        <v>63</v>
      </c>
      <c r="X86" s="11" t="b">
        <v>0</v>
      </c>
      <c r="Y86" s="12"/>
      <c r="Z86" s="7" t="b">
        <v>1</v>
      </c>
    </row>
    <row r="87" spans="1:26" x14ac:dyDescent="0.25">
      <c r="H87" s="14" t="str">
        <f>_xll.qlSwapRateHelper2(J87,K87,L87,M87,N87,O87,P87,Q87,R87,S87,T87,U87,V87,W87,X87,Y87,Z87)</f>
        <v>obj_00126#0008</v>
      </c>
      <c r="K87" s="6" t="str">
        <f t="shared" si="5"/>
        <v>obj_000fc#0008</v>
      </c>
      <c r="L87" s="6">
        <v>2</v>
      </c>
      <c r="M87" s="36" t="str">
        <f t="shared" si="6"/>
        <v>2Y</v>
      </c>
      <c r="N87" s="2" t="str">
        <f t="shared" si="7"/>
        <v>Australia</v>
      </c>
      <c r="O87" s="3" t="s">
        <v>105</v>
      </c>
      <c r="P87" s="3" t="s">
        <v>72</v>
      </c>
      <c r="Q87" s="3" t="str">
        <f t="shared" si="10"/>
        <v>A/360</v>
      </c>
      <c r="R87" s="3" t="str">
        <f t="shared" si="8"/>
        <v>obj_00110#0008</v>
      </c>
      <c r="S87" s="3">
        <v>0</v>
      </c>
      <c r="T87" s="3" t="s">
        <v>63</v>
      </c>
      <c r="X87" s="11" t="b">
        <v>0</v>
      </c>
      <c r="Y87" s="12"/>
      <c r="Z87" s="7" t="b">
        <v>1</v>
      </c>
    </row>
    <row r="88" spans="1:26" x14ac:dyDescent="0.25">
      <c r="H88" s="14" t="str">
        <f>_xll.qlSwapRateHelper2(J88,K88,L88,M88,N88,O88,P88,Q88,R88,S88,T88,U88,V88,W88,X88,Y88,Z88)</f>
        <v>obj_0012f#0008</v>
      </c>
      <c r="K88" s="6" t="str">
        <f t="shared" si="5"/>
        <v>obj_000fb#0008</v>
      </c>
      <c r="L88" s="6">
        <v>2</v>
      </c>
      <c r="M88" s="36" t="str">
        <f t="shared" si="6"/>
        <v>3Y</v>
      </c>
      <c r="N88" s="2" t="str">
        <f t="shared" si="7"/>
        <v>Australia</v>
      </c>
      <c r="O88" s="3" t="s">
        <v>105</v>
      </c>
      <c r="P88" s="3" t="s">
        <v>72</v>
      </c>
      <c r="Q88" s="3" t="str">
        <f t="shared" si="10"/>
        <v>A/360</v>
      </c>
      <c r="R88" s="3" t="str">
        <f t="shared" si="8"/>
        <v>obj_00110#0008</v>
      </c>
      <c r="S88" s="3">
        <v>0</v>
      </c>
      <c r="T88" s="3" t="s">
        <v>63</v>
      </c>
      <c r="X88" s="11" t="b">
        <v>0</v>
      </c>
      <c r="Y88" s="12"/>
      <c r="Z88" s="7" t="b">
        <v>1</v>
      </c>
    </row>
    <row r="89" spans="1:26" x14ac:dyDescent="0.25">
      <c r="H89" s="14" t="str">
        <f>_xll.qlSwapRateHelper2(J89,K89,L89,M89,N89,O89,P89,Q89,R89,S89,T89,U89,V89,W89,X89,Y89,Z89)</f>
        <v>obj_0013d#0008</v>
      </c>
      <c r="K89" s="6" t="str">
        <f t="shared" si="5"/>
        <v>obj_000f8#0008</v>
      </c>
      <c r="L89" s="6">
        <v>2</v>
      </c>
      <c r="M89" s="36" t="str">
        <f t="shared" si="6"/>
        <v>5Y</v>
      </c>
      <c r="N89" s="2" t="str">
        <f t="shared" si="7"/>
        <v>Australia</v>
      </c>
      <c r="O89" s="3" t="s">
        <v>105</v>
      </c>
      <c r="P89" s="3" t="s">
        <v>72</v>
      </c>
      <c r="Q89" s="3" t="str">
        <f t="shared" si="10"/>
        <v>A/360</v>
      </c>
      <c r="R89" s="3" t="str">
        <f t="shared" si="8"/>
        <v>obj_00110#0008</v>
      </c>
      <c r="S89" s="3">
        <v>0</v>
      </c>
      <c r="T89" s="3" t="s">
        <v>63</v>
      </c>
      <c r="X89" s="11" t="b">
        <v>0</v>
      </c>
      <c r="Y89" s="12"/>
      <c r="Z89" s="7" t="b">
        <v>1</v>
      </c>
    </row>
    <row r="90" spans="1:26" x14ac:dyDescent="0.25">
      <c r="H90" s="14" t="str">
        <f>_xll.qlSwapRateHelper2(J90,K90,L90,M90,N90,O90,P90,Q90,R90,S90,T90,U90,V90,W90,X90,Y90,Z90)</f>
        <v>obj_0012a#0008</v>
      </c>
      <c r="K90" s="6" t="str">
        <f t="shared" si="5"/>
        <v>obj_000fe#0008</v>
      </c>
      <c r="L90" s="6">
        <v>2</v>
      </c>
      <c r="M90" s="36" t="str">
        <f t="shared" si="6"/>
        <v>7Y</v>
      </c>
      <c r="N90" s="2" t="str">
        <f t="shared" si="7"/>
        <v>Australia</v>
      </c>
      <c r="O90" s="3" t="s">
        <v>105</v>
      </c>
      <c r="P90" s="3" t="s">
        <v>72</v>
      </c>
      <c r="Q90" s="3" t="str">
        <f t="shared" si="10"/>
        <v>A/360</v>
      </c>
      <c r="R90" s="3" t="str">
        <f t="shared" si="8"/>
        <v>obj_00110#0008</v>
      </c>
      <c r="S90" s="3">
        <v>0</v>
      </c>
      <c r="T90" s="3" t="s">
        <v>63</v>
      </c>
      <c r="X90" s="11" t="b">
        <v>0</v>
      </c>
      <c r="Y90" s="12"/>
      <c r="Z90" s="7" t="b">
        <v>1</v>
      </c>
    </row>
    <row r="91" spans="1:26" x14ac:dyDescent="0.25">
      <c r="A91" s="3" t="s">
        <v>169</v>
      </c>
      <c r="H91" s="14" t="str">
        <f>_xll.qlSwapRateHelper2(J91,K91,L91,M91,N91,O91,P91,Q91,R91,S91,T91,U91,V91,W91,X91,Y91,Z91)</f>
        <v>obj_00128#0008</v>
      </c>
      <c r="K91" s="6" t="str">
        <f t="shared" si="5"/>
        <v>obj_00115#0008</v>
      </c>
      <c r="L91" s="6">
        <v>2</v>
      </c>
      <c r="M91" s="36" t="str">
        <f t="shared" si="6"/>
        <v>10Y</v>
      </c>
      <c r="N91" s="2" t="str">
        <f t="shared" si="7"/>
        <v>Australia</v>
      </c>
      <c r="O91" s="3" t="s">
        <v>105</v>
      </c>
      <c r="P91" s="3" t="s">
        <v>72</v>
      </c>
      <c r="Q91" s="3" t="str">
        <f t="shared" si="10"/>
        <v>A/360</v>
      </c>
      <c r="R91" s="3" t="str">
        <f t="shared" si="8"/>
        <v>obj_00110#0008</v>
      </c>
      <c r="S91" s="3">
        <v>0</v>
      </c>
      <c r="T91" s="3" t="s">
        <v>63</v>
      </c>
      <c r="X91" s="11" t="b">
        <v>0</v>
      </c>
      <c r="Y91" s="12"/>
      <c r="Z91" s="7" t="b">
        <v>1</v>
      </c>
    </row>
    <row r="92" spans="1:26" x14ac:dyDescent="0.25">
      <c r="A92" s="69" t="s">
        <v>159</v>
      </c>
      <c r="B92" s="69" t="s">
        <v>139</v>
      </c>
      <c r="H92" s="14"/>
      <c r="K92" s="6"/>
      <c r="L92" s="6"/>
      <c r="M92" s="36"/>
      <c r="N92" s="2"/>
      <c r="X92" s="11"/>
      <c r="Y92" s="12"/>
      <c r="Z92" s="7"/>
    </row>
    <row r="93" spans="1:26" x14ac:dyDescent="0.25">
      <c r="A93" s="69" t="s">
        <v>160</v>
      </c>
      <c r="B93" s="69" t="s">
        <v>141</v>
      </c>
      <c r="H93" s="14"/>
      <c r="K93" s="6"/>
      <c r="L93" s="6"/>
      <c r="M93" s="36"/>
      <c r="N93" s="2"/>
      <c r="X93" s="11"/>
      <c r="Y93" s="12"/>
      <c r="Z93" s="7"/>
    </row>
    <row r="94" spans="1:26" x14ac:dyDescent="0.25">
      <c r="A94" s="69" t="s">
        <v>161</v>
      </c>
      <c r="B94" s="69" t="s">
        <v>141</v>
      </c>
      <c r="H94" s="14"/>
      <c r="K94" s="6"/>
      <c r="L94" s="6"/>
      <c r="M94" s="36"/>
      <c r="N94" s="2"/>
      <c r="X94" s="11"/>
      <c r="Y94" s="12"/>
      <c r="Z94" s="7"/>
    </row>
    <row r="95" spans="1:26" x14ac:dyDescent="0.25">
      <c r="A95" s="69" t="s">
        <v>162</v>
      </c>
      <c r="B95" s="69" t="s">
        <v>141</v>
      </c>
      <c r="H95" s="14"/>
      <c r="K95" s="6"/>
      <c r="L95" s="6"/>
      <c r="M95" s="36"/>
      <c r="N95" s="2"/>
      <c r="X95" s="11"/>
      <c r="Y95" s="12"/>
      <c r="Z95" s="7"/>
    </row>
    <row r="96" spans="1:26" x14ac:dyDescent="0.25">
      <c r="A96" s="69" t="s">
        <v>163</v>
      </c>
      <c r="B96" s="69" t="s">
        <v>144</v>
      </c>
      <c r="H96" s="14"/>
      <c r="K96" s="6"/>
      <c r="L96" s="6"/>
      <c r="M96" s="36"/>
      <c r="N96" s="2"/>
      <c r="X96" s="11"/>
      <c r="Y96" s="12"/>
      <c r="Z96" s="7"/>
    </row>
    <row r="97" spans="1:26" x14ac:dyDescent="0.25">
      <c r="A97" s="69" t="s">
        <v>164</v>
      </c>
      <c r="B97" s="69" t="s">
        <v>144</v>
      </c>
      <c r="H97" s="14"/>
      <c r="K97" s="6"/>
      <c r="L97" s="6"/>
      <c r="M97" s="36"/>
      <c r="N97" s="2"/>
      <c r="X97" s="11"/>
      <c r="Y97" s="12"/>
      <c r="Z97" s="7"/>
    </row>
    <row r="98" spans="1:26" x14ac:dyDescent="0.25">
      <c r="A98" s="69" t="s">
        <v>165</v>
      </c>
      <c r="B98" s="69" t="s">
        <v>144</v>
      </c>
      <c r="H98" s="14"/>
      <c r="K98" s="6"/>
      <c r="L98" s="6"/>
      <c r="M98" s="36"/>
      <c r="N98" s="2"/>
      <c r="X98" s="11"/>
      <c r="Y98" s="12"/>
      <c r="Z98" s="7"/>
    </row>
    <row r="99" spans="1:26" x14ac:dyDescent="0.25">
      <c r="A99" s="69" t="s">
        <v>167</v>
      </c>
      <c r="B99" s="69" t="s">
        <v>147</v>
      </c>
      <c r="H99" s="14"/>
      <c r="K99" s="6"/>
      <c r="L99" s="6"/>
      <c r="M99" s="36"/>
      <c r="N99" s="2"/>
      <c r="X99" s="11"/>
      <c r="Y99" s="12"/>
      <c r="Z99" s="7"/>
    </row>
    <row r="100" spans="1:26" x14ac:dyDescent="0.25">
      <c r="A100" s="69" t="s">
        <v>168</v>
      </c>
      <c r="B100" s="69" t="s">
        <v>147</v>
      </c>
      <c r="H100" s="14"/>
      <c r="K100" s="6"/>
      <c r="L100" s="6"/>
      <c r="M100" s="36"/>
      <c r="N100" s="2"/>
      <c r="X100" s="11"/>
      <c r="Y100" s="12"/>
      <c r="Z100" s="7"/>
    </row>
    <row r="101" spans="1:26" x14ac:dyDescent="0.25">
      <c r="A101" s="69" t="s">
        <v>166</v>
      </c>
      <c r="B101" s="69" t="s">
        <v>147</v>
      </c>
      <c r="H101" s="14"/>
      <c r="K101" s="6"/>
      <c r="L101" s="6"/>
      <c r="M101" s="36"/>
      <c r="N101" s="2"/>
      <c r="X101" s="11"/>
      <c r="Y101" s="12"/>
      <c r="Z101" s="7"/>
    </row>
    <row r="102" spans="1:26" x14ac:dyDescent="0.25">
      <c r="A102" s="69" t="s">
        <v>139</v>
      </c>
      <c r="B102" s="69" t="s">
        <v>139</v>
      </c>
      <c r="H102" s="14"/>
      <c r="K102" s="6"/>
      <c r="L102" s="6"/>
      <c r="M102" s="36"/>
      <c r="N102" s="2"/>
      <c r="X102" s="11"/>
      <c r="Y102" s="12"/>
      <c r="Z102" s="7"/>
    </row>
    <row r="103" spans="1:26" x14ac:dyDescent="0.25">
      <c r="A103" s="69" t="s">
        <v>140</v>
      </c>
      <c r="B103" s="69" t="s">
        <v>139</v>
      </c>
      <c r="H103" s="14"/>
      <c r="K103" s="6"/>
      <c r="L103" s="6"/>
      <c r="M103" s="36"/>
      <c r="N103" s="2"/>
      <c r="X103" s="11"/>
      <c r="Y103" s="12"/>
      <c r="Z103" s="7"/>
    </row>
    <row r="104" spans="1:26" x14ac:dyDescent="0.25">
      <c r="A104" s="69" t="s">
        <v>141</v>
      </c>
      <c r="B104" s="69" t="s">
        <v>139</v>
      </c>
      <c r="H104" s="14"/>
      <c r="K104" s="6"/>
      <c r="L104" s="6"/>
      <c r="M104" s="36"/>
      <c r="N104" s="2"/>
      <c r="X104" s="11"/>
      <c r="Y104" s="12"/>
      <c r="Z104" s="7"/>
    </row>
    <row r="105" spans="1:26" x14ac:dyDescent="0.25">
      <c r="A105" s="69" t="s">
        <v>142</v>
      </c>
      <c r="B105" s="69" t="s">
        <v>139</v>
      </c>
      <c r="H105" s="14"/>
      <c r="K105" s="6"/>
      <c r="L105" s="6"/>
      <c r="M105" s="36"/>
      <c r="N105" s="2"/>
      <c r="X105" s="11"/>
      <c r="Y105" s="12"/>
      <c r="Z105" s="7"/>
    </row>
    <row r="106" spans="1:26" x14ac:dyDescent="0.25">
      <c r="A106" s="69" t="s">
        <v>143</v>
      </c>
      <c r="B106" s="69" t="s">
        <v>139</v>
      </c>
      <c r="H106" s="14"/>
      <c r="K106" s="6"/>
      <c r="L106" s="6"/>
      <c r="M106" s="36"/>
      <c r="N106" s="2"/>
      <c r="X106" s="11"/>
      <c r="Y106" s="12"/>
      <c r="Z106" s="7"/>
    </row>
    <row r="107" spans="1:26" x14ac:dyDescent="0.25">
      <c r="A107" s="69" t="s">
        <v>144</v>
      </c>
      <c r="B107" s="69" t="s">
        <v>141</v>
      </c>
      <c r="H107" s="14"/>
      <c r="K107" s="6"/>
      <c r="L107" s="6"/>
      <c r="M107" s="36"/>
      <c r="N107" s="2"/>
      <c r="X107" s="11"/>
      <c r="Y107" s="12"/>
      <c r="Z107" s="7"/>
    </row>
    <row r="108" spans="1:26" x14ac:dyDescent="0.25">
      <c r="A108" s="69" t="s">
        <v>145</v>
      </c>
      <c r="B108" s="69" t="s">
        <v>141</v>
      </c>
      <c r="H108" s="14"/>
      <c r="K108" s="6"/>
      <c r="L108" s="6"/>
      <c r="M108" s="36"/>
      <c r="N108" s="2"/>
      <c r="X108" s="11"/>
      <c r="Y108" s="12"/>
      <c r="Z108" s="7"/>
    </row>
    <row r="109" spans="1:26" x14ac:dyDescent="0.25">
      <c r="A109" s="69" t="s">
        <v>146</v>
      </c>
      <c r="B109" s="69" t="s">
        <v>141</v>
      </c>
      <c r="H109" s="14"/>
      <c r="K109" s="6"/>
      <c r="L109" s="6"/>
      <c r="M109" s="36"/>
      <c r="N109" s="2"/>
      <c r="X109" s="11"/>
      <c r="Y109" s="12"/>
      <c r="Z109" s="7"/>
    </row>
    <row r="110" spans="1:26" x14ac:dyDescent="0.25">
      <c r="A110" s="69" t="s">
        <v>147</v>
      </c>
      <c r="B110" s="69" t="s">
        <v>144</v>
      </c>
      <c r="H110" s="14"/>
      <c r="K110" s="6"/>
      <c r="L110" s="6"/>
      <c r="M110" s="36"/>
      <c r="N110" s="2"/>
      <c r="X110" s="11"/>
      <c r="Y110" s="12"/>
      <c r="Z110" s="7"/>
    </row>
    <row r="111" spans="1:26" x14ac:dyDescent="0.25">
      <c r="A111" s="69" t="s">
        <v>148</v>
      </c>
      <c r="B111" s="69" t="s">
        <v>144</v>
      </c>
      <c r="H111" s="14"/>
      <c r="K111" s="6"/>
      <c r="L111" s="6"/>
      <c r="M111" s="36"/>
      <c r="N111" s="2"/>
      <c r="X111" s="11"/>
      <c r="Y111" s="12"/>
      <c r="Z111" s="7"/>
    </row>
    <row r="112" spans="1:26" x14ac:dyDescent="0.25">
      <c r="A112" s="69" t="s">
        <v>149</v>
      </c>
      <c r="B112" s="69" t="s">
        <v>139</v>
      </c>
    </row>
    <row r="113" spans="1:2" x14ac:dyDescent="0.25">
      <c r="A113" s="69" t="s">
        <v>150</v>
      </c>
      <c r="B113" s="69" t="s">
        <v>139</v>
      </c>
    </row>
    <row r="114" spans="1:2" x14ac:dyDescent="0.25">
      <c r="A114" s="69" t="s">
        <v>151</v>
      </c>
      <c r="B114" s="69" t="s">
        <v>139</v>
      </c>
    </row>
    <row r="115" spans="1:2" x14ac:dyDescent="0.25">
      <c r="A115" s="69" t="s">
        <v>152</v>
      </c>
      <c r="B115" s="69" t="s">
        <v>139</v>
      </c>
    </row>
    <row r="116" spans="1:2" x14ac:dyDescent="0.25">
      <c r="A116" s="69" t="s">
        <v>153</v>
      </c>
      <c r="B116" s="69" t="s">
        <v>139</v>
      </c>
    </row>
    <row r="117" spans="1:2" x14ac:dyDescent="0.25">
      <c r="A117" s="69" t="s">
        <v>154</v>
      </c>
      <c r="B117" s="69" t="s">
        <v>141</v>
      </c>
    </row>
    <row r="118" spans="1:2" x14ac:dyDescent="0.25">
      <c r="A118" s="69" t="s">
        <v>155</v>
      </c>
      <c r="B118" s="69" t="s">
        <v>141</v>
      </c>
    </row>
    <row r="119" spans="1:2" x14ac:dyDescent="0.25">
      <c r="A119" s="69" t="s">
        <v>156</v>
      </c>
      <c r="B119" s="69" t="s">
        <v>141</v>
      </c>
    </row>
    <row r="120" spans="1:2" x14ac:dyDescent="0.25">
      <c r="A120" s="69" t="s">
        <v>157</v>
      </c>
      <c r="B120" s="69" t="s">
        <v>144</v>
      </c>
    </row>
    <row r="121" spans="1:2" x14ac:dyDescent="0.25">
      <c r="A121" s="69" t="s">
        <v>158</v>
      </c>
      <c r="B121" s="69" t="s">
        <v>144</v>
      </c>
    </row>
    <row r="126" spans="1:2" ht="15.75" x14ac:dyDescent="0.25">
      <c r="A126" s="8"/>
      <c r="B126" s="83"/>
    </row>
  </sheetData>
  <mergeCells count="1">
    <mergeCell ref="A20:B20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Z104"/>
  <sheetViews>
    <sheetView workbookViewId="0">
      <selection activeCell="B5" sqref="B5"/>
    </sheetView>
  </sheetViews>
  <sheetFormatPr defaultColWidth="9" defaultRowHeight="15" x14ac:dyDescent="0.25"/>
  <cols>
    <col min="1" max="1" width="15.75" style="3" customWidth="1"/>
    <col min="2" max="2" width="14" style="3" customWidth="1"/>
    <col min="3" max="3" width="9.25" style="3" customWidth="1"/>
    <col min="4" max="4" width="9.625" style="3" customWidth="1"/>
    <col min="5" max="5" width="10.5" style="3" customWidth="1"/>
    <col min="6" max="6" width="10.75" style="3" customWidth="1"/>
    <col min="7" max="7" width="16.375" style="3" customWidth="1"/>
    <col min="8" max="8" width="14" style="3" customWidth="1"/>
    <col min="9" max="9" width="5.75" style="3" customWidth="1"/>
    <col min="10" max="10" width="5.25" style="3" customWidth="1"/>
    <col min="11" max="11" width="17.25" style="3" customWidth="1"/>
    <col min="12" max="12" width="11.375" style="3" customWidth="1"/>
    <col min="13" max="13" width="10.375" style="3" customWidth="1"/>
    <col min="14" max="14" width="12.25" style="3" customWidth="1"/>
    <col min="15" max="15" width="10.25" style="3" customWidth="1"/>
    <col min="16" max="16" width="10.375" style="3" customWidth="1"/>
    <col min="17" max="17" width="10.625" style="3" customWidth="1"/>
    <col min="18" max="18" width="12.25" style="3" customWidth="1"/>
    <col min="19" max="19" width="9" style="3"/>
    <col min="20" max="20" width="10" style="3" bestFit="1" customWidth="1"/>
    <col min="21" max="23" width="9" style="3"/>
    <col min="24" max="24" width="9.375" style="3" customWidth="1"/>
    <col min="25" max="25" width="12.25" style="3" customWidth="1"/>
    <col min="26" max="26" width="9.75" style="3" customWidth="1"/>
    <col min="27" max="16384" width="9" style="3"/>
  </cols>
  <sheetData>
    <row r="1" spans="1:24" x14ac:dyDescent="0.25">
      <c r="A1" s="1" t="s">
        <v>8</v>
      </c>
      <c r="B1" s="17">
        <v>44530</v>
      </c>
      <c r="C1" s="25" t="s">
        <v>66</v>
      </c>
      <c r="D1" s="25" t="s">
        <v>51</v>
      </c>
      <c r="E1" s="25" t="s">
        <v>65</v>
      </c>
      <c r="F1" s="25" t="s">
        <v>67</v>
      </c>
      <c r="G1" s="3" t="s">
        <v>126</v>
      </c>
    </row>
    <row r="2" spans="1:24" x14ac:dyDescent="0.25">
      <c r="A2" s="5"/>
      <c r="C2" s="59">
        <f>D2-$B$1</f>
        <v>28</v>
      </c>
      <c r="D2" s="60">
        <f t="array" ref="D2:D8">_xll.qlPiecewiseYieldCurveDates(B22)</f>
        <v>44558</v>
      </c>
      <c r="E2" s="61">
        <f t="array" ref="E2:E8">_xll.qlYieldTSZeroRate(B22,$D$2:$D$8,A45,A46,A47,A48,A49)</f>
        <v>2.4605208457875349E-2</v>
      </c>
      <c r="F2" s="62">
        <f t="array" ref="F2:F8">_xll.qlYieldTSDiscount(B22,D2:D8,TRUE,B5)</f>
        <v>1</v>
      </c>
      <c r="G2" s="63" t="s">
        <v>64</v>
      </c>
      <c r="H2" s="63" t="s">
        <v>21</v>
      </c>
      <c r="I2" s="63" t="s">
        <v>16</v>
      </c>
      <c r="J2" s="63" t="s">
        <v>19</v>
      </c>
      <c r="K2" s="63" t="s">
        <v>20</v>
      </c>
      <c r="L2" s="63" t="s">
        <v>12</v>
      </c>
      <c r="M2" s="63" t="s">
        <v>22</v>
      </c>
      <c r="N2" s="63" t="s">
        <v>13</v>
      </c>
      <c r="O2" s="63" t="s">
        <v>14</v>
      </c>
      <c r="P2" s="63" t="s">
        <v>15</v>
      </c>
      <c r="Q2" s="63"/>
      <c r="R2" s="8"/>
      <c r="S2" s="63"/>
      <c r="T2" s="63"/>
      <c r="U2" s="63"/>
      <c r="V2" s="63"/>
      <c r="W2" s="63"/>
      <c r="X2" s="63"/>
    </row>
    <row r="3" spans="1:24" x14ac:dyDescent="0.25">
      <c r="A3" s="1"/>
      <c r="B3" s="17"/>
      <c r="C3" s="59">
        <f t="shared" ref="C3:C8" si="0">D3-$B$1</f>
        <v>120</v>
      </c>
      <c r="D3" s="60">
        <v>44650</v>
      </c>
      <c r="E3" s="61">
        <v>2.4605208458443086E-2</v>
      </c>
      <c r="F3" s="62">
        <v>0.99381733108078607</v>
      </c>
      <c r="G3" s="71" t="str">
        <f>H21</f>
        <v>obj_00132#0008</v>
      </c>
      <c r="H3" s="18" t="str">
        <f>_xll.qlSimpleQuote(,K3,M3,N3,O3,P3)</f>
        <v>obj_00121#0008</v>
      </c>
      <c r="I3" s="3" t="str">
        <f>_xll.ohRangeRetrieveError(H3)</f>
        <v/>
      </c>
      <c r="K3" s="27">
        <f>R3/100</f>
        <v>2.4680000000000001E-2</v>
      </c>
      <c r="L3" s="36" t="s">
        <v>1</v>
      </c>
      <c r="M3" s="3">
        <v>0.01</v>
      </c>
      <c r="N3" s="11" t="b">
        <v>0</v>
      </c>
      <c r="O3" s="34">
        <f>$B$5</f>
        <v>1</v>
      </c>
      <c r="P3" s="7" t="b">
        <v>1</v>
      </c>
      <c r="Q3" s="26" t="s">
        <v>440</v>
      </c>
      <c r="R3" s="3">
        <v>2.468</v>
      </c>
      <c r="S3" s="2"/>
      <c r="T3" s="2"/>
      <c r="U3" s="6"/>
      <c r="X3" s="34"/>
    </row>
    <row r="4" spans="1:24" x14ac:dyDescent="0.25">
      <c r="A4" s="1" t="s">
        <v>73</v>
      </c>
      <c r="B4" s="17">
        <f>_xll.qlCalendarAdvance(B12,B1,"2D",V3,W3,X3)</f>
        <v>44532</v>
      </c>
      <c r="C4" s="59">
        <f t="shared" si="0"/>
        <v>212</v>
      </c>
      <c r="D4" s="60">
        <v>44742</v>
      </c>
      <c r="E4" s="61">
        <v>2.7166633732538456E-2</v>
      </c>
      <c r="F4" s="62">
        <v>0.98639838878148822</v>
      </c>
      <c r="G4" s="71" t="str">
        <f t="shared" ref="G4:G14" si="1">H22</f>
        <v>obj_00124#0008</v>
      </c>
      <c r="H4" s="18" t="str">
        <f>_xll.qlSimpleQuote(,K4,M4,N4,O4,P4)</f>
        <v>obj_0010d#0008</v>
      </c>
      <c r="I4" s="3" t="str">
        <f>_xll.ohRangeRetrieveError(H4)</f>
        <v/>
      </c>
      <c r="K4" s="27">
        <f t="shared" ref="K4:K14" si="2">R4/100</f>
        <v>2.7380000000000002E-2</v>
      </c>
      <c r="L4" s="36" t="s">
        <v>69</v>
      </c>
      <c r="M4" s="3">
        <f>$M$3</f>
        <v>0.01</v>
      </c>
      <c r="N4" s="11" t="b">
        <v>0</v>
      </c>
      <c r="O4" s="34">
        <f t="shared" ref="O4:O14" si="3">$B$5</f>
        <v>1</v>
      </c>
      <c r="P4" s="7" t="b">
        <v>1</v>
      </c>
      <c r="Q4" s="26" t="s">
        <v>441</v>
      </c>
      <c r="R4" s="3">
        <v>2.738</v>
      </c>
      <c r="S4" s="2"/>
      <c r="T4" s="2"/>
      <c r="U4" s="6"/>
      <c r="X4" s="34"/>
    </row>
    <row r="5" spans="1:24" x14ac:dyDescent="0.25">
      <c r="A5" s="8" t="s">
        <v>14</v>
      </c>
      <c r="B5" s="3">
        <f>'ql-US-ZC'!B4</f>
        <v>1</v>
      </c>
      <c r="C5" s="59">
        <f t="shared" si="0"/>
        <v>395</v>
      </c>
      <c r="D5" s="60">
        <v>44925</v>
      </c>
      <c r="E5" s="61">
        <v>3.0168887816551186E-2</v>
      </c>
      <c r="F5" s="62">
        <v>0.970121267952743</v>
      </c>
      <c r="G5" s="71" t="str">
        <f t="shared" si="1"/>
        <v>obj_00138#0008</v>
      </c>
      <c r="H5" s="18" t="str">
        <f>_xll.qlSimpleQuote(,K5,M5,N5,O5,P5)</f>
        <v>obj_00103#0008</v>
      </c>
      <c r="I5" s="3" t="str">
        <f>_xll.ohRangeRetrieveError(H5)</f>
        <v/>
      </c>
      <c r="K5" s="27">
        <f t="shared" si="2"/>
        <v>3.066E-2</v>
      </c>
      <c r="L5" s="36" t="s">
        <v>2</v>
      </c>
      <c r="M5" s="3">
        <f t="shared" ref="M5:M14" si="4">$M$3</f>
        <v>0.01</v>
      </c>
      <c r="N5" s="11" t="b">
        <v>0</v>
      </c>
      <c r="O5" s="34">
        <f t="shared" si="3"/>
        <v>1</v>
      </c>
      <c r="P5" s="7" t="b">
        <v>1</v>
      </c>
      <c r="Q5" s="26" t="s">
        <v>442</v>
      </c>
      <c r="R5" s="3">
        <v>3.0659999999999998</v>
      </c>
      <c r="S5" s="2"/>
      <c r="T5" s="2"/>
      <c r="U5" s="6"/>
      <c r="X5" s="34"/>
    </row>
    <row r="6" spans="1:24" x14ac:dyDescent="0.25">
      <c r="A6" s="3" t="s">
        <v>27</v>
      </c>
      <c r="B6" s="19" t="str">
        <f>_xll.qlIborIndex(B7,B8,B9,B10,B11,B12,B13,B14,B15,B16,B17,B18,B19)</f>
        <v>obj_000f6#0008</v>
      </c>
      <c r="C6" s="59">
        <f t="shared" si="0"/>
        <v>763</v>
      </c>
      <c r="D6" s="60">
        <v>45293</v>
      </c>
      <c r="E6" s="61">
        <v>3.162154908613931E-2</v>
      </c>
      <c r="F6" s="62">
        <v>0.93830870897373297</v>
      </c>
      <c r="G6" s="71" t="str">
        <f t="shared" si="1"/>
        <v>obj_00140#0008</v>
      </c>
      <c r="H6" s="18" t="str">
        <f>_xll.qlSimpleQuote(,K6,M6,N6,O6,P6)</f>
        <v>obj_0011f#0008</v>
      </c>
      <c r="I6" s="3" t="str">
        <f>_xll.ohRangeRetrieveError(H6)</f>
        <v/>
      </c>
      <c r="K6" s="27">
        <f t="shared" si="2"/>
        <v>3.1939999999999996E-2</v>
      </c>
      <c r="L6" s="36" t="s">
        <v>3</v>
      </c>
      <c r="M6" s="3">
        <f t="shared" si="4"/>
        <v>0.01</v>
      </c>
      <c r="N6" s="11" t="b">
        <v>0</v>
      </c>
      <c r="O6" s="34">
        <f t="shared" si="3"/>
        <v>1</v>
      </c>
      <c r="P6" s="7" t="b">
        <v>1</v>
      </c>
      <c r="Q6" s="26" t="s">
        <v>443</v>
      </c>
      <c r="R6" s="3">
        <v>3.194</v>
      </c>
      <c r="S6" s="2"/>
      <c r="T6" s="2"/>
      <c r="U6" s="6"/>
      <c r="X6" s="34"/>
    </row>
    <row r="7" spans="1:24" x14ac:dyDescent="0.25">
      <c r="A7" s="8" t="s">
        <v>10</v>
      </c>
      <c r="B7" s="9"/>
      <c r="C7" s="59">
        <f t="shared" si="0"/>
        <v>1126</v>
      </c>
      <c r="D7" s="60">
        <v>45656</v>
      </c>
      <c r="E7" s="61">
        <v>3.250644225004231E-2</v>
      </c>
      <c r="F7" s="62">
        <v>0.90684249125042893</v>
      </c>
      <c r="G7" s="71" t="str">
        <f t="shared" si="1"/>
        <v>obj_00133#0008</v>
      </c>
      <c r="H7" s="18" t="str">
        <f>_xll.qlSimpleQuote(,K7,M7,N7,O7,P7)</f>
        <v>obj_000f7#0008</v>
      </c>
      <c r="I7" s="3" t="str">
        <f>_xll.ohRangeRetrieveError(H7)</f>
        <v/>
      </c>
      <c r="K7" s="27">
        <f t="shared" si="2"/>
        <v>3.3010000000000005E-2</v>
      </c>
      <c r="L7" s="36" t="s">
        <v>4</v>
      </c>
      <c r="M7" s="3">
        <f t="shared" si="4"/>
        <v>0.01</v>
      </c>
      <c r="N7" s="11" t="b">
        <v>0</v>
      </c>
      <c r="O7" s="34">
        <f t="shared" si="3"/>
        <v>1</v>
      </c>
      <c r="P7" s="7" t="b">
        <v>1</v>
      </c>
      <c r="Q7" s="26" t="s">
        <v>444</v>
      </c>
      <c r="R7" s="3">
        <v>3.3010000000000002</v>
      </c>
      <c r="S7" s="2"/>
      <c r="T7" s="2"/>
      <c r="U7" s="6"/>
      <c r="X7" s="34"/>
    </row>
    <row r="8" spans="1:24" x14ac:dyDescent="0.25">
      <c r="A8" s="8" t="s">
        <v>28</v>
      </c>
      <c r="B8" s="9" t="s">
        <v>32</v>
      </c>
      <c r="C8" s="59">
        <f t="shared" si="0"/>
        <v>1856</v>
      </c>
      <c r="D8" s="60">
        <v>46386</v>
      </c>
      <c r="E8" s="61">
        <v>3.8972153801343043E-2</v>
      </c>
      <c r="F8" s="62">
        <v>0.82268566599916093</v>
      </c>
      <c r="G8" s="71" t="str">
        <f t="shared" si="1"/>
        <v>obj_0012d#0008</v>
      </c>
      <c r="H8" s="18" t="str">
        <f>_xll.qlSimpleQuote(,K8,M8,N8,O8,P8)</f>
        <v>obj_00116#0008</v>
      </c>
      <c r="I8" s="3" t="str">
        <f>_xll.ohRangeRetrieveError(H8)</f>
        <v/>
      </c>
      <c r="K8" s="27">
        <f t="shared" si="2"/>
        <v>3.9309999999999998E-2</v>
      </c>
      <c r="L8" s="36" t="s">
        <v>5</v>
      </c>
      <c r="M8" s="3">
        <f t="shared" si="4"/>
        <v>0.01</v>
      </c>
      <c r="N8" s="11" t="b">
        <v>0</v>
      </c>
      <c r="O8" s="34">
        <f t="shared" si="3"/>
        <v>1</v>
      </c>
      <c r="P8" s="7" t="b">
        <v>1</v>
      </c>
      <c r="Q8" s="26" t="s">
        <v>445</v>
      </c>
      <c r="R8" s="3">
        <v>3.931</v>
      </c>
      <c r="S8" s="2"/>
      <c r="T8" s="2"/>
      <c r="U8" s="6"/>
      <c r="X8" s="34"/>
    </row>
    <row r="9" spans="1:24" x14ac:dyDescent="0.25">
      <c r="A9" s="8" t="s">
        <v>12</v>
      </c>
      <c r="B9" s="9" t="s">
        <v>33</v>
      </c>
      <c r="C9" s="59"/>
      <c r="D9" s="60"/>
      <c r="E9" s="61">
        <f t="array" ref="E9:E15">_xll.qlYieldTSZeroRate(B21,$D$2:$D$8,A45,A46,A47,A48,A49)</f>
        <v>2.9839952116899944E-2</v>
      </c>
      <c r="F9" s="62">
        <f t="array" ref="F9:F15">_xll.qlYieldTSDiscount(B21,D2:D8,TRUE,B5)</f>
        <v>1</v>
      </c>
      <c r="G9" s="71" t="str">
        <f t="shared" si="1"/>
        <v>obj_0014b#0008</v>
      </c>
      <c r="H9" s="18" t="str">
        <f>_xll.qlSimpleQuote(,K9,M9,N9,O9,P9)</f>
        <v>obj_00117#0008</v>
      </c>
      <c r="I9" s="3" t="str">
        <f>_xll.ohRangeRetrieveError(H9)</f>
        <v/>
      </c>
      <c r="K9" s="27">
        <f t="shared" si="2"/>
        <v>2.9950000000000001E-2</v>
      </c>
      <c r="L9" s="36" t="s">
        <v>1</v>
      </c>
      <c r="M9" s="3">
        <f t="shared" si="4"/>
        <v>0.01</v>
      </c>
      <c r="N9" s="11" t="b">
        <v>0</v>
      </c>
      <c r="O9" s="34">
        <f t="shared" si="3"/>
        <v>1</v>
      </c>
      <c r="P9" s="7" t="b">
        <v>1</v>
      </c>
      <c r="Q9" s="26" t="s">
        <v>446</v>
      </c>
      <c r="R9" s="3">
        <v>2.9950000000000001</v>
      </c>
      <c r="S9" s="2"/>
      <c r="T9" s="2"/>
      <c r="U9" s="6"/>
      <c r="X9" s="34"/>
    </row>
    <row r="10" spans="1:24" x14ac:dyDescent="0.25">
      <c r="A10" s="8" t="s">
        <v>24</v>
      </c>
      <c r="B10" s="9">
        <v>2</v>
      </c>
      <c r="C10" s="59"/>
      <c r="D10" s="60"/>
      <c r="E10" s="61">
        <v>2.9839952115955047E-2</v>
      </c>
      <c r="F10" s="62">
        <v>0.99250691122010171</v>
      </c>
      <c r="G10" s="71" t="str">
        <f t="shared" si="1"/>
        <v>obj_00136#0008</v>
      </c>
      <c r="H10" s="18" t="str">
        <f>_xll.qlSimpleQuote(,K10,M10,N10,O10,P10)</f>
        <v>obj_00107#0008</v>
      </c>
      <c r="I10" s="3" t="str">
        <f>_xll.ohRangeRetrieveError(H10)</f>
        <v/>
      </c>
      <c r="K10" s="27">
        <f t="shared" si="2"/>
        <v>3.005E-2</v>
      </c>
      <c r="L10" s="36" t="s">
        <v>69</v>
      </c>
      <c r="M10" s="3">
        <f t="shared" si="4"/>
        <v>0.01</v>
      </c>
      <c r="N10" s="11" t="b">
        <v>0</v>
      </c>
      <c r="O10" s="34">
        <f t="shared" si="3"/>
        <v>1</v>
      </c>
      <c r="P10" s="7" t="b">
        <v>1</v>
      </c>
      <c r="Q10" s="26" t="s">
        <v>447</v>
      </c>
      <c r="R10" s="3">
        <v>3.0049999999999999</v>
      </c>
      <c r="S10" s="2"/>
      <c r="T10" s="2"/>
      <c r="U10" s="6"/>
      <c r="X10" s="34"/>
    </row>
    <row r="11" spans="1:24" x14ac:dyDescent="0.25">
      <c r="A11" s="8" t="s">
        <v>11</v>
      </c>
      <c r="B11" s="9" t="s">
        <v>455</v>
      </c>
      <c r="C11" s="59"/>
      <c r="D11" s="60"/>
      <c r="E11" s="61">
        <v>2.9827231577623594E-2</v>
      </c>
      <c r="F11" s="62">
        <v>0.98507628564576866</v>
      </c>
      <c r="G11" s="71" t="str">
        <f t="shared" si="1"/>
        <v>obj_0012e#0008</v>
      </c>
      <c r="H11" s="18" t="str">
        <f>_xll.qlSimpleQuote(,K11,M11,N11,O11,P11)</f>
        <v>obj_00102#0008</v>
      </c>
      <c r="I11" s="3" t="str">
        <f>_xll.ohRangeRetrieveError(H11)</f>
        <v/>
      </c>
      <c r="K11" s="27">
        <f t="shared" si="2"/>
        <v>2.9580000000000002E-2</v>
      </c>
      <c r="L11" s="36" t="s">
        <v>2</v>
      </c>
      <c r="M11" s="3">
        <f t="shared" si="4"/>
        <v>0.01</v>
      </c>
      <c r="N11" s="11" t="b">
        <v>0</v>
      </c>
      <c r="O11" s="34">
        <f t="shared" si="3"/>
        <v>1</v>
      </c>
      <c r="P11" s="7" t="b">
        <v>1</v>
      </c>
      <c r="Q11" s="26" t="s">
        <v>448</v>
      </c>
      <c r="R11" s="3">
        <v>2.9580000000000002</v>
      </c>
      <c r="S11" s="2"/>
      <c r="T11" s="2"/>
      <c r="U11" s="6"/>
      <c r="X11" s="34"/>
    </row>
    <row r="12" spans="1:24" x14ac:dyDescent="0.25">
      <c r="A12" s="8" t="s">
        <v>17</v>
      </c>
      <c r="B12" s="10" t="s">
        <v>369</v>
      </c>
      <c r="C12" s="59"/>
      <c r="D12" s="60"/>
      <c r="E12" s="61">
        <v>2.9154706860222215E-2</v>
      </c>
      <c r="F12" s="62">
        <v>0.97111104215265032</v>
      </c>
      <c r="G12" s="71" t="str">
        <f t="shared" si="1"/>
        <v>obj_0014a#0008</v>
      </c>
      <c r="H12" s="18" t="str">
        <f>_xll.qlSimpleQuote(,K12,M12,N12,O12,P12)</f>
        <v>obj_000ff#0008</v>
      </c>
      <c r="K12" s="27">
        <f t="shared" si="2"/>
        <v>3.1009999999999999E-2</v>
      </c>
      <c r="L12" s="36" t="s">
        <v>3</v>
      </c>
      <c r="M12" s="3">
        <f t="shared" si="4"/>
        <v>0.01</v>
      </c>
      <c r="N12" s="11" t="b">
        <v>0</v>
      </c>
      <c r="O12" s="34">
        <f t="shared" si="3"/>
        <v>1</v>
      </c>
      <c r="P12" s="7" t="b">
        <v>1</v>
      </c>
      <c r="Q12" s="26" t="s">
        <v>449</v>
      </c>
      <c r="R12" s="3">
        <v>3.101</v>
      </c>
      <c r="S12" s="2"/>
      <c r="T12" s="2"/>
      <c r="U12" s="6"/>
      <c r="X12" s="34"/>
    </row>
    <row r="13" spans="1:24" x14ac:dyDescent="0.25">
      <c r="A13" s="8" t="s">
        <v>29</v>
      </c>
      <c r="B13" s="9" t="s">
        <v>34</v>
      </c>
      <c r="C13" s="59"/>
      <c r="D13" s="60"/>
      <c r="E13" s="61">
        <v>3.0735257318173236E-2</v>
      </c>
      <c r="F13" s="62">
        <v>0.93998482679246187</v>
      </c>
      <c r="G13" s="71" t="str">
        <f t="shared" si="1"/>
        <v>obj_0013b#0008</v>
      </c>
      <c r="H13" s="18" t="str">
        <f>_xll.qlSimpleQuote(,K13,M13,N13,O13,P13)</f>
        <v>obj_000f9#0008</v>
      </c>
      <c r="K13" s="27">
        <f t="shared" si="2"/>
        <v>3.3419999999999998E-2</v>
      </c>
      <c r="L13" s="36" t="s">
        <v>4</v>
      </c>
      <c r="M13" s="3">
        <f t="shared" si="4"/>
        <v>0.01</v>
      </c>
      <c r="N13" s="11" t="b">
        <v>0</v>
      </c>
      <c r="O13" s="34">
        <f t="shared" si="3"/>
        <v>1</v>
      </c>
      <c r="P13" s="7" t="b">
        <v>1</v>
      </c>
      <c r="Q13" s="26" t="s">
        <v>450</v>
      </c>
      <c r="R13" s="3">
        <v>3.3420000000000001</v>
      </c>
      <c r="S13" s="2"/>
      <c r="T13" s="2"/>
      <c r="U13" s="6"/>
      <c r="X13" s="34"/>
    </row>
    <row r="14" spans="1:24" x14ac:dyDescent="0.25">
      <c r="A14" s="8" t="s">
        <v>30</v>
      </c>
      <c r="B14" s="9" t="b">
        <v>0</v>
      </c>
      <c r="C14" s="59"/>
      <c r="D14" s="60"/>
      <c r="E14" s="61">
        <v>3.2958604207102359E-2</v>
      </c>
      <c r="F14" s="62">
        <v>0.90560984055173621</v>
      </c>
      <c r="G14" s="71" t="str">
        <f t="shared" si="1"/>
        <v>obj_00130#0008</v>
      </c>
      <c r="H14" s="18" t="str">
        <f>_xll.qlSimpleQuote(,K14,M14,N14,O14,P14)</f>
        <v>obj_0010a#0008</v>
      </c>
      <c r="K14" s="27">
        <f t="shared" si="2"/>
        <v>3.5279999999999999E-2</v>
      </c>
      <c r="L14" s="36" t="s">
        <v>5</v>
      </c>
      <c r="M14" s="3">
        <f t="shared" si="4"/>
        <v>0.01</v>
      </c>
      <c r="N14" s="11" t="b">
        <v>0</v>
      </c>
      <c r="O14" s="34">
        <f t="shared" si="3"/>
        <v>1</v>
      </c>
      <c r="P14" s="7" t="b">
        <v>1</v>
      </c>
      <c r="Q14" s="26" t="s">
        <v>451</v>
      </c>
      <c r="R14" s="3">
        <v>3.528</v>
      </c>
      <c r="S14" s="2"/>
      <c r="T14" s="2"/>
      <c r="U14" s="6"/>
      <c r="X14" s="34"/>
    </row>
    <row r="15" spans="1:24" x14ac:dyDescent="0.25">
      <c r="A15" s="8" t="s">
        <v>18</v>
      </c>
      <c r="B15" s="9" t="s">
        <v>75</v>
      </c>
      <c r="C15" s="24"/>
      <c r="D15" s="2"/>
      <c r="E15" s="61">
        <v>3.4829054334370065E-2</v>
      </c>
      <c r="F15" s="62">
        <v>0.83993435595435029</v>
      </c>
      <c r="G15" s="2"/>
      <c r="H15" s="18"/>
      <c r="K15" s="27"/>
      <c r="L15" s="36"/>
      <c r="N15" s="11"/>
      <c r="O15" s="34"/>
      <c r="P15" s="7"/>
      <c r="Q15" s="26"/>
      <c r="S15" s="2"/>
      <c r="T15" s="2"/>
      <c r="U15" s="6"/>
      <c r="X15" s="34"/>
    </row>
    <row r="16" spans="1:24" x14ac:dyDescent="0.25">
      <c r="A16" s="8" t="s">
        <v>31</v>
      </c>
      <c r="B16" s="9"/>
      <c r="C16" s="24"/>
      <c r="D16" s="2"/>
      <c r="E16" s="2"/>
      <c r="F16" s="2"/>
      <c r="G16" s="2"/>
      <c r="H16" s="18"/>
      <c r="K16" s="27"/>
      <c r="L16" s="36"/>
      <c r="N16" s="11"/>
      <c r="O16" s="34"/>
      <c r="P16" s="7"/>
      <c r="Q16" s="63"/>
      <c r="R16" s="28"/>
      <c r="S16" s="2"/>
      <c r="T16" s="2"/>
      <c r="U16" s="6"/>
      <c r="X16" s="34"/>
    </row>
    <row r="17" spans="1:26" x14ac:dyDescent="0.25">
      <c r="A17" s="8" t="s">
        <v>13</v>
      </c>
      <c r="B17" s="11" t="b">
        <v>0</v>
      </c>
      <c r="C17" s="24"/>
      <c r="D17" s="2"/>
      <c r="E17" s="2"/>
      <c r="F17" s="2"/>
      <c r="G17" s="2"/>
      <c r="H17" s="18"/>
      <c r="K17" s="27"/>
      <c r="L17" s="36"/>
      <c r="N17" s="11"/>
      <c r="O17" s="34"/>
      <c r="P17" s="7"/>
      <c r="Q17" s="26"/>
      <c r="R17" s="28"/>
      <c r="S17" s="2"/>
      <c r="T17" s="2"/>
      <c r="U17" s="6"/>
      <c r="X17" s="2"/>
      <c r="Y17" s="6"/>
    </row>
    <row r="18" spans="1:26" x14ac:dyDescent="0.25">
      <c r="A18" s="8" t="s">
        <v>14</v>
      </c>
      <c r="B18" s="34">
        <f>$B$5</f>
        <v>1</v>
      </c>
      <c r="C18" s="24"/>
      <c r="D18" s="2"/>
      <c r="E18" s="2"/>
      <c r="F18" s="2"/>
      <c r="G18" s="2"/>
      <c r="H18" s="14"/>
      <c r="I18" s="18"/>
      <c r="J18" s="18"/>
      <c r="K18" s="18"/>
      <c r="L18" s="18"/>
      <c r="M18" s="18"/>
      <c r="N18" s="18"/>
      <c r="O18" s="18"/>
      <c r="P18" s="18"/>
      <c r="Y18" s="6"/>
    </row>
    <row r="19" spans="1:26" x14ac:dyDescent="0.25">
      <c r="A19" s="8" t="s">
        <v>15</v>
      </c>
      <c r="B19" s="11" t="b">
        <v>1</v>
      </c>
      <c r="C19" s="24"/>
      <c r="D19" s="2"/>
      <c r="E19" s="2"/>
      <c r="F19" s="2"/>
      <c r="G19" s="2"/>
      <c r="J19" s="63"/>
      <c r="K19" s="13"/>
      <c r="L19" s="6"/>
      <c r="M19" s="63"/>
      <c r="N19" s="63"/>
      <c r="O19" s="63"/>
      <c r="P19" s="63"/>
    </row>
    <row r="20" spans="1:26" x14ac:dyDescent="0.25">
      <c r="A20" s="110" t="s">
        <v>48</v>
      </c>
      <c r="B20" s="110"/>
      <c r="C20" s="24"/>
      <c r="D20" s="2"/>
      <c r="E20" s="2"/>
      <c r="F20" s="2"/>
      <c r="G20" s="2"/>
      <c r="H20" s="63" t="s">
        <v>107</v>
      </c>
      <c r="I20" s="63"/>
      <c r="J20" s="63" t="s">
        <v>10</v>
      </c>
      <c r="K20" s="63" t="s">
        <v>23</v>
      </c>
      <c r="L20" s="63" t="s">
        <v>53</v>
      </c>
      <c r="M20" s="63" t="s">
        <v>12</v>
      </c>
      <c r="N20" s="63" t="s">
        <v>17</v>
      </c>
      <c r="O20" s="63" t="s">
        <v>54</v>
      </c>
      <c r="P20" s="63" t="s">
        <v>55</v>
      </c>
      <c r="Q20" s="63" t="s">
        <v>56</v>
      </c>
      <c r="R20" s="63" t="s">
        <v>57</v>
      </c>
      <c r="S20" s="63" t="s">
        <v>58</v>
      </c>
      <c r="T20" s="63" t="s">
        <v>59</v>
      </c>
      <c r="U20" s="21" t="s">
        <v>60</v>
      </c>
      <c r="V20" s="63" t="s">
        <v>61</v>
      </c>
      <c r="W20" s="63" t="s">
        <v>62</v>
      </c>
      <c r="X20" s="63" t="s">
        <v>13</v>
      </c>
      <c r="Y20" s="63" t="s">
        <v>14</v>
      </c>
      <c r="Z20" s="63" t="s">
        <v>15</v>
      </c>
    </row>
    <row r="21" spans="1:26" x14ac:dyDescent="0.25">
      <c r="A21" s="105" t="s">
        <v>454</v>
      </c>
      <c r="B21" s="13" t="str">
        <f>_xll.qlPiecewiseYieldCurve(A21,B26,B27,G9:G14,B29,B30,B31,B32,B33,B34,B35,B36,B37)</f>
        <v>CNYA#0008</v>
      </c>
      <c r="C21" s="24"/>
      <c r="D21" s="2"/>
      <c r="E21" s="2"/>
      <c r="F21" s="2"/>
      <c r="G21" s="2"/>
      <c r="H21" s="14" t="str">
        <f>_xll.qlSwapRateHelper2(J21,K21,L21,M21,N21,O21,P21,Q21,R21,S21,T21,U21,V21,W21,X21,Y21,Z21)</f>
        <v>obj_00132#0008</v>
      </c>
      <c r="K21" s="6" t="str">
        <f t="shared" ref="K21:K32" si="5">H3</f>
        <v>obj_00121#0008</v>
      </c>
      <c r="L21" s="6">
        <v>2</v>
      </c>
      <c r="M21" s="36" t="str">
        <f>L3</f>
        <v>3M</v>
      </c>
      <c r="N21" s="2" t="s">
        <v>369</v>
      </c>
      <c r="O21" s="3" t="s">
        <v>105</v>
      </c>
      <c r="P21" s="3" t="s">
        <v>72</v>
      </c>
      <c r="Q21" s="3" t="s">
        <v>452</v>
      </c>
      <c r="R21" s="3" t="str">
        <f>$B$6</f>
        <v>obj_000f6#0008</v>
      </c>
      <c r="S21" s="3">
        <v>0</v>
      </c>
      <c r="T21" s="3" t="s">
        <v>63</v>
      </c>
      <c r="X21" s="11" t="b">
        <v>0</v>
      </c>
      <c r="Y21" s="12"/>
      <c r="Z21" s="7" t="b">
        <v>1</v>
      </c>
    </row>
    <row r="22" spans="1:26" x14ac:dyDescent="0.25">
      <c r="A22" s="63" t="s">
        <v>453</v>
      </c>
      <c r="B22" s="13" t="str">
        <f>_xll.qlPiecewiseYieldCurve(A22,B26,B27,G3:G8,B29,B30,B31,B32,B33,B34,B35,B36,B37)</f>
        <v>CNYAA#0008</v>
      </c>
      <c r="C22" s="24"/>
      <c r="D22" s="2"/>
      <c r="E22" s="2"/>
      <c r="F22" s="2"/>
      <c r="G22" s="2"/>
      <c r="H22" s="14" t="str">
        <f>_xll.qlSwapRateHelper2(J22,K22,L22,M22,N22,O22,P22,Q22,R22,S22,T22,U22,V22,W22,X22,Y22,Z22)</f>
        <v>obj_00124#0008</v>
      </c>
      <c r="K22" s="6" t="str">
        <f t="shared" si="5"/>
        <v>obj_0010d#0008</v>
      </c>
      <c r="L22" s="6">
        <v>2</v>
      </c>
      <c r="M22" s="36" t="str">
        <f t="shared" ref="M22:M32" si="6">L4</f>
        <v>6M</v>
      </c>
      <c r="N22" s="2" t="str">
        <f>N21</f>
        <v>China</v>
      </c>
      <c r="O22" s="3" t="s">
        <v>105</v>
      </c>
      <c r="P22" s="3" t="s">
        <v>72</v>
      </c>
      <c r="Q22" s="3" t="s">
        <v>74</v>
      </c>
      <c r="R22" s="3" t="str">
        <f t="shared" ref="R22:R31" si="7">$B$6</f>
        <v>obj_000f6#0008</v>
      </c>
      <c r="S22" s="3">
        <v>0</v>
      </c>
      <c r="T22" s="3" t="s">
        <v>63</v>
      </c>
      <c r="X22" s="11" t="b">
        <v>0</v>
      </c>
      <c r="Y22" s="12"/>
      <c r="Z22" s="7" t="b">
        <v>1</v>
      </c>
    </row>
    <row r="23" spans="1:26" x14ac:dyDescent="0.25">
      <c r="A23" s="63"/>
      <c r="B23" s="13"/>
      <c r="C23" s="24"/>
      <c r="D23" s="2"/>
      <c r="E23" s="2"/>
      <c r="F23" s="2"/>
      <c r="G23" s="2"/>
      <c r="H23" s="14" t="str">
        <f>_xll.qlSwapRateHelper2(J23,K23,L23,M23,N23,O23,P23,Q23,R23,S23,T23,U23,V23,W23,X23,Y23,Z23)</f>
        <v>obj_00138#0008</v>
      </c>
      <c r="K23" s="6" t="str">
        <f t="shared" si="5"/>
        <v>obj_00103#0008</v>
      </c>
      <c r="L23" s="6">
        <v>2</v>
      </c>
      <c r="M23" s="36" t="str">
        <f t="shared" si="6"/>
        <v>1Y</v>
      </c>
      <c r="N23" s="2" t="str">
        <f t="shared" ref="N23:N32" si="8">N22</f>
        <v>China</v>
      </c>
      <c r="O23" s="3" t="s">
        <v>105</v>
      </c>
      <c r="P23" s="3" t="s">
        <v>72</v>
      </c>
      <c r="Q23" s="3" t="s">
        <v>74</v>
      </c>
      <c r="R23" s="3" t="str">
        <f t="shared" si="7"/>
        <v>obj_000f6#0008</v>
      </c>
      <c r="S23" s="3">
        <v>0</v>
      </c>
      <c r="T23" s="3" t="s">
        <v>63</v>
      </c>
      <c r="X23" s="11" t="b">
        <v>0</v>
      </c>
      <c r="Y23" s="12"/>
      <c r="Z23" s="7" t="b">
        <v>1</v>
      </c>
    </row>
    <row r="24" spans="1:26" x14ac:dyDescent="0.25">
      <c r="A24" s="63"/>
      <c r="B24" s="13"/>
      <c r="C24" s="24"/>
      <c r="D24" s="2"/>
      <c r="E24" s="2"/>
      <c r="F24" s="2"/>
      <c r="G24" s="2"/>
      <c r="H24" s="14" t="str">
        <f>_xll.qlSwapRateHelper2(J24,K24,L24,M24,N24,O24,P24,Q24,R24,S24,T24,U24,V24,W24,X24,Y24,Z24)</f>
        <v>obj_00140#0008</v>
      </c>
      <c r="K24" s="6" t="str">
        <f t="shared" si="5"/>
        <v>obj_0011f#0008</v>
      </c>
      <c r="L24" s="6">
        <v>2</v>
      </c>
      <c r="M24" s="36" t="str">
        <f t="shared" si="6"/>
        <v>2Y</v>
      </c>
      <c r="N24" s="2" t="str">
        <f t="shared" si="8"/>
        <v>China</v>
      </c>
      <c r="O24" s="3" t="s">
        <v>105</v>
      </c>
      <c r="P24" s="3" t="s">
        <v>72</v>
      </c>
      <c r="Q24" s="3" t="s">
        <v>74</v>
      </c>
      <c r="R24" s="3" t="str">
        <f t="shared" si="7"/>
        <v>obj_000f6#0008</v>
      </c>
      <c r="S24" s="3">
        <v>0</v>
      </c>
      <c r="T24" s="3" t="s">
        <v>63</v>
      </c>
      <c r="X24" s="11" t="b">
        <v>0</v>
      </c>
      <c r="Y24" s="12"/>
      <c r="Z24" s="7" t="b">
        <v>1</v>
      </c>
    </row>
    <row r="25" spans="1:26" x14ac:dyDescent="0.25">
      <c r="A25" s="3" t="s">
        <v>35</v>
      </c>
      <c r="B25" s="3" t="s">
        <v>106</v>
      </c>
      <c r="C25" s="24"/>
      <c r="D25" s="2"/>
      <c r="E25" s="2"/>
      <c r="F25" s="2"/>
      <c r="G25" s="2"/>
      <c r="H25" s="14" t="str">
        <f>_xll.qlSwapRateHelper2(J25,K25,L25,M25,N25,O25,P25,Q25,R25,S25,T25,U25,V25,W25,X25,Y25,Z25)</f>
        <v>obj_00133#0008</v>
      </c>
      <c r="K25" s="6" t="str">
        <f t="shared" si="5"/>
        <v>obj_000f7#0008</v>
      </c>
      <c r="L25" s="6">
        <v>2</v>
      </c>
      <c r="M25" s="36" t="str">
        <f t="shared" si="6"/>
        <v>3Y</v>
      </c>
      <c r="N25" s="2" t="str">
        <f t="shared" si="8"/>
        <v>China</v>
      </c>
      <c r="O25" s="3" t="s">
        <v>105</v>
      </c>
      <c r="P25" s="3" t="s">
        <v>72</v>
      </c>
      <c r="Q25" s="3" t="s">
        <v>74</v>
      </c>
      <c r="R25" s="3" t="str">
        <f t="shared" si="7"/>
        <v>obj_000f6#0008</v>
      </c>
      <c r="S25" s="3">
        <v>0</v>
      </c>
      <c r="T25" s="3" t="s">
        <v>63</v>
      </c>
      <c r="X25" s="11" t="b">
        <v>0</v>
      </c>
      <c r="Y25" s="12"/>
      <c r="Z25" s="7" t="b">
        <v>1</v>
      </c>
    </row>
    <row r="26" spans="1:26" x14ac:dyDescent="0.25">
      <c r="A26" s="3" t="s">
        <v>36</v>
      </c>
      <c r="B26" s="3">
        <v>0</v>
      </c>
      <c r="C26" s="24"/>
      <c r="D26" s="2"/>
      <c r="E26" s="2"/>
      <c r="F26" s="2"/>
      <c r="G26" s="2"/>
      <c r="H26" s="14" t="str">
        <f>_xll.qlSwapRateHelper2(J26,K26,L26,M26,N26,O26,P26,Q26,R26,S26,T26,U26,V26,W26,X26,Y26,Z26)</f>
        <v>obj_0012d#0008</v>
      </c>
      <c r="K26" s="6" t="str">
        <f t="shared" si="5"/>
        <v>obj_00116#0008</v>
      </c>
      <c r="L26" s="6">
        <v>2</v>
      </c>
      <c r="M26" s="36" t="str">
        <f t="shared" si="6"/>
        <v>5Y</v>
      </c>
      <c r="N26" s="2" t="str">
        <f t="shared" si="8"/>
        <v>China</v>
      </c>
      <c r="O26" s="3" t="s">
        <v>105</v>
      </c>
      <c r="P26" s="3" t="s">
        <v>72</v>
      </c>
      <c r="Q26" s="3" t="s">
        <v>74</v>
      </c>
      <c r="R26" s="3" t="str">
        <f t="shared" si="7"/>
        <v>obj_000f6#0008</v>
      </c>
      <c r="S26" s="3">
        <v>0</v>
      </c>
      <c r="T26" s="3" t="s">
        <v>63</v>
      </c>
      <c r="X26" s="11" t="b">
        <v>0</v>
      </c>
      <c r="Y26" s="12"/>
      <c r="Z26" s="7" t="b">
        <v>1</v>
      </c>
    </row>
    <row r="27" spans="1:26" x14ac:dyDescent="0.25">
      <c r="A27" s="3" t="s">
        <v>37</v>
      </c>
      <c r="B27" s="2" t="str">
        <f>B12</f>
        <v>China</v>
      </c>
      <c r="C27" s="24"/>
      <c r="D27" s="2"/>
      <c r="E27" s="2"/>
      <c r="F27" s="2"/>
      <c r="G27" s="2"/>
      <c r="H27" s="14" t="str">
        <f>_xll.qlSwapRateHelper2(J27,K27,L27,M27,N27,O27,P27,Q27,R27,S27,T27,U27,V27,W27,X27,Y27,Z27)</f>
        <v>obj_0014b#0008</v>
      </c>
      <c r="K27" s="6" t="str">
        <f t="shared" si="5"/>
        <v>obj_00117#0008</v>
      </c>
      <c r="L27" s="6">
        <v>2</v>
      </c>
      <c r="M27" s="36" t="str">
        <f t="shared" si="6"/>
        <v>3M</v>
      </c>
      <c r="N27" s="2" t="str">
        <f t="shared" si="8"/>
        <v>China</v>
      </c>
      <c r="O27" s="3" t="s">
        <v>105</v>
      </c>
      <c r="P27" s="3" t="s">
        <v>72</v>
      </c>
      <c r="Q27" s="3" t="s">
        <v>74</v>
      </c>
      <c r="R27" s="3" t="str">
        <f t="shared" si="7"/>
        <v>obj_000f6#0008</v>
      </c>
      <c r="S27" s="3">
        <v>0</v>
      </c>
      <c r="T27" s="3" t="s">
        <v>63</v>
      </c>
      <c r="X27" s="11" t="b">
        <v>0</v>
      </c>
      <c r="Y27" s="12"/>
      <c r="Z27" s="7" t="b">
        <v>1</v>
      </c>
    </row>
    <row r="28" spans="1:26" x14ac:dyDescent="0.25">
      <c r="A28" s="3" t="s">
        <v>38</v>
      </c>
      <c r="C28" s="24"/>
      <c r="D28" s="2"/>
      <c r="E28" s="2"/>
      <c r="F28" s="2"/>
      <c r="G28" s="2"/>
      <c r="H28" s="14" t="str">
        <f>_xll.qlSwapRateHelper2(J28,K28,L28,M28,N28,O28,P28,Q28,R28,S28,T28,U28,V28,W28,X28,Y28,Z28)</f>
        <v>obj_00136#0008</v>
      </c>
      <c r="K28" s="6" t="str">
        <f t="shared" si="5"/>
        <v>obj_00107#0008</v>
      </c>
      <c r="L28" s="6">
        <v>2</v>
      </c>
      <c r="M28" s="36" t="str">
        <f t="shared" si="6"/>
        <v>6M</v>
      </c>
      <c r="N28" s="2" t="str">
        <f t="shared" si="8"/>
        <v>China</v>
      </c>
      <c r="O28" s="3" t="s">
        <v>105</v>
      </c>
      <c r="P28" s="3" t="s">
        <v>72</v>
      </c>
      <c r="Q28" s="3" t="s">
        <v>74</v>
      </c>
      <c r="R28" s="3" t="str">
        <f t="shared" si="7"/>
        <v>obj_000f6#0008</v>
      </c>
      <c r="S28" s="3">
        <v>0</v>
      </c>
      <c r="T28" s="3" t="s">
        <v>63</v>
      </c>
      <c r="X28" s="11" t="b">
        <v>0</v>
      </c>
      <c r="Y28" s="12"/>
      <c r="Z28" s="7" t="b">
        <v>1</v>
      </c>
    </row>
    <row r="29" spans="1:26" x14ac:dyDescent="0.25">
      <c r="A29" s="3" t="s">
        <v>39</v>
      </c>
      <c r="B29" s="3" t="str">
        <f>B15</f>
        <v>A/365F</v>
      </c>
      <c r="C29" s="24"/>
      <c r="D29" s="2"/>
      <c r="E29" s="2"/>
      <c r="F29" s="2"/>
      <c r="G29" s="2"/>
      <c r="H29" s="14" t="str">
        <f>_xll.qlSwapRateHelper2(J29,K29,L29,M29,N29,O29,P29,Q29,R29,S29,T29,U29,V29,W29,X29,Y29,Z29)</f>
        <v>obj_0012e#0008</v>
      </c>
      <c r="K29" s="6" t="str">
        <f t="shared" si="5"/>
        <v>obj_00102#0008</v>
      </c>
      <c r="L29" s="6">
        <v>2</v>
      </c>
      <c r="M29" s="36" t="str">
        <f t="shared" si="6"/>
        <v>1Y</v>
      </c>
      <c r="N29" s="2" t="str">
        <f t="shared" si="8"/>
        <v>China</v>
      </c>
      <c r="O29" s="3" t="s">
        <v>105</v>
      </c>
      <c r="P29" s="3" t="s">
        <v>72</v>
      </c>
      <c r="Q29" s="3" t="s">
        <v>74</v>
      </c>
      <c r="R29" s="3" t="str">
        <f t="shared" si="7"/>
        <v>obj_000f6#0008</v>
      </c>
      <c r="S29" s="3">
        <v>0</v>
      </c>
      <c r="T29" s="3" t="s">
        <v>63</v>
      </c>
      <c r="X29" s="11" t="b">
        <v>0</v>
      </c>
      <c r="Y29" s="12"/>
      <c r="Z29" s="7" t="b">
        <v>1</v>
      </c>
    </row>
    <row r="30" spans="1:26" x14ac:dyDescent="0.25">
      <c r="A30" s="3" t="s">
        <v>40</v>
      </c>
      <c r="C30" s="24"/>
      <c r="D30" s="2"/>
      <c r="E30" s="2"/>
      <c r="F30" s="2"/>
      <c r="G30" s="2"/>
      <c r="H30" s="14" t="str">
        <f>_xll.qlSwapRateHelper2(J30,K30,L30,M30,N30,O30,P30,Q30,R30,S30,T30,U30,V30,W30,X30,Y30,Z30)</f>
        <v>obj_0014a#0008</v>
      </c>
      <c r="K30" s="6" t="str">
        <f t="shared" si="5"/>
        <v>obj_000ff#0008</v>
      </c>
      <c r="L30" s="6">
        <v>2</v>
      </c>
      <c r="M30" s="36" t="str">
        <f t="shared" si="6"/>
        <v>2Y</v>
      </c>
      <c r="N30" s="2" t="str">
        <f t="shared" si="8"/>
        <v>China</v>
      </c>
      <c r="O30" s="3" t="s">
        <v>105</v>
      </c>
      <c r="P30" s="3" t="s">
        <v>72</v>
      </c>
      <c r="Q30" s="3" t="s">
        <v>74</v>
      </c>
      <c r="R30" s="3" t="str">
        <f t="shared" si="7"/>
        <v>obj_000f6#0008</v>
      </c>
      <c r="S30" s="3">
        <v>0</v>
      </c>
      <c r="T30" s="3" t="s">
        <v>63</v>
      </c>
      <c r="X30" s="11" t="b">
        <v>0</v>
      </c>
      <c r="Y30" s="12"/>
      <c r="Z30" s="7" t="b">
        <v>1</v>
      </c>
    </row>
    <row r="31" spans="1:26" x14ac:dyDescent="0.25">
      <c r="A31" s="3" t="s">
        <v>41</v>
      </c>
      <c r="C31" s="24"/>
      <c r="D31" s="2"/>
      <c r="E31" s="2"/>
      <c r="F31" s="2"/>
      <c r="G31" s="2"/>
      <c r="H31" s="14" t="str">
        <f>_xll.qlSwapRateHelper2(J31,K31,L31,M31,N31,O31,P31,Q31,R31,S31,T31,U31,V31,W31,X31,Y31,Z31)</f>
        <v>obj_0013b#0008</v>
      </c>
      <c r="K31" s="6" t="str">
        <f t="shared" si="5"/>
        <v>obj_000f9#0008</v>
      </c>
      <c r="L31" s="6">
        <v>2</v>
      </c>
      <c r="M31" s="36" t="str">
        <f t="shared" si="6"/>
        <v>3Y</v>
      </c>
      <c r="N31" s="2" t="str">
        <f t="shared" si="8"/>
        <v>China</v>
      </c>
      <c r="O31" s="3" t="s">
        <v>105</v>
      </c>
      <c r="P31" s="3" t="s">
        <v>72</v>
      </c>
      <c r="Q31" s="3" t="s">
        <v>74</v>
      </c>
      <c r="R31" s="3" t="str">
        <f t="shared" si="7"/>
        <v>obj_000f6#0008</v>
      </c>
      <c r="S31" s="3">
        <v>0</v>
      </c>
      <c r="T31" s="3" t="s">
        <v>63</v>
      </c>
      <c r="X31" s="11" t="b">
        <v>0</v>
      </c>
      <c r="Y31" s="12"/>
      <c r="Z31" s="7" t="b">
        <v>1</v>
      </c>
    </row>
    <row r="32" spans="1:26" x14ac:dyDescent="0.25">
      <c r="A32" s="3" t="s">
        <v>42</v>
      </c>
      <c r="C32" s="24"/>
      <c r="D32" s="2"/>
      <c r="E32" s="2"/>
      <c r="F32" s="2"/>
      <c r="G32" s="2"/>
      <c r="H32" s="14" t="str">
        <f>_xll.qlSwapRateHelper2(J32,K32,L32,M32,N32,O32,P32,Q32,R32,S32,T32,U32,V32,W32,X32,Y32,Z32)</f>
        <v>obj_00130#0008</v>
      </c>
      <c r="K32" s="6" t="str">
        <f t="shared" si="5"/>
        <v>obj_0010a#0008</v>
      </c>
      <c r="L32" s="6">
        <v>2</v>
      </c>
      <c r="M32" s="36" t="str">
        <f t="shared" si="6"/>
        <v>5Y</v>
      </c>
      <c r="N32" s="2" t="str">
        <f t="shared" si="8"/>
        <v>China</v>
      </c>
      <c r="O32" s="3" t="s">
        <v>105</v>
      </c>
      <c r="P32" s="3" t="s">
        <v>72</v>
      </c>
      <c r="Q32" s="3" t="s">
        <v>74</v>
      </c>
      <c r="R32" s="3" t="str">
        <f>$B$6</f>
        <v>obj_000f6#0008</v>
      </c>
      <c r="S32" s="3">
        <v>0</v>
      </c>
      <c r="T32" s="3" t="s">
        <v>63</v>
      </c>
      <c r="X32" s="11" t="b">
        <v>0</v>
      </c>
      <c r="Y32" s="12"/>
      <c r="Z32" s="7" t="b">
        <v>1</v>
      </c>
    </row>
    <row r="33" spans="1:7" x14ac:dyDescent="0.25">
      <c r="A33" s="3" t="s">
        <v>43</v>
      </c>
      <c r="B33" s="23" t="s">
        <v>71</v>
      </c>
      <c r="C33" s="24"/>
      <c r="D33" s="2"/>
      <c r="E33" s="2"/>
      <c r="F33" s="2"/>
      <c r="G33" s="2"/>
    </row>
    <row r="34" spans="1:7" x14ac:dyDescent="0.25">
      <c r="A34" s="3" t="s">
        <v>44</v>
      </c>
      <c r="B34" s="3" t="s">
        <v>52</v>
      </c>
      <c r="C34" s="24"/>
      <c r="D34" s="2"/>
      <c r="E34" s="2"/>
      <c r="F34" s="2"/>
      <c r="G34" s="2"/>
    </row>
    <row r="35" spans="1:7" x14ac:dyDescent="0.25">
      <c r="A35" s="3" t="s">
        <v>45</v>
      </c>
      <c r="B35" s="11" t="b">
        <v>0</v>
      </c>
      <c r="C35" s="24"/>
      <c r="D35" s="2"/>
      <c r="E35" s="2"/>
      <c r="F35" s="2"/>
      <c r="G35" s="2"/>
    </row>
    <row r="36" spans="1:7" x14ac:dyDescent="0.25">
      <c r="A36" s="3" t="s">
        <v>46</v>
      </c>
      <c r="B36" s="34">
        <f>$B$5</f>
        <v>1</v>
      </c>
      <c r="C36" s="24"/>
      <c r="D36" s="2"/>
      <c r="E36" s="2"/>
      <c r="F36" s="2"/>
      <c r="G36" s="2"/>
    </row>
    <row r="37" spans="1:7" x14ac:dyDescent="0.25">
      <c r="A37" s="3" t="s">
        <v>47</v>
      </c>
      <c r="B37" s="11" t="b">
        <v>1</v>
      </c>
      <c r="C37" s="24"/>
      <c r="D37" s="2"/>
      <c r="E37" s="2"/>
      <c r="F37" s="2"/>
      <c r="G37" s="2"/>
    </row>
    <row r="38" spans="1:7" x14ac:dyDescent="0.25">
      <c r="C38" s="24"/>
      <c r="D38" s="2"/>
      <c r="E38" s="2"/>
      <c r="F38" s="2"/>
      <c r="G38" s="2"/>
    </row>
    <row r="39" spans="1:7" x14ac:dyDescent="0.25">
      <c r="C39" s="24"/>
      <c r="D39" s="24"/>
      <c r="E39" s="2"/>
      <c r="F39" s="2"/>
      <c r="G39" s="2"/>
    </row>
    <row r="40" spans="1:7" x14ac:dyDescent="0.25">
      <c r="C40" s="24"/>
      <c r="D40" s="24"/>
      <c r="E40" s="2"/>
      <c r="F40" s="2"/>
      <c r="G40" s="2"/>
    </row>
    <row r="41" spans="1:7" x14ac:dyDescent="0.25">
      <c r="C41" s="23"/>
      <c r="D41" s="24"/>
      <c r="E41" s="24"/>
      <c r="F41" s="24"/>
      <c r="G41" s="18"/>
    </row>
    <row r="42" spans="1:7" x14ac:dyDescent="0.25">
      <c r="A42" s="8" t="s">
        <v>50</v>
      </c>
      <c r="B42" s="42" t="s">
        <v>115</v>
      </c>
      <c r="C42" s="23"/>
      <c r="D42" s="24"/>
      <c r="E42" s="24"/>
      <c r="F42" s="24"/>
    </row>
    <row r="43" spans="1:7" x14ac:dyDescent="0.25">
      <c r="A43" s="15"/>
      <c r="B43" s="3" t="s">
        <v>116</v>
      </c>
      <c r="C43" s="2" t="s">
        <v>104</v>
      </c>
      <c r="D43" s="3" t="s">
        <v>117</v>
      </c>
      <c r="E43" s="23" t="s">
        <v>45</v>
      </c>
      <c r="F43" s="23" t="s">
        <v>46</v>
      </c>
      <c r="G43" s="3" t="s">
        <v>47</v>
      </c>
    </row>
    <row r="44" spans="1:7" ht="15.75" x14ac:dyDescent="0.25">
      <c r="A44" s="16"/>
      <c r="B44" s="33" t="str">
        <f>_xll.qlBondEngine(C44,D44,E44,F44,G44)</f>
        <v>CNYAEng#0008</v>
      </c>
      <c r="C44" s="17" t="str">
        <f>A21&amp;"Eng"</f>
        <v>CNYAEng</v>
      </c>
      <c r="D44" s="14" t="str">
        <f>C55</f>
        <v>CNYADF#0008</v>
      </c>
      <c r="E44" s="32" t="b">
        <v>0</v>
      </c>
      <c r="F44" s="32">
        <f>$B$5</f>
        <v>1</v>
      </c>
      <c r="G44" s="32" t="b">
        <v>1</v>
      </c>
    </row>
    <row r="45" spans="1:7" ht="15.75" x14ac:dyDescent="0.25">
      <c r="A45" s="46" t="str">
        <f>B29</f>
        <v>A/365F</v>
      </c>
      <c r="B45" s="33" t="str">
        <f>_xll.qlBondEngine(C45,D45,E45,F45,G45)</f>
        <v>CNYAAEng#0008</v>
      </c>
      <c r="C45" s="17" t="str">
        <f>A22&amp;"Eng"</f>
        <v>CNYAAEng</v>
      </c>
      <c r="D45" s="14" t="str">
        <f>B55</f>
        <v>CNYAADF#0008</v>
      </c>
      <c r="E45" s="32" t="b">
        <v>0</v>
      </c>
      <c r="F45" s="32">
        <f t="shared" ref="F45" si="9">$B$5</f>
        <v>1</v>
      </c>
      <c r="G45" s="32" t="b">
        <v>1</v>
      </c>
    </row>
    <row r="46" spans="1:7" ht="15.75" x14ac:dyDescent="0.25">
      <c r="A46" s="16" t="s">
        <v>254</v>
      </c>
      <c r="B46" s="33"/>
      <c r="C46" s="17"/>
      <c r="D46" s="14"/>
      <c r="E46" s="32"/>
      <c r="F46" s="32"/>
      <c r="G46" s="32"/>
    </row>
    <row r="47" spans="1:7" ht="15.75" x14ac:dyDescent="0.25">
      <c r="A47" s="46" t="s">
        <v>105</v>
      </c>
      <c r="B47" s="33"/>
      <c r="C47" s="17"/>
      <c r="D47" s="14"/>
      <c r="E47" s="32"/>
      <c r="F47" s="32"/>
      <c r="G47" s="32"/>
    </row>
    <row r="48" spans="1:7" x14ac:dyDescent="0.25">
      <c r="A48" s="46" t="b">
        <v>1</v>
      </c>
      <c r="C48" s="17"/>
      <c r="E48" s="23"/>
      <c r="F48" s="23"/>
      <c r="G48" s="20"/>
    </row>
    <row r="49" spans="1:7" x14ac:dyDescent="0.25">
      <c r="A49" s="46">
        <f>B5</f>
        <v>1</v>
      </c>
      <c r="C49" s="2"/>
      <c r="E49" s="23"/>
      <c r="F49" s="23"/>
      <c r="G49" s="20"/>
    </row>
    <row r="50" spans="1:7" x14ac:dyDescent="0.25">
      <c r="C50" s="2"/>
      <c r="E50" s="23"/>
      <c r="F50" s="23"/>
      <c r="G50" s="20"/>
    </row>
    <row r="51" spans="1:7" x14ac:dyDescent="0.25">
      <c r="C51" s="2"/>
      <c r="E51" s="23"/>
      <c r="F51" s="23"/>
      <c r="G51" s="20"/>
    </row>
    <row r="52" spans="1:7" x14ac:dyDescent="0.25">
      <c r="C52" s="2"/>
      <c r="E52" s="23"/>
      <c r="F52" s="23"/>
      <c r="G52" s="20"/>
    </row>
    <row r="53" spans="1:7" x14ac:dyDescent="0.25">
      <c r="C53" s="2"/>
      <c r="E53" s="23"/>
      <c r="F53" s="23"/>
      <c r="G53" s="20"/>
    </row>
    <row r="54" spans="1:7" x14ac:dyDescent="0.25">
      <c r="C54" s="2"/>
      <c r="E54" s="23"/>
      <c r="F54" s="23"/>
      <c r="G54" s="20"/>
    </row>
    <row r="55" spans="1:7" ht="15.75" x14ac:dyDescent="0.25">
      <c r="A55" s="3" t="s">
        <v>118</v>
      </c>
      <c r="B55" s="31" t="str">
        <f>_xll.qlDiscountCurve(B56,$D$2:$D$8,F2:F8,$B$59,$B$60,$B$61,$B$62)</f>
        <v>CNYAADF#0008</v>
      </c>
      <c r="C55" s="31" t="str">
        <f>_xll.qlDiscountCurve(C56,$D$2:$D$8,F9:F15,$B$59,$B$60,$B$61,$B$62)</f>
        <v>CNYADF#0008</v>
      </c>
      <c r="D55" s="31"/>
      <c r="E55" s="31"/>
      <c r="F55" s="23"/>
    </row>
    <row r="56" spans="1:7" x14ac:dyDescent="0.25">
      <c r="A56" s="3" t="s">
        <v>35</v>
      </c>
      <c r="B56" s="23" t="s">
        <v>456</v>
      </c>
      <c r="C56" s="3" t="s">
        <v>457</v>
      </c>
      <c r="D56" s="2"/>
      <c r="F56" s="23"/>
    </row>
    <row r="57" spans="1:7" x14ac:dyDescent="0.25">
      <c r="A57" s="3" t="s">
        <v>119</v>
      </c>
    </row>
    <row r="58" spans="1:7" x14ac:dyDescent="0.25">
      <c r="A58" s="3" t="s">
        <v>120</v>
      </c>
    </row>
    <row r="59" spans="1:7" x14ac:dyDescent="0.25">
      <c r="A59" s="3" t="s">
        <v>39</v>
      </c>
      <c r="B59" s="6" t="s">
        <v>74</v>
      </c>
    </row>
    <row r="60" spans="1:7" x14ac:dyDescent="0.25">
      <c r="A60" s="3" t="s">
        <v>45</v>
      </c>
      <c r="B60" s="3" t="b">
        <v>0</v>
      </c>
    </row>
    <row r="61" spans="1:7" x14ac:dyDescent="0.25">
      <c r="A61" s="3" t="s">
        <v>46</v>
      </c>
      <c r="B61" s="6">
        <f>$B$5</f>
        <v>1</v>
      </c>
    </row>
    <row r="62" spans="1:7" x14ac:dyDescent="0.25">
      <c r="A62" s="3" t="s">
        <v>47</v>
      </c>
      <c r="B62" s="3" t="b">
        <v>1</v>
      </c>
    </row>
    <row r="65" spans="1:4" x14ac:dyDescent="0.25">
      <c r="B65" s="42" t="s">
        <v>115</v>
      </c>
      <c r="C65" s="3" t="s">
        <v>129</v>
      </c>
    </row>
    <row r="66" spans="1:4" x14ac:dyDescent="0.25">
      <c r="A66" s="3" t="s">
        <v>122</v>
      </c>
      <c r="B66" s="23" t="str">
        <f>B45</f>
        <v>CNYAAEng#0008</v>
      </c>
      <c r="C66" s="3" t="str">
        <f>D45</f>
        <v>CNYAADF#0008</v>
      </c>
      <c r="D66" s="2"/>
    </row>
    <row r="67" spans="1:4" x14ac:dyDescent="0.25">
      <c r="A67" s="3" t="s">
        <v>123</v>
      </c>
      <c r="B67" s="2" t="str">
        <f>B44</f>
        <v>CNYAEng#0008</v>
      </c>
      <c r="C67" s="3" t="str">
        <f>D44</f>
        <v>CNYADF#0008</v>
      </c>
    </row>
    <row r="68" spans="1:4" x14ac:dyDescent="0.25">
      <c r="B68" s="2"/>
    </row>
    <row r="69" spans="1:4" x14ac:dyDescent="0.25">
      <c r="B69" s="2"/>
    </row>
    <row r="74" spans="1:4" x14ac:dyDescent="0.25">
      <c r="A74" s="3" t="s">
        <v>169</v>
      </c>
    </row>
    <row r="75" spans="1:4" x14ac:dyDescent="0.25">
      <c r="A75" s="69" t="s">
        <v>159</v>
      </c>
      <c r="B75" s="69" t="s">
        <v>139</v>
      </c>
    </row>
    <row r="76" spans="1:4" x14ac:dyDescent="0.25">
      <c r="A76" s="69" t="s">
        <v>160</v>
      </c>
      <c r="B76" s="69" t="s">
        <v>141</v>
      </c>
    </row>
    <row r="77" spans="1:4" x14ac:dyDescent="0.25">
      <c r="A77" s="69" t="s">
        <v>161</v>
      </c>
      <c r="B77" s="69" t="s">
        <v>141</v>
      </c>
    </row>
    <row r="78" spans="1:4" x14ac:dyDescent="0.25">
      <c r="A78" s="69" t="s">
        <v>162</v>
      </c>
      <c r="B78" s="69" t="s">
        <v>141</v>
      </c>
    </row>
    <row r="79" spans="1:4" x14ac:dyDescent="0.25">
      <c r="A79" s="69" t="s">
        <v>163</v>
      </c>
      <c r="B79" s="69" t="s">
        <v>144</v>
      </c>
    </row>
    <row r="80" spans="1:4" x14ac:dyDescent="0.25">
      <c r="A80" s="69" t="s">
        <v>164</v>
      </c>
      <c r="B80" s="69" t="s">
        <v>144</v>
      </c>
    </row>
    <row r="81" spans="1:2" x14ac:dyDescent="0.25">
      <c r="A81" s="69" t="s">
        <v>165</v>
      </c>
      <c r="B81" s="69" t="s">
        <v>144</v>
      </c>
    </row>
    <row r="82" spans="1:2" x14ac:dyDescent="0.25">
      <c r="A82" s="69" t="s">
        <v>167</v>
      </c>
      <c r="B82" s="69" t="s">
        <v>147</v>
      </c>
    </row>
    <row r="83" spans="1:2" x14ac:dyDescent="0.25">
      <c r="A83" s="69" t="s">
        <v>168</v>
      </c>
      <c r="B83" s="69" t="s">
        <v>147</v>
      </c>
    </row>
    <row r="84" spans="1:2" x14ac:dyDescent="0.25">
      <c r="A84" s="69" t="s">
        <v>166</v>
      </c>
      <c r="B84" s="69" t="s">
        <v>147</v>
      </c>
    </row>
    <row r="85" spans="1:2" x14ac:dyDescent="0.25">
      <c r="A85" s="69" t="s">
        <v>139</v>
      </c>
      <c r="B85" s="69" t="s">
        <v>139</v>
      </c>
    </row>
    <row r="86" spans="1:2" x14ac:dyDescent="0.25">
      <c r="A86" s="69" t="s">
        <v>140</v>
      </c>
      <c r="B86" s="69" t="s">
        <v>139</v>
      </c>
    </row>
    <row r="87" spans="1:2" x14ac:dyDescent="0.25">
      <c r="A87" s="69" t="s">
        <v>141</v>
      </c>
      <c r="B87" s="69" t="s">
        <v>139</v>
      </c>
    </row>
    <row r="88" spans="1:2" x14ac:dyDescent="0.25">
      <c r="A88" s="69" t="s">
        <v>142</v>
      </c>
      <c r="B88" s="69" t="s">
        <v>139</v>
      </c>
    </row>
    <row r="89" spans="1:2" x14ac:dyDescent="0.25">
      <c r="A89" s="69" t="s">
        <v>143</v>
      </c>
      <c r="B89" s="69" t="s">
        <v>139</v>
      </c>
    </row>
    <row r="90" spans="1:2" x14ac:dyDescent="0.25">
      <c r="A90" s="69" t="s">
        <v>144</v>
      </c>
      <c r="B90" s="69" t="s">
        <v>141</v>
      </c>
    </row>
    <row r="91" spans="1:2" x14ac:dyDescent="0.25">
      <c r="A91" s="69" t="s">
        <v>145</v>
      </c>
      <c r="B91" s="69" t="s">
        <v>141</v>
      </c>
    </row>
    <row r="92" spans="1:2" x14ac:dyDescent="0.25">
      <c r="A92" s="69" t="s">
        <v>146</v>
      </c>
      <c r="B92" s="69" t="s">
        <v>141</v>
      </c>
    </row>
    <row r="93" spans="1:2" x14ac:dyDescent="0.25">
      <c r="A93" s="69" t="s">
        <v>147</v>
      </c>
      <c r="B93" s="69" t="s">
        <v>144</v>
      </c>
    </row>
    <row r="94" spans="1:2" x14ac:dyDescent="0.25">
      <c r="A94" s="69" t="s">
        <v>148</v>
      </c>
      <c r="B94" s="69" t="s">
        <v>144</v>
      </c>
    </row>
    <row r="95" spans="1:2" x14ac:dyDescent="0.25">
      <c r="A95" s="69" t="s">
        <v>149</v>
      </c>
      <c r="B95" s="69" t="s">
        <v>139</v>
      </c>
    </row>
    <row r="96" spans="1:2" x14ac:dyDescent="0.25">
      <c r="A96" s="69" t="s">
        <v>150</v>
      </c>
      <c r="B96" s="69" t="s">
        <v>139</v>
      </c>
    </row>
    <row r="97" spans="1:2" x14ac:dyDescent="0.25">
      <c r="A97" s="69" t="s">
        <v>151</v>
      </c>
      <c r="B97" s="69" t="s">
        <v>139</v>
      </c>
    </row>
    <row r="98" spans="1:2" x14ac:dyDescent="0.25">
      <c r="A98" s="69" t="s">
        <v>152</v>
      </c>
      <c r="B98" s="69" t="s">
        <v>139</v>
      </c>
    </row>
    <row r="99" spans="1:2" x14ac:dyDescent="0.25">
      <c r="A99" s="69" t="s">
        <v>153</v>
      </c>
      <c r="B99" s="69" t="s">
        <v>139</v>
      </c>
    </row>
    <row r="100" spans="1:2" x14ac:dyDescent="0.25">
      <c r="A100" s="69" t="s">
        <v>154</v>
      </c>
      <c r="B100" s="69" t="s">
        <v>141</v>
      </c>
    </row>
    <row r="101" spans="1:2" x14ac:dyDescent="0.25">
      <c r="A101" s="69" t="s">
        <v>155</v>
      </c>
      <c r="B101" s="69" t="s">
        <v>141</v>
      </c>
    </row>
    <row r="102" spans="1:2" x14ac:dyDescent="0.25">
      <c r="A102" s="69" t="s">
        <v>156</v>
      </c>
      <c r="B102" s="69" t="s">
        <v>141</v>
      </c>
    </row>
    <row r="103" spans="1:2" x14ac:dyDescent="0.25">
      <c r="A103" s="69" t="s">
        <v>157</v>
      </c>
      <c r="B103" s="69" t="s">
        <v>144</v>
      </c>
    </row>
    <row r="104" spans="1:2" x14ac:dyDescent="0.25">
      <c r="A104" s="69" t="s">
        <v>158</v>
      </c>
      <c r="B104" s="69" t="s">
        <v>144</v>
      </c>
    </row>
  </sheetData>
  <mergeCells count="1">
    <mergeCell ref="A20:B20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AD109"/>
  <sheetViews>
    <sheetView topLeftCell="N60" workbookViewId="0">
      <selection activeCell="AA3" sqref="AA3:AA101"/>
    </sheetView>
  </sheetViews>
  <sheetFormatPr defaultRowHeight="16.5" x14ac:dyDescent="0.25"/>
  <cols>
    <col min="1" max="1" width="18.875" customWidth="1"/>
    <col min="2" max="5" width="11" customWidth="1"/>
    <col min="6" max="6" width="11" style="95" customWidth="1"/>
    <col min="7" max="10" width="11" customWidth="1"/>
    <col min="11" max="11" width="9.75" customWidth="1"/>
    <col min="12" max="12" width="8.625" customWidth="1"/>
    <col min="13" max="15" width="11" customWidth="1"/>
    <col min="17" max="17" width="13.75" customWidth="1"/>
    <col min="19" max="20" width="10.75" customWidth="1"/>
    <col min="24" max="24" width="9" style="29"/>
    <col min="25" max="25" width="10.375" style="29" customWidth="1"/>
    <col min="26" max="26" width="11.125" customWidth="1"/>
  </cols>
  <sheetData>
    <row r="1" spans="1:30" ht="26.25" x14ac:dyDescent="0.25">
      <c r="A1" s="35" t="s">
        <v>103</v>
      </c>
      <c r="B1" s="47" t="s">
        <v>10</v>
      </c>
      <c r="C1" s="22" t="s">
        <v>76</v>
      </c>
      <c r="D1" s="22" t="s">
        <v>77</v>
      </c>
      <c r="E1" s="47" t="s">
        <v>12</v>
      </c>
      <c r="F1" s="8" t="s">
        <v>17</v>
      </c>
      <c r="G1" s="47" t="s">
        <v>25</v>
      </c>
      <c r="H1" s="47" t="s">
        <v>78</v>
      </c>
      <c r="I1" s="47" t="s">
        <v>79</v>
      </c>
      <c r="J1" s="47" t="s">
        <v>26</v>
      </c>
      <c r="K1" s="47" t="s">
        <v>80</v>
      </c>
      <c r="L1" s="47" t="s">
        <v>81</v>
      </c>
      <c r="M1" s="47" t="s">
        <v>13</v>
      </c>
      <c r="N1" s="47" t="s">
        <v>14</v>
      </c>
      <c r="O1" s="47" t="s">
        <v>15</v>
      </c>
      <c r="Q1" s="92" t="s">
        <v>372</v>
      </c>
      <c r="R1" s="92" t="s">
        <v>373</v>
      </c>
      <c r="S1" s="93" t="s">
        <v>374</v>
      </c>
      <c r="T1" s="93" t="s">
        <v>375</v>
      </c>
      <c r="U1" s="94" t="s">
        <v>376</v>
      </c>
      <c r="V1" s="92" t="s">
        <v>377</v>
      </c>
      <c r="W1" s="92" t="s">
        <v>356</v>
      </c>
      <c r="X1" s="92" t="s">
        <v>378</v>
      </c>
      <c r="Y1" s="92" t="s">
        <v>379</v>
      </c>
    </row>
    <row r="2" spans="1:30" hidden="1" x14ac:dyDescent="0.25">
      <c r="A2" s="31" t="str">
        <f>_xll.qlSchedule(B2,C2,D2,E2,F2,G2,H2,I2,J2,K2,L2,M2,N2,O2)</f>
        <v>AU3CB0278232Sch#0008</v>
      </c>
      <c r="B2" s="40" t="str">
        <f>Q2&amp;"Sch"</f>
        <v>AU3CB0278232Sch</v>
      </c>
      <c r="C2" s="41">
        <v>44259</v>
      </c>
      <c r="D2" s="41">
        <v>46085</v>
      </c>
      <c r="E2" s="39" t="str">
        <f>VLOOKUP(W2,Reference!$A$6:$B$8,2,FALSE)</f>
        <v>6M</v>
      </c>
      <c r="F2" s="40" t="str">
        <f>VLOOKUP(U2,Reference!$C$2:$D$6,2,FALSE)</f>
        <v>Australia</v>
      </c>
      <c r="G2" s="39" t="s">
        <v>113</v>
      </c>
      <c r="H2" s="39" t="s">
        <v>72</v>
      </c>
      <c r="I2" s="39" t="s">
        <v>114</v>
      </c>
      <c r="J2" s="39" t="b">
        <v>0</v>
      </c>
      <c r="K2" s="39"/>
      <c r="L2" s="39"/>
      <c r="M2" s="39" t="b">
        <v>0</v>
      </c>
      <c r="N2" s="39">
        <f>'ql-USCorp'!$B$5</f>
        <v>1</v>
      </c>
      <c r="O2" s="39" t="b">
        <v>1</v>
      </c>
      <c r="Q2" s="29" t="s">
        <v>262</v>
      </c>
      <c r="R2" s="29" t="s">
        <v>380</v>
      </c>
      <c r="S2" s="30">
        <v>44259</v>
      </c>
      <c r="T2" s="30">
        <v>46085</v>
      </c>
      <c r="U2" s="32" t="s">
        <v>363</v>
      </c>
      <c r="V2" s="29">
        <v>17000000</v>
      </c>
      <c r="W2" s="29">
        <v>2</v>
      </c>
      <c r="X2" s="29">
        <v>1.2</v>
      </c>
      <c r="Y2" s="29" t="s">
        <v>381</v>
      </c>
      <c r="Z2" t="str">
        <f>A2</f>
        <v>AU3CB0278232Sch#0008</v>
      </c>
      <c r="AA2" t="str">
        <f>VLOOKUP(Q2,$AC:$AD,2,FALSE)</f>
        <v>Aa2(Moody's)</v>
      </c>
      <c r="AB2">
        <v>96.374000549316406</v>
      </c>
      <c r="AC2" t="s">
        <v>339</v>
      </c>
      <c r="AD2" t="s">
        <v>385</v>
      </c>
    </row>
    <row r="3" spans="1:30" x14ac:dyDescent="0.25">
      <c r="A3" s="31" t="str">
        <f>_xll.qlSchedule(B3,C3,D3,E3,F3,G3,H3,I3,J3,K3,L3,M3,N3,O3)</f>
        <v>AU3FN0050142Sch#0008</v>
      </c>
      <c r="B3" s="40" t="str">
        <f t="shared" ref="B3:B66" si="0">Q3&amp;"Sch"</f>
        <v>AU3FN0050142Sch</v>
      </c>
      <c r="C3" s="41">
        <v>43719</v>
      </c>
      <c r="D3" s="41">
        <v>45546</v>
      </c>
      <c r="E3" s="39" t="str">
        <f>VLOOKUP(W3,Reference!$A$6:$B$8,2,FALSE)</f>
        <v>3M</v>
      </c>
      <c r="F3" s="40" t="str">
        <f>VLOOKUP(U3,Reference!$C$2:$D$6,2,FALSE)</f>
        <v>Australia</v>
      </c>
      <c r="G3" s="39" t="s">
        <v>113</v>
      </c>
      <c r="H3" s="39" t="s">
        <v>72</v>
      </c>
      <c r="I3" s="39" t="s">
        <v>114</v>
      </c>
      <c r="J3" s="39" t="b">
        <v>0</v>
      </c>
      <c r="K3" s="39"/>
      <c r="L3" s="39"/>
      <c r="M3" s="39" t="b">
        <v>0</v>
      </c>
      <c r="N3" s="39">
        <f>'ql-USCorp'!$B$5</f>
        <v>1</v>
      </c>
      <c r="O3" s="39" t="b">
        <v>1</v>
      </c>
      <c r="Q3" s="29" t="s">
        <v>263</v>
      </c>
      <c r="R3" s="29" t="s">
        <v>382</v>
      </c>
      <c r="S3" s="30">
        <v>43719</v>
      </c>
      <c r="T3" s="30">
        <v>45546</v>
      </c>
      <c r="U3" s="32" t="s">
        <v>363</v>
      </c>
      <c r="V3" s="29">
        <v>15000000</v>
      </c>
      <c r="W3" s="29">
        <v>4</v>
      </c>
      <c r="X3" s="29">
        <v>1.1114999999999999</v>
      </c>
      <c r="Y3" s="29">
        <v>1.05</v>
      </c>
      <c r="Z3" t="str">
        <f t="shared" ref="Z3:Z66" si="1">A3</f>
        <v>AU3FN0050142Sch#0008</v>
      </c>
      <c r="AA3" t="str">
        <f t="shared" ref="AA3:AA66" si="2">VLOOKUP(Q3,$AC:$AD,2,FALSE)</f>
        <v>A1(Moody's)</v>
      </c>
      <c r="AB3">
        <v>101.5690002441406</v>
      </c>
      <c r="AC3" t="s">
        <v>270</v>
      </c>
      <c r="AD3" t="s">
        <v>386</v>
      </c>
    </row>
    <row r="4" spans="1:30" x14ac:dyDescent="0.25">
      <c r="A4" s="31" t="str">
        <f>_xll.qlSchedule(B4,C4,D4,E4,F4,G4,H4,I4,J4,K4,L4,M4,N4,O4)</f>
        <v>AU3FN0052908Sch#0008</v>
      </c>
      <c r="B4" s="40" t="str">
        <f t="shared" si="0"/>
        <v>AU3FN0052908Sch</v>
      </c>
      <c r="C4" s="41">
        <v>43873</v>
      </c>
      <c r="D4" s="41">
        <v>45700</v>
      </c>
      <c r="E4" s="39" t="str">
        <f>VLOOKUP(W4,Reference!$A$6:$B$8,2,FALSE)</f>
        <v>3M</v>
      </c>
      <c r="F4" s="40" t="str">
        <f>VLOOKUP(U4,Reference!$C$2:$D$6,2,FALSE)</f>
        <v>Australia</v>
      </c>
      <c r="G4" s="39" t="s">
        <v>113</v>
      </c>
      <c r="H4" s="39" t="s">
        <v>72</v>
      </c>
      <c r="I4" s="39" t="s">
        <v>114</v>
      </c>
      <c r="J4" s="39" t="b">
        <v>0</v>
      </c>
      <c r="K4" s="39"/>
      <c r="L4" s="39"/>
      <c r="M4" s="39" t="b">
        <v>0</v>
      </c>
      <c r="N4" s="39">
        <f>'ql-USCorp'!$B$5</f>
        <v>1</v>
      </c>
      <c r="O4" s="39" t="b">
        <v>1</v>
      </c>
      <c r="Q4" s="29" t="s">
        <v>264</v>
      </c>
      <c r="R4" s="29" t="s">
        <v>382</v>
      </c>
      <c r="S4" s="30">
        <v>43873</v>
      </c>
      <c r="T4" s="30">
        <v>45700</v>
      </c>
      <c r="U4" s="32" t="s">
        <v>363</v>
      </c>
      <c r="V4" s="29">
        <v>8000000</v>
      </c>
      <c r="W4" s="29">
        <v>4</v>
      </c>
      <c r="X4" s="29">
        <v>0.88</v>
      </c>
      <c r="Y4" s="29">
        <v>0.84</v>
      </c>
      <c r="Z4" t="str">
        <f t="shared" si="1"/>
        <v>AU3FN0052908Sch#0008</v>
      </c>
      <c r="AA4" t="str">
        <f t="shared" si="2"/>
        <v>A(Fitch)</v>
      </c>
      <c r="AB4">
        <v>100.8519973754883</v>
      </c>
      <c r="AC4" t="s">
        <v>263</v>
      </c>
      <c r="AD4" t="s">
        <v>387</v>
      </c>
    </row>
    <row r="5" spans="1:30" x14ac:dyDescent="0.25">
      <c r="A5" s="31" t="str">
        <f>_xll.qlSchedule(B5,C5,D5,E5,F5,G5,H5,I5,J5,K5,L5,M5,N5,O5)</f>
        <v>AU3FN0054151Sch#0008</v>
      </c>
      <c r="B5" s="40" t="str">
        <f t="shared" si="0"/>
        <v>AU3FN0054151Sch</v>
      </c>
      <c r="C5" s="41">
        <v>43972</v>
      </c>
      <c r="D5" s="41">
        <v>44886</v>
      </c>
      <c r="E5" s="39" t="str">
        <f>VLOOKUP(W5,Reference!$A$6:$B$8,2,FALSE)</f>
        <v>3M</v>
      </c>
      <c r="F5" s="40" t="str">
        <f>VLOOKUP(U5,Reference!$C$2:$D$6,2,FALSE)</f>
        <v>Australia</v>
      </c>
      <c r="G5" s="39" t="s">
        <v>113</v>
      </c>
      <c r="H5" s="39" t="s">
        <v>72</v>
      </c>
      <c r="I5" s="39" t="s">
        <v>114</v>
      </c>
      <c r="J5" s="39" t="b">
        <v>0</v>
      </c>
      <c r="K5" s="39"/>
      <c r="L5" s="39"/>
      <c r="M5" s="39" t="b">
        <v>0</v>
      </c>
      <c r="N5" s="39">
        <f>'ql-USCorp'!$B$5</f>
        <v>1</v>
      </c>
      <c r="O5" s="39" t="b">
        <v>1</v>
      </c>
      <c r="Q5" s="29" t="s">
        <v>265</v>
      </c>
      <c r="R5" s="29" t="s">
        <v>382</v>
      </c>
      <c r="S5" s="30">
        <v>43972</v>
      </c>
      <c r="T5" s="30">
        <v>44886</v>
      </c>
      <c r="U5" s="32" t="s">
        <v>363</v>
      </c>
      <c r="V5" s="29">
        <v>2000000</v>
      </c>
      <c r="W5" s="29">
        <v>4</v>
      </c>
      <c r="X5" s="29">
        <v>1.0972</v>
      </c>
      <c r="Y5" s="29">
        <v>1.05</v>
      </c>
      <c r="Z5" t="str">
        <f t="shared" si="1"/>
        <v>AU3FN0054151Sch#0008</v>
      </c>
      <c r="AA5" t="str">
        <f t="shared" si="2"/>
        <v>Aa3(Moody's)</v>
      </c>
      <c r="AB5">
        <v>100.8629989624023</v>
      </c>
      <c r="AC5" t="s">
        <v>264</v>
      </c>
      <c r="AD5" t="s">
        <v>388</v>
      </c>
    </row>
    <row r="6" spans="1:30" x14ac:dyDescent="0.25">
      <c r="A6" s="31" t="str">
        <f>_xll.qlSchedule(B6,C6,D6,E6,F6,G6,H6,I6,J6,K6,L6,M6,N6,O6)</f>
        <v>AU3FN0054425Sch#0008</v>
      </c>
      <c r="B6" s="40" t="str">
        <f t="shared" si="0"/>
        <v>AU3FN0054425Sch</v>
      </c>
      <c r="C6" s="41">
        <v>43987</v>
      </c>
      <c r="D6" s="41">
        <v>45813</v>
      </c>
      <c r="E6" s="39" t="str">
        <f>VLOOKUP(W6,Reference!$A$6:$B$8,2,FALSE)</f>
        <v>3M</v>
      </c>
      <c r="F6" s="40" t="str">
        <f>VLOOKUP(U6,Reference!$C$2:$D$6,2,FALSE)</f>
        <v>Australia</v>
      </c>
      <c r="G6" s="39" t="s">
        <v>113</v>
      </c>
      <c r="H6" s="39" t="s">
        <v>72</v>
      </c>
      <c r="I6" s="39" t="s">
        <v>114</v>
      </c>
      <c r="J6" s="39" t="b">
        <v>0</v>
      </c>
      <c r="K6" s="39"/>
      <c r="L6" s="39"/>
      <c r="M6" s="39" t="b">
        <v>0</v>
      </c>
      <c r="N6" s="39">
        <f>'ql-USCorp'!$B$5</f>
        <v>1</v>
      </c>
      <c r="O6" s="39" t="b">
        <v>1</v>
      </c>
      <c r="Q6" s="29" t="s">
        <v>266</v>
      </c>
      <c r="R6" s="29" t="s">
        <v>382</v>
      </c>
      <c r="S6" s="30">
        <v>43987</v>
      </c>
      <c r="T6" s="30">
        <v>45813</v>
      </c>
      <c r="U6" s="32" t="s">
        <v>363</v>
      </c>
      <c r="V6" s="29">
        <v>15000000</v>
      </c>
      <c r="W6" s="29">
        <v>4</v>
      </c>
      <c r="X6" s="29">
        <v>1.2050000000000001</v>
      </c>
      <c r="Y6" s="29">
        <v>1.1499999999999999</v>
      </c>
      <c r="Z6" t="str">
        <f t="shared" si="1"/>
        <v>AU3FN0054425Sch#0008</v>
      </c>
      <c r="AA6" t="str">
        <f t="shared" si="2"/>
        <v>A(S &amp; P)</v>
      </c>
      <c r="AB6">
        <v>102.0849990844727</v>
      </c>
      <c r="AC6" t="s">
        <v>271</v>
      </c>
      <c r="AD6" t="s">
        <v>389</v>
      </c>
    </row>
    <row r="7" spans="1:30" x14ac:dyDescent="0.25">
      <c r="A7" s="31" t="str">
        <f>_xll.qlSchedule(B7,C7,D7,E7,F7,G7,H7,I7,J7,K7,L7,M7,N7,O7)</f>
        <v>AU3FN0055216Sch#0008</v>
      </c>
      <c r="B7" s="40" t="str">
        <f t="shared" si="0"/>
        <v>AU3FN0055216Sch</v>
      </c>
      <c r="C7" s="41">
        <v>44027</v>
      </c>
      <c r="D7" s="41">
        <v>45122</v>
      </c>
      <c r="E7" s="39" t="str">
        <f>VLOOKUP(W7,Reference!$A$6:$B$8,2,FALSE)</f>
        <v>3M</v>
      </c>
      <c r="F7" s="40" t="str">
        <f>VLOOKUP(U7,Reference!$C$2:$D$6,2,FALSE)</f>
        <v>Australia</v>
      </c>
      <c r="G7" s="39" t="s">
        <v>113</v>
      </c>
      <c r="H7" s="39" t="s">
        <v>72</v>
      </c>
      <c r="I7" s="39" t="s">
        <v>114</v>
      </c>
      <c r="J7" s="39" t="b">
        <v>0</v>
      </c>
      <c r="K7" s="39"/>
      <c r="L7" s="39"/>
      <c r="M7" s="39" t="b">
        <v>0</v>
      </c>
      <c r="N7" s="39">
        <f>'ql-USCorp'!$B$5</f>
        <v>1</v>
      </c>
      <c r="O7" s="39" t="b">
        <v>1</v>
      </c>
      <c r="Q7" s="29" t="s">
        <v>267</v>
      </c>
      <c r="R7" s="29" t="s">
        <v>382</v>
      </c>
      <c r="S7" s="30">
        <v>44027</v>
      </c>
      <c r="T7" s="30">
        <v>45122</v>
      </c>
      <c r="U7" s="32" t="s">
        <v>363</v>
      </c>
      <c r="V7" s="29">
        <v>4000000</v>
      </c>
      <c r="W7" s="29">
        <v>4</v>
      </c>
      <c r="X7" s="29">
        <v>0.95499999999999996</v>
      </c>
      <c r="Y7" s="29">
        <v>0.93</v>
      </c>
      <c r="Z7" t="str">
        <f t="shared" si="1"/>
        <v>AU3FN0055216Sch#0008</v>
      </c>
      <c r="AA7" t="str">
        <f t="shared" si="2"/>
        <v>A(S &amp; P)</v>
      </c>
      <c r="AB7">
        <v>100.9649963378906</v>
      </c>
      <c r="AC7" t="s">
        <v>265</v>
      </c>
      <c r="AD7" t="s">
        <v>121</v>
      </c>
    </row>
    <row r="8" spans="1:30" x14ac:dyDescent="0.25">
      <c r="A8" s="31" t="str">
        <f>_xll.qlSchedule(B8,C8,D8,E8,F8,G8,H8,I8,J8,K8,L8,M8,N8,O8)</f>
        <v>AU3FN0057121Sch#0008</v>
      </c>
      <c r="B8" s="40" t="str">
        <f t="shared" si="0"/>
        <v>AU3FN0057121Sch</v>
      </c>
      <c r="C8" s="41">
        <v>44127</v>
      </c>
      <c r="D8" s="41">
        <v>45222</v>
      </c>
      <c r="E8" s="39" t="str">
        <f>VLOOKUP(W8,Reference!$A$6:$B$8,2,FALSE)</f>
        <v>3M</v>
      </c>
      <c r="F8" s="40" t="str">
        <f>VLOOKUP(U8,Reference!$C$2:$D$6,2,FALSE)</f>
        <v>Australia</v>
      </c>
      <c r="G8" s="39" t="s">
        <v>113</v>
      </c>
      <c r="H8" s="39" t="s">
        <v>72</v>
      </c>
      <c r="I8" s="39" t="s">
        <v>114</v>
      </c>
      <c r="J8" s="39" t="b">
        <v>0</v>
      </c>
      <c r="K8" s="39"/>
      <c r="L8" s="39"/>
      <c r="M8" s="39" t="b">
        <v>0</v>
      </c>
      <c r="N8" s="39">
        <f>'ql-USCorp'!$B$5</f>
        <v>1</v>
      </c>
      <c r="O8" s="39" t="b">
        <v>1</v>
      </c>
      <c r="Q8" s="29" t="s">
        <v>268</v>
      </c>
      <c r="R8" s="29" t="s">
        <v>382</v>
      </c>
      <c r="S8" s="30">
        <v>44127</v>
      </c>
      <c r="T8" s="30">
        <v>45222</v>
      </c>
      <c r="U8" s="32" t="s">
        <v>363</v>
      </c>
      <c r="V8" s="29">
        <v>4500000</v>
      </c>
      <c r="W8" s="29">
        <v>4</v>
      </c>
      <c r="X8" s="29">
        <v>0.76200000000000001</v>
      </c>
      <c r="Y8" s="29">
        <v>0.72</v>
      </c>
      <c r="Z8" t="str">
        <f t="shared" si="1"/>
        <v>AU3FN0057121Sch#0008</v>
      </c>
      <c r="AA8" t="str">
        <f t="shared" si="2"/>
        <v>A1(Moody's)</v>
      </c>
      <c r="AB8">
        <v>100.54100036621089</v>
      </c>
      <c r="AC8" t="s">
        <v>272</v>
      </c>
      <c r="AD8" t="s">
        <v>388</v>
      </c>
    </row>
    <row r="9" spans="1:30" hidden="1" x14ac:dyDescent="0.25">
      <c r="A9" s="31" t="str">
        <f>_xll.qlSchedule(B9,C9,D9,E9,F9,G9,H9,I9,J9,K9,L9,M9,N9,O9)</f>
        <v>XS2289799889Sch#0008</v>
      </c>
      <c r="B9" s="40" t="str">
        <f t="shared" si="0"/>
        <v>XS2289799889Sch</v>
      </c>
      <c r="C9" s="41">
        <v>44218</v>
      </c>
      <c r="D9" s="41">
        <v>45313</v>
      </c>
      <c r="E9" s="39" t="str">
        <f>VLOOKUP(W9,Reference!$A$6:$B$8,2,FALSE)</f>
        <v>1Y</v>
      </c>
      <c r="F9" s="40" t="str">
        <f>VLOOKUP(U9,Reference!$C$2:$D$6,2,FALSE)</f>
        <v>Australia</v>
      </c>
      <c r="G9" s="39" t="s">
        <v>113</v>
      </c>
      <c r="H9" s="39" t="s">
        <v>72</v>
      </c>
      <c r="I9" s="39" t="s">
        <v>114</v>
      </c>
      <c r="J9" s="39" t="b">
        <v>0</v>
      </c>
      <c r="K9" s="39"/>
      <c r="L9" s="39"/>
      <c r="M9" s="39" t="b">
        <v>0</v>
      </c>
      <c r="N9" s="39">
        <f>'ql-USCorp'!$B$5</f>
        <v>1</v>
      </c>
      <c r="O9" s="39" t="b">
        <v>1</v>
      </c>
      <c r="Q9" s="29" t="s">
        <v>269</v>
      </c>
      <c r="R9" s="29" t="s">
        <v>380</v>
      </c>
      <c r="S9" s="30">
        <v>44218</v>
      </c>
      <c r="T9" s="30">
        <v>45313</v>
      </c>
      <c r="U9" s="32" t="s">
        <v>363</v>
      </c>
      <c r="V9" s="29">
        <v>4000000</v>
      </c>
      <c r="W9" s="29">
        <v>1</v>
      </c>
      <c r="X9" s="29">
        <v>0.75</v>
      </c>
      <c r="Y9" s="29" t="s">
        <v>381</v>
      </c>
      <c r="Z9" t="str">
        <f t="shared" si="1"/>
        <v>XS2289799889Sch#0008</v>
      </c>
      <c r="AA9" t="str">
        <f t="shared" si="2"/>
        <v>A-(Fitch)</v>
      </c>
      <c r="AB9">
        <v>98.351398134557755</v>
      </c>
      <c r="AC9" t="s">
        <v>267</v>
      </c>
      <c r="AD9" t="s">
        <v>389</v>
      </c>
    </row>
    <row r="10" spans="1:30" hidden="1" x14ac:dyDescent="0.25">
      <c r="A10" s="31" t="str">
        <f>_xll.qlSchedule(B10,C10,D10,E10,F10,G10,H10,I10,J10,K10,L10,M10,N10,O10)</f>
        <v>AU3CB0268134Sch#0008</v>
      </c>
      <c r="B10" s="40" t="str">
        <f t="shared" si="0"/>
        <v>AU3CB0268134Sch</v>
      </c>
      <c r="C10" s="41">
        <v>43775</v>
      </c>
      <c r="D10" s="41">
        <v>47428</v>
      </c>
      <c r="E10" s="39" t="str">
        <f>VLOOKUP(W10,Reference!$A$6:$B$8,2,FALSE)</f>
        <v>6M</v>
      </c>
      <c r="F10" s="40" t="str">
        <f>VLOOKUP(U10,Reference!$C$2:$D$6,2,FALSE)</f>
        <v>Australia</v>
      </c>
      <c r="G10" s="39" t="s">
        <v>113</v>
      </c>
      <c r="H10" s="39" t="s">
        <v>72</v>
      </c>
      <c r="I10" s="39" t="s">
        <v>114</v>
      </c>
      <c r="J10" s="39" t="b">
        <v>0</v>
      </c>
      <c r="K10" s="39"/>
      <c r="L10" s="39"/>
      <c r="M10" s="39" t="b">
        <v>0</v>
      </c>
      <c r="N10" s="39">
        <f>'ql-USCorp'!$B$5</f>
        <v>1</v>
      </c>
      <c r="O10" s="39" t="b">
        <v>1</v>
      </c>
      <c r="Q10" s="29" t="s">
        <v>270</v>
      </c>
      <c r="R10" s="29" t="s">
        <v>380</v>
      </c>
      <c r="S10" s="30">
        <v>43775</v>
      </c>
      <c r="T10" s="30">
        <v>47428</v>
      </c>
      <c r="U10" s="32" t="s">
        <v>363</v>
      </c>
      <c r="V10" s="29">
        <v>3000000</v>
      </c>
      <c r="W10" s="29">
        <v>2</v>
      </c>
      <c r="X10" s="29">
        <v>2.65</v>
      </c>
      <c r="Y10" s="29" t="s">
        <v>381</v>
      </c>
      <c r="Z10" t="str">
        <f t="shared" si="1"/>
        <v>AU3CB0268134Sch#0008</v>
      </c>
      <c r="AA10" t="str">
        <f t="shared" si="2"/>
        <v>Baa1(Moody's)</v>
      </c>
      <c r="AB10">
        <v>98.12</v>
      </c>
      <c r="AC10" t="s">
        <v>273</v>
      </c>
      <c r="AD10" t="s">
        <v>121</v>
      </c>
    </row>
    <row r="11" spans="1:30" x14ac:dyDescent="0.25">
      <c r="A11" s="31" t="str">
        <f>_xll.qlSchedule(B11,C11,D11,E11,F11,G11,H11,I11,J11,K11,L11,M11,N11,O11)</f>
        <v>AU3FN0050142Sch#0008</v>
      </c>
      <c r="B11" s="40" t="str">
        <f t="shared" si="0"/>
        <v>AU3FN0050142Sch</v>
      </c>
      <c r="C11" s="41">
        <v>43719</v>
      </c>
      <c r="D11" s="41">
        <v>45546</v>
      </c>
      <c r="E11" s="39" t="str">
        <f>VLOOKUP(W11,Reference!$A$6:$B$8,2,FALSE)</f>
        <v>3M</v>
      </c>
      <c r="F11" s="40" t="str">
        <f>VLOOKUP(U11,Reference!$C$2:$D$6,2,FALSE)</f>
        <v>Australia</v>
      </c>
      <c r="G11" s="39" t="s">
        <v>113</v>
      </c>
      <c r="H11" s="39" t="s">
        <v>72</v>
      </c>
      <c r="I11" s="39" t="s">
        <v>114</v>
      </c>
      <c r="J11" s="39" t="b">
        <v>0</v>
      </c>
      <c r="K11" s="39"/>
      <c r="L11" s="39"/>
      <c r="M11" s="39" t="b">
        <v>0</v>
      </c>
      <c r="N11" s="39">
        <f>'ql-USCorp'!$B$5</f>
        <v>1</v>
      </c>
      <c r="O11" s="39" t="b">
        <v>1</v>
      </c>
      <c r="Q11" s="29" t="s">
        <v>263</v>
      </c>
      <c r="R11" s="29" t="s">
        <v>382</v>
      </c>
      <c r="S11" s="30">
        <v>43719</v>
      </c>
      <c r="T11" s="30">
        <v>45546</v>
      </c>
      <c r="U11" s="32" t="s">
        <v>363</v>
      </c>
      <c r="V11" s="29">
        <v>5000000</v>
      </c>
      <c r="W11" s="29">
        <v>4</v>
      </c>
      <c r="X11" s="29">
        <v>1.1114999999999999</v>
      </c>
      <c r="Y11" s="29">
        <v>1.05</v>
      </c>
      <c r="Z11" t="str">
        <f t="shared" si="1"/>
        <v>AU3FN0050142Sch#0008</v>
      </c>
      <c r="AA11" t="str">
        <f t="shared" si="2"/>
        <v>A1(Moody's)</v>
      </c>
      <c r="AB11">
        <v>101.5690002441406</v>
      </c>
      <c r="AC11" t="s">
        <v>274</v>
      </c>
      <c r="AD11" t="s">
        <v>386</v>
      </c>
    </row>
    <row r="12" spans="1:30" x14ac:dyDescent="0.25">
      <c r="A12" s="31" t="str">
        <f>_xll.qlSchedule(B12,C12,D12,E12,F12,G12,H12,I12,J12,K12,L12,M12,N12,O12)</f>
        <v>AU3FN0052908Sch#0008</v>
      </c>
      <c r="B12" s="40" t="str">
        <f t="shared" si="0"/>
        <v>AU3FN0052908Sch</v>
      </c>
      <c r="C12" s="41">
        <v>43873</v>
      </c>
      <c r="D12" s="41">
        <v>45700</v>
      </c>
      <c r="E12" s="39" t="str">
        <f>VLOOKUP(W12,Reference!$A$6:$B$8,2,FALSE)</f>
        <v>3M</v>
      </c>
      <c r="F12" s="40" t="str">
        <f>VLOOKUP(U12,Reference!$C$2:$D$6,2,FALSE)</f>
        <v>Australia</v>
      </c>
      <c r="G12" s="39" t="s">
        <v>113</v>
      </c>
      <c r="H12" s="39" t="s">
        <v>72</v>
      </c>
      <c r="I12" s="39" t="s">
        <v>114</v>
      </c>
      <c r="J12" s="39" t="b">
        <v>0</v>
      </c>
      <c r="K12" s="39"/>
      <c r="L12" s="39"/>
      <c r="M12" s="39" t="b">
        <v>0</v>
      </c>
      <c r="N12" s="39">
        <f>'ql-USCorp'!$B$5</f>
        <v>1</v>
      </c>
      <c r="O12" s="39" t="b">
        <v>1</v>
      </c>
      <c r="Q12" s="29" t="s">
        <v>264</v>
      </c>
      <c r="R12" s="29" t="s">
        <v>382</v>
      </c>
      <c r="S12" s="30">
        <v>43873</v>
      </c>
      <c r="T12" s="30">
        <v>45700</v>
      </c>
      <c r="U12" s="32" t="s">
        <v>363</v>
      </c>
      <c r="V12" s="29">
        <v>10000000</v>
      </c>
      <c r="W12" s="29">
        <v>4</v>
      </c>
      <c r="X12" s="29">
        <v>0.88</v>
      </c>
      <c r="Y12" s="29">
        <v>0.84</v>
      </c>
      <c r="Z12" t="str">
        <f t="shared" si="1"/>
        <v>AU3FN0052908Sch#0008</v>
      </c>
      <c r="AA12" t="str">
        <f t="shared" si="2"/>
        <v>A(Fitch)</v>
      </c>
      <c r="AB12">
        <v>100.8519973754883</v>
      </c>
      <c r="AC12" t="s">
        <v>268</v>
      </c>
      <c r="AD12" t="s">
        <v>387</v>
      </c>
    </row>
    <row r="13" spans="1:30" x14ac:dyDescent="0.25">
      <c r="A13" s="31" t="str">
        <f>_xll.qlSchedule(B13,C13,D13,E13,F13,G13,H13,I13,J13,K13,L13,M13,N13,O13)</f>
        <v>AU3FN0053096Sch#0008</v>
      </c>
      <c r="B13" s="40" t="str">
        <f t="shared" si="0"/>
        <v>AU3FN0053096Sch</v>
      </c>
      <c r="C13" s="41">
        <v>43879</v>
      </c>
      <c r="D13" s="41">
        <v>44791</v>
      </c>
      <c r="E13" s="39" t="str">
        <f>VLOOKUP(W13,Reference!$A$6:$B$8,2,FALSE)</f>
        <v>3M</v>
      </c>
      <c r="F13" s="40" t="str">
        <f>VLOOKUP(U13,Reference!$C$2:$D$6,2,FALSE)</f>
        <v>Australia</v>
      </c>
      <c r="G13" s="39" t="s">
        <v>113</v>
      </c>
      <c r="H13" s="39" t="s">
        <v>72</v>
      </c>
      <c r="I13" s="39" t="s">
        <v>114</v>
      </c>
      <c r="J13" s="39" t="b">
        <v>0</v>
      </c>
      <c r="K13" s="39"/>
      <c r="L13" s="39"/>
      <c r="M13" s="39" t="b">
        <v>0</v>
      </c>
      <c r="N13" s="39">
        <f>'ql-USCorp'!$B$5</f>
        <v>1</v>
      </c>
      <c r="O13" s="39" t="b">
        <v>1</v>
      </c>
      <c r="Q13" s="29" t="s">
        <v>271</v>
      </c>
      <c r="R13" s="29" t="s">
        <v>382</v>
      </c>
      <c r="S13" s="30">
        <v>43879</v>
      </c>
      <c r="T13" s="30">
        <v>44791</v>
      </c>
      <c r="U13" s="32" t="s">
        <v>363</v>
      </c>
      <c r="V13" s="29">
        <v>15950000</v>
      </c>
      <c r="W13" s="29">
        <v>4</v>
      </c>
      <c r="X13" s="29">
        <v>0.7</v>
      </c>
      <c r="Y13" s="29">
        <v>0.66</v>
      </c>
      <c r="Z13" t="str">
        <f t="shared" si="1"/>
        <v>AU3FN0053096Sch#0008</v>
      </c>
      <c r="AA13" t="str">
        <f t="shared" si="2"/>
        <v>A(S &amp; P)</v>
      </c>
      <c r="AB13">
        <v>100.3720016479492</v>
      </c>
      <c r="AC13" t="s">
        <v>275</v>
      </c>
      <c r="AD13" t="s">
        <v>389</v>
      </c>
    </row>
    <row r="14" spans="1:30" x14ac:dyDescent="0.25">
      <c r="A14" s="31" t="str">
        <f>_xll.qlSchedule(B14,C14,D14,E14,F14,G14,H14,I14,J14,K14,L14,M14,N14,O14)</f>
        <v>AU3FN0054151Sch#0008</v>
      </c>
      <c r="B14" s="40" t="str">
        <f t="shared" si="0"/>
        <v>AU3FN0054151Sch</v>
      </c>
      <c r="C14" s="41">
        <v>43972</v>
      </c>
      <c r="D14" s="41">
        <v>44886</v>
      </c>
      <c r="E14" s="39" t="str">
        <f>VLOOKUP(W14,Reference!$A$6:$B$8,2,FALSE)</f>
        <v>3M</v>
      </c>
      <c r="F14" s="40" t="str">
        <f>VLOOKUP(U14,Reference!$C$2:$D$6,2,FALSE)</f>
        <v>Australia</v>
      </c>
      <c r="G14" s="39" t="s">
        <v>113</v>
      </c>
      <c r="H14" s="39" t="s">
        <v>72</v>
      </c>
      <c r="I14" s="39" t="s">
        <v>114</v>
      </c>
      <c r="J14" s="39" t="b">
        <v>0</v>
      </c>
      <c r="K14" s="39"/>
      <c r="L14" s="39"/>
      <c r="M14" s="39" t="b">
        <v>0</v>
      </c>
      <c r="N14" s="39">
        <f>'ql-USCorp'!$B$5</f>
        <v>1</v>
      </c>
      <c r="O14" s="39" t="b">
        <v>1</v>
      </c>
      <c r="Q14" s="29" t="s">
        <v>265</v>
      </c>
      <c r="R14" s="29" t="s">
        <v>382</v>
      </c>
      <c r="S14" s="30">
        <v>43972</v>
      </c>
      <c r="T14" s="30">
        <v>44886</v>
      </c>
      <c r="U14" s="32" t="s">
        <v>363</v>
      </c>
      <c r="V14" s="29">
        <v>2000000</v>
      </c>
      <c r="W14" s="29">
        <v>4</v>
      </c>
      <c r="X14" s="29">
        <v>1.0972</v>
      </c>
      <c r="Y14" s="29">
        <v>1.05</v>
      </c>
      <c r="Z14" t="str">
        <f t="shared" si="1"/>
        <v>AU3FN0054151Sch#0008</v>
      </c>
      <c r="AA14" t="str">
        <f t="shared" si="2"/>
        <v>Aa3(Moody's)</v>
      </c>
      <c r="AB14">
        <v>100.8629989624023</v>
      </c>
      <c r="AC14" t="s">
        <v>390</v>
      </c>
      <c r="AD14" t="s">
        <v>388</v>
      </c>
    </row>
    <row r="15" spans="1:30" x14ac:dyDescent="0.25">
      <c r="A15" s="31" t="str">
        <f>_xll.qlSchedule(B15,C15,D15,E15,F15,G15,H15,I15,J15,K15,L15,M15,N15,O15)</f>
        <v>AU3FN0054177Sch#0008</v>
      </c>
      <c r="B15" s="40" t="str">
        <f t="shared" si="0"/>
        <v>AU3FN0054177Sch</v>
      </c>
      <c r="C15" s="41">
        <v>43977</v>
      </c>
      <c r="D15" s="41">
        <v>45072</v>
      </c>
      <c r="E15" s="39" t="str">
        <f>VLOOKUP(W15,Reference!$A$6:$B$8,2,FALSE)</f>
        <v>3M</v>
      </c>
      <c r="F15" s="40" t="str">
        <f>VLOOKUP(U15,Reference!$C$2:$D$6,2,FALSE)</f>
        <v>Australia</v>
      </c>
      <c r="G15" s="39" t="s">
        <v>113</v>
      </c>
      <c r="H15" s="39" t="s">
        <v>72</v>
      </c>
      <c r="I15" s="39" t="s">
        <v>114</v>
      </c>
      <c r="J15" s="39" t="b">
        <v>0</v>
      </c>
      <c r="K15" s="39"/>
      <c r="L15" s="39"/>
      <c r="M15" s="39" t="b">
        <v>0</v>
      </c>
      <c r="N15" s="39">
        <f>'ql-USCorp'!$B$5</f>
        <v>1</v>
      </c>
      <c r="O15" s="39" t="b">
        <v>1</v>
      </c>
      <c r="Q15" s="29" t="s">
        <v>272</v>
      </c>
      <c r="R15" s="29" t="s">
        <v>382</v>
      </c>
      <c r="S15" s="30">
        <v>43977</v>
      </c>
      <c r="T15" s="30">
        <v>45072</v>
      </c>
      <c r="U15" s="32" t="s">
        <v>363</v>
      </c>
      <c r="V15" s="29">
        <v>4000000</v>
      </c>
      <c r="W15" s="29">
        <v>4</v>
      </c>
      <c r="X15" s="29">
        <v>1.1991000000000001</v>
      </c>
      <c r="Y15" s="29">
        <v>1.1499999999999999</v>
      </c>
      <c r="Z15" t="str">
        <f t="shared" si="1"/>
        <v>AU3FN0054177Sch#0008</v>
      </c>
      <c r="AA15" t="str">
        <f t="shared" si="2"/>
        <v>A(Fitch)</v>
      </c>
      <c r="AB15">
        <v>101.18800354003911</v>
      </c>
      <c r="AC15" t="s">
        <v>329</v>
      </c>
      <c r="AD15" t="s">
        <v>387</v>
      </c>
    </row>
    <row r="16" spans="1:30" x14ac:dyDescent="0.25">
      <c r="A16" s="31" t="str">
        <f>_xll.qlSchedule(B16,C16,D16,E16,F16,G16,H16,I16,J16,K16,L16,M16,N16,O16)</f>
        <v>AU3FN0055216Sch#0008</v>
      </c>
      <c r="B16" s="40" t="str">
        <f t="shared" si="0"/>
        <v>AU3FN0055216Sch</v>
      </c>
      <c r="C16" s="41">
        <v>44027</v>
      </c>
      <c r="D16" s="41">
        <v>45122</v>
      </c>
      <c r="E16" s="39" t="str">
        <f>VLOOKUP(W16,Reference!$A$6:$B$8,2,FALSE)</f>
        <v>3M</v>
      </c>
      <c r="F16" s="40" t="str">
        <f>VLOOKUP(U16,Reference!$C$2:$D$6,2,FALSE)</f>
        <v>Australia</v>
      </c>
      <c r="G16" s="39" t="s">
        <v>113</v>
      </c>
      <c r="H16" s="39" t="s">
        <v>72</v>
      </c>
      <c r="I16" s="39" t="s">
        <v>114</v>
      </c>
      <c r="J16" s="39" t="b">
        <v>0</v>
      </c>
      <c r="K16" s="39"/>
      <c r="L16" s="39"/>
      <c r="M16" s="39" t="b">
        <v>0</v>
      </c>
      <c r="N16" s="39">
        <f>'ql-USCorp'!$B$5</f>
        <v>1</v>
      </c>
      <c r="O16" s="39" t="b">
        <v>1</v>
      </c>
      <c r="Q16" s="29" t="s">
        <v>267</v>
      </c>
      <c r="R16" s="29" t="s">
        <v>382</v>
      </c>
      <c r="S16" s="30">
        <v>44027</v>
      </c>
      <c r="T16" s="30">
        <v>45122</v>
      </c>
      <c r="U16" s="32" t="s">
        <v>363</v>
      </c>
      <c r="V16" s="29">
        <v>6000000</v>
      </c>
      <c r="W16" s="29">
        <v>4</v>
      </c>
      <c r="X16" s="29">
        <v>0.95499999999999996</v>
      </c>
      <c r="Y16" s="29">
        <v>0.93</v>
      </c>
      <c r="Z16" t="str">
        <f t="shared" si="1"/>
        <v>AU3FN0055216Sch#0008</v>
      </c>
      <c r="AA16" t="str">
        <f t="shared" si="2"/>
        <v>A(S &amp; P)</v>
      </c>
      <c r="AB16">
        <v>100.9649963378906</v>
      </c>
      <c r="AC16" t="s">
        <v>330</v>
      </c>
      <c r="AD16" t="s">
        <v>391</v>
      </c>
    </row>
    <row r="17" spans="1:30" x14ac:dyDescent="0.25">
      <c r="A17" s="31" t="str">
        <f>_xll.qlSchedule(B17,C17,D17,E17,F17,G17,H17,I17,J17,K17,L17,M17,N17,O17)</f>
        <v>AU3FN0055307Sch#0008</v>
      </c>
      <c r="B17" s="40" t="str">
        <f t="shared" si="0"/>
        <v>AU3FN0055307Sch</v>
      </c>
      <c r="C17" s="41">
        <v>44042</v>
      </c>
      <c r="D17" s="41">
        <v>45868</v>
      </c>
      <c r="E17" s="39" t="str">
        <f>VLOOKUP(W17,Reference!$A$6:$B$8,2,FALSE)</f>
        <v>3M</v>
      </c>
      <c r="F17" s="40" t="str">
        <f>VLOOKUP(U17,Reference!$C$2:$D$6,2,FALSE)</f>
        <v>Australia</v>
      </c>
      <c r="G17" s="39" t="s">
        <v>113</v>
      </c>
      <c r="H17" s="39" t="s">
        <v>72</v>
      </c>
      <c r="I17" s="39" t="s">
        <v>114</v>
      </c>
      <c r="J17" s="39" t="b">
        <v>0</v>
      </c>
      <c r="K17" s="39"/>
      <c r="L17" s="39"/>
      <c r="M17" s="39" t="b">
        <v>0</v>
      </c>
      <c r="N17" s="39">
        <f>'ql-USCorp'!$B$5</f>
        <v>1</v>
      </c>
      <c r="O17" s="39" t="b">
        <v>1</v>
      </c>
      <c r="Q17" s="29" t="s">
        <v>273</v>
      </c>
      <c r="R17" s="29" t="s">
        <v>382</v>
      </c>
      <c r="S17" s="30">
        <v>44042</v>
      </c>
      <c r="T17" s="30">
        <v>45868</v>
      </c>
      <c r="U17" s="32" t="s">
        <v>363</v>
      </c>
      <c r="V17" s="29">
        <v>4000000</v>
      </c>
      <c r="W17" s="29">
        <v>4</v>
      </c>
      <c r="X17" s="29">
        <v>0.94020000000000004</v>
      </c>
      <c r="Y17" s="29">
        <v>0.87</v>
      </c>
      <c r="Z17" t="str">
        <f t="shared" si="1"/>
        <v>AU3FN0055307Sch#0008</v>
      </c>
      <c r="AA17" t="str">
        <f t="shared" si="2"/>
        <v>Aa3(Moody's)</v>
      </c>
      <c r="AB17">
        <v>101.11900329589839</v>
      </c>
      <c r="AC17" t="s">
        <v>279</v>
      </c>
      <c r="AD17" t="s">
        <v>387</v>
      </c>
    </row>
    <row r="18" spans="1:30" x14ac:dyDescent="0.25">
      <c r="A18" s="31" t="str">
        <f>_xll.qlSchedule(B18,C18,D18,E18,F18,G18,H18,I18,J18,K18,L18,M18,N18,O18)</f>
        <v>AU3FN0055695Sch#0008</v>
      </c>
      <c r="B18" s="40" t="str">
        <f t="shared" si="0"/>
        <v>AU3FN0055695Sch</v>
      </c>
      <c r="C18" s="41">
        <v>44070</v>
      </c>
      <c r="D18" s="41">
        <v>45896</v>
      </c>
      <c r="E18" s="39" t="str">
        <f>VLOOKUP(W18,Reference!$A$6:$B$8,2,FALSE)</f>
        <v>3M</v>
      </c>
      <c r="F18" s="40" t="str">
        <f>VLOOKUP(U18,Reference!$C$2:$D$6,2,FALSE)</f>
        <v>Australia</v>
      </c>
      <c r="G18" s="39" t="s">
        <v>113</v>
      </c>
      <c r="H18" s="39" t="s">
        <v>72</v>
      </c>
      <c r="I18" s="39" t="s">
        <v>114</v>
      </c>
      <c r="J18" s="39" t="b">
        <v>0</v>
      </c>
      <c r="K18" s="39"/>
      <c r="L18" s="39"/>
      <c r="M18" s="39" t="b">
        <v>0</v>
      </c>
      <c r="N18" s="39">
        <f>'ql-USCorp'!$B$5</f>
        <v>1</v>
      </c>
      <c r="O18" s="39" t="b">
        <v>1</v>
      </c>
      <c r="Q18" s="29" t="s">
        <v>274</v>
      </c>
      <c r="R18" s="29" t="s">
        <v>382</v>
      </c>
      <c r="S18" s="30">
        <v>44070</v>
      </c>
      <c r="T18" s="30">
        <v>45896</v>
      </c>
      <c r="U18" s="32" t="s">
        <v>363</v>
      </c>
      <c r="V18" s="29">
        <v>3000000</v>
      </c>
      <c r="W18" s="29">
        <v>4</v>
      </c>
      <c r="X18" s="29">
        <v>1.0149999999999999</v>
      </c>
      <c r="Y18" s="29">
        <v>0.97</v>
      </c>
      <c r="Z18" t="str">
        <f t="shared" si="1"/>
        <v>AU3FN0055695Sch#0008</v>
      </c>
      <c r="AA18" t="str">
        <f t="shared" si="2"/>
        <v>Baa1(Moody's)</v>
      </c>
      <c r="AB18">
        <v>100.963996887207</v>
      </c>
      <c r="AC18" t="s">
        <v>284</v>
      </c>
      <c r="AD18" t="s">
        <v>387</v>
      </c>
    </row>
    <row r="19" spans="1:30" x14ac:dyDescent="0.25">
      <c r="A19" s="31" t="str">
        <f>_xll.qlSchedule(B19,C19,D19,E19,F19,G19,H19,I19,J19,K19,L19,M19,N19,O19)</f>
        <v>AU3FN0057121Sch#0008</v>
      </c>
      <c r="B19" s="40" t="str">
        <f t="shared" si="0"/>
        <v>AU3FN0057121Sch</v>
      </c>
      <c r="C19" s="41">
        <v>44127</v>
      </c>
      <c r="D19" s="41">
        <v>45222</v>
      </c>
      <c r="E19" s="39" t="str">
        <f>VLOOKUP(W19,Reference!$A$6:$B$8,2,FALSE)</f>
        <v>3M</v>
      </c>
      <c r="F19" s="40" t="str">
        <f>VLOOKUP(U19,Reference!$C$2:$D$6,2,FALSE)</f>
        <v>Australia</v>
      </c>
      <c r="G19" s="39" t="s">
        <v>113</v>
      </c>
      <c r="H19" s="39" t="s">
        <v>72</v>
      </c>
      <c r="I19" s="39" t="s">
        <v>114</v>
      </c>
      <c r="J19" s="39" t="b">
        <v>0</v>
      </c>
      <c r="K19" s="39"/>
      <c r="L19" s="39"/>
      <c r="M19" s="39" t="b">
        <v>0</v>
      </c>
      <c r="N19" s="39">
        <f>'ql-USCorp'!$B$5</f>
        <v>1</v>
      </c>
      <c r="O19" s="39" t="b">
        <v>1</v>
      </c>
      <c r="Q19" s="29" t="s">
        <v>268</v>
      </c>
      <c r="R19" s="29" t="s">
        <v>382</v>
      </c>
      <c r="S19" s="30">
        <v>44127</v>
      </c>
      <c r="T19" s="30">
        <v>45222</v>
      </c>
      <c r="U19" s="32" t="s">
        <v>363</v>
      </c>
      <c r="V19" s="29">
        <v>7500000</v>
      </c>
      <c r="W19" s="29">
        <v>4</v>
      </c>
      <c r="X19" s="29">
        <v>0.76200000000000001</v>
      </c>
      <c r="Y19" s="29">
        <v>0.72</v>
      </c>
      <c r="Z19" t="str">
        <f t="shared" si="1"/>
        <v>AU3FN0057121Sch#0008</v>
      </c>
      <c r="AA19" t="str">
        <f t="shared" si="2"/>
        <v>A1(Moody's)</v>
      </c>
      <c r="AB19">
        <v>100.54100036621089</v>
      </c>
      <c r="AC19" t="s">
        <v>331</v>
      </c>
      <c r="AD19" t="s">
        <v>121</v>
      </c>
    </row>
    <row r="20" spans="1:30" x14ac:dyDescent="0.25">
      <c r="A20" s="31" t="str">
        <f>_xll.qlSchedule(B20,C20,D20,E20,F20,G20,H20,I20,J20,K20,L20,M20,N20,O20)</f>
        <v>AU3FN0058814Sch#0008</v>
      </c>
      <c r="B20" s="40" t="str">
        <f t="shared" si="0"/>
        <v>AU3FN0058814Sch</v>
      </c>
      <c r="C20" s="41">
        <v>44266</v>
      </c>
      <c r="D20" s="41">
        <v>45362</v>
      </c>
      <c r="E20" s="39" t="str">
        <f>VLOOKUP(W20,Reference!$A$6:$B$8,2,FALSE)</f>
        <v>3M</v>
      </c>
      <c r="F20" s="40" t="str">
        <f>VLOOKUP(U20,Reference!$C$2:$D$6,2,FALSE)</f>
        <v>Australia</v>
      </c>
      <c r="G20" s="39" t="s">
        <v>113</v>
      </c>
      <c r="H20" s="39" t="s">
        <v>72</v>
      </c>
      <c r="I20" s="39" t="s">
        <v>114</v>
      </c>
      <c r="J20" s="39" t="b">
        <v>0</v>
      </c>
      <c r="K20" s="39"/>
      <c r="L20" s="39"/>
      <c r="M20" s="39" t="b">
        <v>0</v>
      </c>
      <c r="N20" s="39">
        <f>'ql-USCorp'!$B$5</f>
        <v>1</v>
      </c>
      <c r="O20" s="39" t="b">
        <v>1</v>
      </c>
      <c r="Q20" s="29" t="s">
        <v>275</v>
      </c>
      <c r="R20" s="29" t="s">
        <v>382</v>
      </c>
      <c r="S20" s="30">
        <v>44266</v>
      </c>
      <c r="T20" s="30">
        <v>45362</v>
      </c>
      <c r="U20" s="32" t="s">
        <v>363</v>
      </c>
      <c r="V20" s="29">
        <v>3000000</v>
      </c>
      <c r="W20" s="29">
        <v>4</v>
      </c>
      <c r="X20" s="29">
        <v>0.64149999999999996</v>
      </c>
      <c r="Y20" s="29">
        <v>0.57999999999999996</v>
      </c>
      <c r="Z20" t="str">
        <f t="shared" si="1"/>
        <v>AU3FN0058814Sch#0008</v>
      </c>
      <c r="AA20" t="str">
        <f t="shared" si="2"/>
        <v>A(S &amp; P)</v>
      </c>
      <c r="AB20">
        <v>100.072998046875</v>
      </c>
      <c r="AC20" t="s">
        <v>332</v>
      </c>
      <c r="AD20" t="s">
        <v>392</v>
      </c>
    </row>
    <row r="21" spans="1:30" hidden="1" x14ac:dyDescent="0.25">
      <c r="A21" s="31" t="str">
        <f>_xll.qlSchedule(B21,C21,D21,E21,F21,G21,H21,I21,J21,K21,L21,M21,N21,O21)</f>
        <v>XS2213043495Sch#0008</v>
      </c>
      <c r="B21" s="40" t="str">
        <f t="shared" si="0"/>
        <v>XS2213043495Sch</v>
      </c>
      <c r="C21" s="41">
        <v>44061</v>
      </c>
      <c r="D21" s="41">
        <v>45887</v>
      </c>
      <c r="E21" s="39" t="str">
        <f>VLOOKUP(W21,Reference!$A$6:$B$8,2,FALSE)</f>
        <v>1Y</v>
      </c>
      <c r="F21" s="40" t="str">
        <f>VLOOKUP(U21,Reference!$C$2:$D$6,2,FALSE)</f>
        <v>China</v>
      </c>
      <c r="G21" s="39" t="s">
        <v>113</v>
      </c>
      <c r="H21" s="39" t="s">
        <v>72</v>
      </c>
      <c r="I21" s="39" t="s">
        <v>114</v>
      </c>
      <c r="J21" s="39" t="b">
        <v>0</v>
      </c>
      <c r="K21" s="39"/>
      <c r="L21" s="39"/>
      <c r="M21" s="39" t="b">
        <v>0</v>
      </c>
      <c r="N21" s="39">
        <f>'ql-USCorp'!$B$5</f>
        <v>1</v>
      </c>
      <c r="O21" s="39" t="b">
        <v>1</v>
      </c>
      <c r="Q21" s="29" t="s">
        <v>276</v>
      </c>
      <c r="R21" s="29" t="s">
        <v>380</v>
      </c>
      <c r="S21" s="30">
        <v>44061</v>
      </c>
      <c r="T21" s="30">
        <v>45887</v>
      </c>
      <c r="U21" s="32" t="s">
        <v>360</v>
      </c>
      <c r="V21" s="29">
        <v>30000000</v>
      </c>
      <c r="W21" s="29">
        <v>1</v>
      </c>
      <c r="X21" s="29">
        <v>3.4</v>
      </c>
      <c r="Y21" s="29" t="s">
        <v>381</v>
      </c>
      <c r="Z21" t="str">
        <f t="shared" si="1"/>
        <v>XS2213043495Sch#0008</v>
      </c>
      <c r="AA21" t="str">
        <f t="shared" si="2"/>
        <v>Aa3(Moody's)</v>
      </c>
      <c r="AB21">
        <v>100.1460037231445</v>
      </c>
      <c r="AC21" t="s">
        <v>286</v>
      </c>
      <c r="AD21" t="s">
        <v>393</v>
      </c>
    </row>
    <row r="22" spans="1:30" hidden="1" x14ac:dyDescent="0.25">
      <c r="A22" s="31" t="str">
        <f>_xll.qlSchedule(B22,C22,D22,E22,F22,G22,H22,I22,J22,K22,L22,M22,N22,O22)</f>
        <v>XS2227817876Sch#0008</v>
      </c>
      <c r="B22" s="40" t="str">
        <f t="shared" si="0"/>
        <v>XS2227817876Sch</v>
      </c>
      <c r="C22" s="41">
        <v>44089</v>
      </c>
      <c r="D22" s="41">
        <v>45915</v>
      </c>
      <c r="E22" s="39" t="str">
        <f>VLOOKUP(W22,Reference!$A$6:$B$8,2,FALSE)</f>
        <v>1Y</v>
      </c>
      <c r="F22" s="40" t="str">
        <f>VLOOKUP(U22,Reference!$C$2:$D$6,2,FALSE)</f>
        <v>China</v>
      </c>
      <c r="G22" s="39" t="s">
        <v>113</v>
      </c>
      <c r="H22" s="39" t="s">
        <v>72</v>
      </c>
      <c r="I22" s="39" t="s">
        <v>114</v>
      </c>
      <c r="J22" s="39" t="b">
        <v>0</v>
      </c>
      <c r="K22" s="39"/>
      <c r="L22" s="39"/>
      <c r="M22" s="39" t="b">
        <v>0</v>
      </c>
      <c r="N22" s="39">
        <f>'ql-USCorp'!$B$5</f>
        <v>1</v>
      </c>
      <c r="O22" s="39" t="b">
        <v>1</v>
      </c>
      <c r="Q22" s="29" t="s">
        <v>277</v>
      </c>
      <c r="R22" s="29" t="s">
        <v>380</v>
      </c>
      <c r="S22" s="30">
        <v>44089</v>
      </c>
      <c r="T22" s="30">
        <v>45915</v>
      </c>
      <c r="U22" s="32" t="s">
        <v>360</v>
      </c>
      <c r="V22" s="29">
        <v>50000000</v>
      </c>
      <c r="W22" s="29">
        <v>1</v>
      </c>
      <c r="X22" s="29">
        <v>3.8</v>
      </c>
      <c r="Y22" s="29" t="s">
        <v>381</v>
      </c>
      <c r="Z22" t="str">
        <f t="shared" si="1"/>
        <v>XS2227817876Sch#0008</v>
      </c>
      <c r="AA22" t="str">
        <f t="shared" si="2"/>
        <v>Aa3(Moody's)</v>
      </c>
      <c r="AB22">
        <v>100.900260925293</v>
      </c>
      <c r="AC22" t="s">
        <v>333</v>
      </c>
      <c r="AD22" t="s">
        <v>121</v>
      </c>
    </row>
    <row r="23" spans="1:30" x14ac:dyDescent="0.25">
      <c r="A23" s="31" t="str">
        <f>_xll.qlSchedule(B23,C23,D23,E23,F23,G23,H23,I23,J23,K23,L23,M23,N23,O23)</f>
        <v>US00206RGD89Sch#0008</v>
      </c>
      <c r="B23" s="40" t="str">
        <f t="shared" si="0"/>
        <v>US00206RGD89Sch</v>
      </c>
      <c r="C23" s="41">
        <v>43334</v>
      </c>
      <c r="D23" s="41">
        <v>45455</v>
      </c>
      <c r="E23" s="39" t="str">
        <f>VLOOKUP(W23,Reference!$A$6:$B$8,2,FALSE)</f>
        <v>3M</v>
      </c>
      <c r="F23" s="40" t="str">
        <f>VLOOKUP(U23,Reference!$C$2:$D$6,2,FALSE)</f>
        <v>UnitedStates::Settlement</v>
      </c>
      <c r="G23" s="39" t="s">
        <v>113</v>
      </c>
      <c r="H23" s="39" t="s">
        <v>72</v>
      </c>
      <c r="I23" s="39" t="s">
        <v>114</v>
      </c>
      <c r="J23" s="39" t="b">
        <v>0</v>
      </c>
      <c r="K23" s="39"/>
      <c r="L23" s="39"/>
      <c r="M23" s="39" t="b">
        <v>0</v>
      </c>
      <c r="N23" s="39">
        <f>'ql-USCorp'!$B$5</f>
        <v>1</v>
      </c>
      <c r="O23" s="39" t="b">
        <v>1</v>
      </c>
      <c r="Q23" s="29" t="s">
        <v>278</v>
      </c>
      <c r="R23" s="29" t="s">
        <v>382</v>
      </c>
      <c r="S23" s="30">
        <v>43334</v>
      </c>
      <c r="T23" s="30">
        <v>45455</v>
      </c>
      <c r="U23" s="32" t="s">
        <v>225</v>
      </c>
      <c r="V23" s="29">
        <v>5000000</v>
      </c>
      <c r="W23" s="29">
        <v>4</v>
      </c>
      <c r="X23" s="29">
        <v>1.3808800000000001</v>
      </c>
      <c r="Y23" s="29">
        <v>1.18</v>
      </c>
      <c r="Z23" t="str">
        <f t="shared" si="1"/>
        <v>US00206RGD89Sch#0008</v>
      </c>
      <c r="AA23" t="str">
        <f t="shared" si="2"/>
        <v>BBB(S &amp; P)</v>
      </c>
      <c r="AB23">
        <v>101.9111404418945</v>
      </c>
      <c r="AC23" t="s">
        <v>289</v>
      </c>
      <c r="AD23" t="s">
        <v>394</v>
      </c>
    </row>
    <row r="24" spans="1:30" x14ac:dyDescent="0.25">
      <c r="A24" s="31" t="str">
        <f>_xll.qlSchedule(B24,C24,D24,E24,F24,G24,H24,I24,J24,K24,L24,M24,N24,O24)</f>
        <v>US00216NAB55Sch#0008</v>
      </c>
      <c r="B24" s="40" t="str">
        <f t="shared" si="0"/>
        <v>US00216NAB55Sch</v>
      </c>
      <c r="C24" s="41">
        <v>43265</v>
      </c>
      <c r="D24" s="41">
        <v>45091</v>
      </c>
      <c r="E24" s="39" t="str">
        <f>VLOOKUP(W24,Reference!$A$6:$B$8,2,FALSE)</f>
        <v>3M</v>
      </c>
      <c r="F24" s="40" t="str">
        <f>VLOOKUP(U24,Reference!$C$2:$D$6,2,FALSE)</f>
        <v>UnitedStates::Settlement</v>
      </c>
      <c r="G24" s="39" t="s">
        <v>113</v>
      </c>
      <c r="H24" s="39" t="s">
        <v>72</v>
      </c>
      <c r="I24" s="39" t="s">
        <v>114</v>
      </c>
      <c r="J24" s="39" t="b">
        <v>0</v>
      </c>
      <c r="K24" s="39"/>
      <c r="L24" s="39"/>
      <c r="M24" s="39" t="b">
        <v>0</v>
      </c>
      <c r="N24" s="39">
        <f>'ql-USCorp'!$B$5</f>
        <v>1</v>
      </c>
      <c r="O24" s="39" t="b">
        <v>1</v>
      </c>
      <c r="Q24" s="29" t="s">
        <v>279</v>
      </c>
      <c r="R24" s="29" t="s">
        <v>382</v>
      </c>
      <c r="S24" s="30">
        <v>43265</v>
      </c>
      <c r="T24" s="30">
        <v>45091</v>
      </c>
      <c r="U24" s="32" t="s">
        <v>225</v>
      </c>
      <c r="V24" s="29">
        <v>3375000</v>
      </c>
      <c r="W24" s="29">
        <v>4</v>
      </c>
      <c r="X24" s="29">
        <v>1.16825</v>
      </c>
      <c r="Y24" s="29">
        <v>0.97</v>
      </c>
      <c r="Z24" t="str">
        <f t="shared" si="1"/>
        <v>US00216NAB55Sch#0008</v>
      </c>
      <c r="AA24" t="str">
        <f t="shared" si="2"/>
        <v>A1(Moody's)</v>
      </c>
      <c r="AB24">
        <v>101.3308792114258</v>
      </c>
      <c r="AC24" t="s">
        <v>334</v>
      </c>
      <c r="AD24" t="s">
        <v>393</v>
      </c>
    </row>
    <row r="25" spans="1:30" hidden="1" x14ac:dyDescent="0.25">
      <c r="A25" s="31" t="str">
        <f>_xll.qlSchedule(B25,C25,D25,E25,F25,G25,H25,I25,J25,K25,L25,M25,N25,O25)</f>
        <v>US023135BY17Sch#0008</v>
      </c>
      <c r="B25" s="40" t="str">
        <f t="shared" si="0"/>
        <v>US023135BY17Sch</v>
      </c>
      <c r="C25" s="41">
        <v>44328</v>
      </c>
      <c r="D25" s="41">
        <v>46885</v>
      </c>
      <c r="E25" s="39" t="str">
        <f>VLOOKUP(W25,Reference!$A$6:$B$8,2,FALSE)</f>
        <v>6M</v>
      </c>
      <c r="F25" s="40" t="str">
        <f>VLOOKUP(U25,Reference!$C$2:$D$6,2,FALSE)</f>
        <v>UnitedStates::Settlement</v>
      </c>
      <c r="G25" s="39" t="s">
        <v>113</v>
      </c>
      <c r="H25" s="39" t="s">
        <v>72</v>
      </c>
      <c r="I25" s="39" t="s">
        <v>114</v>
      </c>
      <c r="J25" s="39" t="b">
        <v>0</v>
      </c>
      <c r="K25" s="39"/>
      <c r="L25" s="39"/>
      <c r="M25" s="39" t="b">
        <v>0</v>
      </c>
      <c r="N25" s="39">
        <f>'ql-USCorp'!$B$5</f>
        <v>1</v>
      </c>
      <c r="O25" s="39" t="b">
        <v>1</v>
      </c>
      <c r="Q25" s="29" t="s">
        <v>280</v>
      </c>
      <c r="R25" s="29" t="s">
        <v>380</v>
      </c>
      <c r="S25" s="30">
        <v>44328</v>
      </c>
      <c r="T25" s="30">
        <v>46885</v>
      </c>
      <c r="U25" s="32" t="s">
        <v>225</v>
      </c>
      <c r="V25" s="29">
        <v>3000000</v>
      </c>
      <c r="W25" s="29">
        <v>2</v>
      </c>
      <c r="X25" s="29">
        <v>1.65</v>
      </c>
      <c r="Y25" s="29" t="s">
        <v>381</v>
      </c>
      <c r="Z25" t="str">
        <f t="shared" si="1"/>
        <v>US023135BY17Sch#0008</v>
      </c>
      <c r="AA25" t="str">
        <f t="shared" si="2"/>
        <v>AA-(Fitch)</v>
      </c>
      <c r="AB25">
        <v>99.363998413085938</v>
      </c>
      <c r="AC25" t="s">
        <v>335</v>
      </c>
      <c r="AD25" t="s">
        <v>393</v>
      </c>
    </row>
    <row r="26" spans="1:30" hidden="1" x14ac:dyDescent="0.25">
      <c r="A26" s="31" t="str">
        <f>_xll.qlSchedule(B26,C26,D26,E26,F26,G26,H26,I26,J26,K26,L26,M26,N26,O26)</f>
        <v>US037833DY36Sch#0008</v>
      </c>
      <c r="B26" s="40" t="str">
        <f t="shared" si="0"/>
        <v>US037833DY36Sch</v>
      </c>
      <c r="C26" s="41">
        <v>44063</v>
      </c>
      <c r="D26" s="41">
        <v>47715</v>
      </c>
      <c r="E26" s="39" t="str">
        <f>VLOOKUP(W26,Reference!$A$6:$B$8,2,FALSE)</f>
        <v>6M</v>
      </c>
      <c r="F26" s="40" t="str">
        <f>VLOOKUP(U26,Reference!$C$2:$D$6,2,FALSE)</f>
        <v>UnitedStates::Settlement</v>
      </c>
      <c r="G26" s="39" t="s">
        <v>113</v>
      </c>
      <c r="H26" s="39" t="s">
        <v>72</v>
      </c>
      <c r="I26" s="39" t="s">
        <v>114</v>
      </c>
      <c r="J26" s="39" t="b">
        <v>0</v>
      </c>
      <c r="K26" s="39"/>
      <c r="L26" s="39"/>
      <c r="M26" s="39" t="b">
        <v>0</v>
      </c>
      <c r="N26" s="39">
        <f>'ql-USCorp'!$B$5</f>
        <v>1</v>
      </c>
      <c r="O26" s="39" t="b">
        <v>1</v>
      </c>
      <c r="Q26" s="29" t="s">
        <v>281</v>
      </c>
      <c r="R26" s="29" t="s">
        <v>380</v>
      </c>
      <c r="S26" s="30">
        <v>44063</v>
      </c>
      <c r="T26" s="30">
        <v>47715</v>
      </c>
      <c r="U26" s="32" t="s">
        <v>225</v>
      </c>
      <c r="V26" s="29">
        <v>5000000</v>
      </c>
      <c r="W26" s="29">
        <v>2</v>
      </c>
      <c r="X26" s="29">
        <v>1.25</v>
      </c>
      <c r="Y26" s="29" t="s">
        <v>381</v>
      </c>
      <c r="Z26" t="str">
        <f t="shared" si="1"/>
        <v>US037833DY36Sch#0008</v>
      </c>
      <c r="AA26" t="str">
        <f t="shared" si="2"/>
        <v>Aa1(Moody's)</v>
      </c>
      <c r="AB26">
        <v>94.061996459960938</v>
      </c>
      <c r="AC26" t="s">
        <v>336</v>
      </c>
      <c r="AD26" t="s">
        <v>121</v>
      </c>
    </row>
    <row r="27" spans="1:30" hidden="1" x14ac:dyDescent="0.25">
      <c r="A27" s="31" t="str">
        <f>_xll.qlSchedule(B27,C27,D27,E27,F27,G27,H27,I27,J27,K27,L27,M27,N27,O27)</f>
        <v>US037833ED89Sch#0008</v>
      </c>
      <c r="B27" s="40" t="str">
        <f t="shared" si="0"/>
        <v>US037833ED89Sch</v>
      </c>
      <c r="C27" s="41">
        <v>44235</v>
      </c>
      <c r="D27" s="41">
        <v>47887</v>
      </c>
      <c r="E27" s="39" t="str">
        <f>VLOOKUP(W27,Reference!$A$6:$B$8,2,FALSE)</f>
        <v>6M</v>
      </c>
      <c r="F27" s="40" t="str">
        <f>VLOOKUP(U27,Reference!$C$2:$D$6,2,FALSE)</f>
        <v>UnitedStates::Settlement</v>
      </c>
      <c r="G27" s="39" t="s">
        <v>113</v>
      </c>
      <c r="H27" s="39" t="s">
        <v>72</v>
      </c>
      <c r="I27" s="39" t="s">
        <v>114</v>
      </c>
      <c r="J27" s="39" t="b">
        <v>0</v>
      </c>
      <c r="K27" s="39"/>
      <c r="L27" s="39"/>
      <c r="M27" s="39" t="b">
        <v>0</v>
      </c>
      <c r="N27" s="39">
        <f>'ql-USCorp'!$B$5</f>
        <v>1</v>
      </c>
      <c r="O27" s="39" t="b">
        <v>1</v>
      </c>
      <c r="Q27" s="29" t="s">
        <v>282</v>
      </c>
      <c r="R27" s="29" t="s">
        <v>380</v>
      </c>
      <c r="S27" s="30">
        <v>44235</v>
      </c>
      <c r="T27" s="30">
        <v>47887</v>
      </c>
      <c r="U27" s="32" t="s">
        <v>225</v>
      </c>
      <c r="V27" s="29">
        <v>5000000</v>
      </c>
      <c r="W27" s="29">
        <v>2</v>
      </c>
      <c r="X27" s="29">
        <v>1.65</v>
      </c>
      <c r="Y27" s="29" t="s">
        <v>381</v>
      </c>
      <c r="Z27" t="str">
        <f t="shared" si="1"/>
        <v>US037833ED89Sch#0008</v>
      </c>
      <c r="AA27" t="str">
        <f t="shared" si="2"/>
        <v>Aa1(Moody's)</v>
      </c>
      <c r="AB27">
        <v>96.692001342773438</v>
      </c>
      <c r="AC27" t="s">
        <v>337</v>
      </c>
      <c r="AD27" t="s">
        <v>394</v>
      </c>
    </row>
    <row r="28" spans="1:30" x14ac:dyDescent="0.25">
      <c r="A28" s="31" t="str">
        <f>_xll.qlSchedule(B28,C28,D28,E28,F28,G28,H28,I28,J28,K28,L28,M28,N28,O28)</f>
        <v>US05252BCZ04Sch#0008</v>
      </c>
      <c r="B28" s="40" t="str">
        <f t="shared" si="0"/>
        <v>US05252BCZ04Sch</v>
      </c>
      <c r="C28" s="41">
        <v>43048</v>
      </c>
      <c r="D28" s="41">
        <v>44874</v>
      </c>
      <c r="E28" s="39" t="str">
        <f>VLOOKUP(W28,Reference!$A$6:$B$8,2,FALSE)</f>
        <v>3M</v>
      </c>
      <c r="F28" s="40" t="str">
        <f>VLOOKUP(U28,Reference!$C$2:$D$6,2,FALSE)</f>
        <v>UnitedStates::Settlement</v>
      </c>
      <c r="G28" s="39" t="s">
        <v>113</v>
      </c>
      <c r="H28" s="39" t="s">
        <v>72</v>
      </c>
      <c r="I28" s="39" t="s">
        <v>114</v>
      </c>
      <c r="J28" s="39" t="b">
        <v>0</v>
      </c>
      <c r="K28" s="39"/>
      <c r="L28" s="39"/>
      <c r="M28" s="39" t="b">
        <v>0</v>
      </c>
      <c r="N28" s="39">
        <f>'ql-USCorp'!$B$5</f>
        <v>1</v>
      </c>
      <c r="O28" s="39" t="b">
        <v>1</v>
      </c>
      <c r="Q28" s="29" t="s">
        <v>283</v>
      </c>
      <c r="R28" s="29" t="s">
        <v>382</v>
      </c>
      <c r="S28" s="30">
        <v>43048</v>
      </c>
      <c r="T28" s="30">
        <v>44874</v>
      </c>
      <c r="U28" s="32" t="s">
        <v>225</v>
      </c>
      <c r="V28" s="29">
        <v>2300000</v>
      </c>
      <c r="W28" s="29">
        <v>4</v>
      </c>
      <c r="X28" s="29">
        <v>0.72275</v>
      </c>
      <c r="Y28" s="29">
        <v>0.57999999999999996</v>
      </c>
      <c r="Z28" t="str">
        <f t="shared" si="1"/>
        <v>US05252BCZ04Sch#0008</v>
      </c>
      <c r="AA28" t="str">
        <f t="shared" si="2"/>
        <v>Aa3(Moody's)</v>
      </c>
      <c r="AB28">
        <v>100.41400146484381</v>
      </c>
      <c r="AC28" t="s">
        <v>338</v>
      </c>
      <c r="AD28" t="s">
        <v>395</v>
      </c>
    </row>
    <row r="29" spans="1:30" hidden="1" x14ac:dyDescent="0.25">
      <c r="A29" s="31" t="str">
        <f>_xll.qlSchedule(B29,C29,D29,E29,F29,G29,H29,I29,J29,K29,L29,M29,N29,O29)</f>
        <v>US06407F2C54Sch#0008</v>
      </c>
      <c r="B29" s="40" t="str">
        <f t="shared" si="0"/>
        <v>US06407F2C54Sch</v>
      </c>
      <c r="C29" s="41">
        <v>44258</v>
      </c>
      <c r="D29" s="41">
        <v>46084</v>
      </c>
      <c r="E29" s="39" t="str">
        <f>VLOOKUP(W29,Reference!$A$6:$B$8,2,FALSE)</f>
        <v>6M</v>
      </c>
      <c r="F29" s="40" t="str">
        <f>VLOOKUP(U29,Reference!$C$2:$D$6,2,FALSE)</f>
        <v>UnitedStates::Settlement</v>
      </c>
      <c r="G29" s="39" t="s">
        <v>113</v>
      </c>
      <c r="H29" s="39" t="s">
        <v>72</v>
      </c>
      <c r="I29" s="39" t="s">
        <v>114</v>
      </c>
      <c r="J29" s="39" t="b">
        <v>0</v>
      </c>
      <c r="K29" s="39"/>
      <c r="L29" s="39"/>
      <c r="M29" s="39" t="b">
        <v>0</v>
      </c>
      <c r="N29" s="39">
        <f>'ql-USCorp'!$B$5</f>
        <v>1</v>
      </c>
      <c r="O29" s="39" t="b">
        <v>1</v>
      </c>
      <c r="Q29" s="29" t="s">
        <v>284</v>
      </c>
      <c r="R29" s="29" t="s">
        <v>380</v>
      </c>
      <c r="S29" s="30">
        <v>44258</v>
      </c>
      <c r="T29" s="30">
        <v>46084</v>
      </c>
      <c r="U29" s="32" t="s">
        <v>225</v>
      </c>
      <c r="V29" s="29">
        <v>3000000</v>
      </c>
      <c r="W29" s="29">
        <v>2</v>
      </c>
      <c r="X29" s="29">
        <v>1</v>
      </c>
      <c r="Y29" s="29" t="s">
        <v>381</v>
      </c>
      <c r="Z29" t="str">
        <f t="shared" si="1"/>
        <v>US06407F2C54Sch#0008</v>
      </c>
      <c r="AA29" t="str">
        <f t="shared" si="2"/>
        <v>A1(Moody's)</v>
      </c>
      <c r="AB29">
        <v>97.255996704101563</v>
      </c>
      <c r="AC29" t="s">
        <v>303</v>
      </c>
      <c r="AD29" t="s">
        <v>394</v>
      </c>
    </row>
    <row r="30" spans="1:30" x14ac:dyDescent="0.25">
      <c r="A30" s="31" t="str">
        <f>_xll.qlSchedule(B30,C30,D30,E30,F30,G30,H30,I30,J30,K30,L30,M30,N30,O30)</f>
        <v>US064159JF41Sch#0008</v>
      </c>
      <c r="B30" s="40" t="str">
        <f t="shared" si="0"/>
        <v>US064159JF41Sch</v>
      </c>
      <c r="C30" s="41">
        <v>42801</v>
      </c>
      <c r="D30" s="41">
        <v>44627</v>
      </c>
      <c r="E30" s="39" t="str">
        <f>VLOOKUP(W30,Reference!$A$6:$B$8,2,FALSE)</f>
        <v>3M</v>
      </c>
      <c r="F30" s="40" t="str">
        <f>VLOOKUP(U30,Reference!$C$2:$D$6,2,FALSE)</f>
        <v>UnitedStates::Settlement</v>
      </c>
      <c r="G30" s="39" t="s">
        <v>113</v>
      </c>
      <c r="H30" s="39" t="s">
        <v>72</v>
      </c>
      <c r="I30" s="39" t="s">
        <v>114</v>
      </c>
      <c r="J30" s="39" t="b">
        <v>0</v>
      </c>
      <c r="K30" s="39"/>
      <c r="L30" s="39"/>
      <c r="M30" s="39" t="b">
        <v>0</v>
      </c>
      <c r="N30" s="39">
        <f>'ql-USCorp'!$B$5</f>
        <v>1</v>
      </c>
      <c r="O30" s="39" t="b">
        <v>1</v>
      </c>
      <c r="Q30" s="29" t="s">
        <v>285</v>
      </c>
      <c r="R30" s="29" t="s">
        <v>382</v>
      </c>
      <c r="S30" s="30">
        <v>42801</v>
      </c>
      <c r="T30" s="30">
        <v>44627</v>
      </c>
      <c r="U30" s="32" t="s">
        <v>225</v>
      </c>
      <c r="V30" s="29">
        <v>5000000</v>
      </c>
      <c r="W30" s="29">
        <v>4</v>
      </c>
      <c r="X30" s="29">
        <v>0.82762999999999998</v>
      </c>
      <c r="Y30" s="29">
        <v>0.64</v>
      </c>
      <c r="Z30" t="str">
        <f t="shared" si="1"/>
        <v>US064159JF41Sch#0008</v>
      </c>
      <c r="AA30" t="str">
        <f t="shared" si="2"/>
        <v>Aa2(Moody's)</v>
      </c>
      <c r="AB30">
        <v>100.1279983520508</v>
      </c>
      <c r="AC30" t="s">
        <v>304</v>
      </c>
      <c r="AD30" t="s">
        <v>393</v>
      </c>
    </row>
    <row r="31" spans="1:30" x14ac:dyDescent="0.25">
      <c r="A31" s="31" t="str">
        <f>_xll.qlSchedule(B31,C31,D31,E31,F31,G31,H31,I31,J31,K31,L31,M31,N31,O31)</f>
        <v>US136069TZ40Sch#0008</v>
      </c>
      <c r="B31" s="40" t="str">
        <f t="shared" si="0"/>
        <v>US136069TZ40Sch</v>
      </c>
      <c r="C31" s="41">
        <v>42902</v>
      </c>
      <c r="D31" s="41">
        <v>44728</v>
      </c>
      <c r="E31" s="39" t="str">
        <f>VLOOKUP(W31,Reference!$A$6:$B$8,2,FALSE)</f>
        <v>3M</v>
      </c>
      <c r="F31" s="40" t="str">
        <f>VLOOKUP(U31,Reference!$C$2:$D$6,2,FALSE)</f>
        <v>UnitedStates::Settlement</v>
      </c>
      <c r="G31" s="39" t="s">
        <v>113</v>
      </c>
      <c r="H31" s="39" t="s">
        <v>72</v>
      </c>
      <c r="I31" s="39" t="s">
        <v>114</v>
      </c>
      <c r="J31" s="39" t="b">
        <v>0</v>
      </c>
      <c r="K31" s="39"/>
      <c r="L31" s="39"/>
      <c r="M31" s="39" t="b">
        <v>0</v>
      </c>
      <c r="N31" s="39">
        <f>'ql-USCorp'!$B$5</f>
        <v>1</v>
      </c>
      <c r="O31" s="39" t="b">
        <v>1</v>
      </c>
      <c r="Q31" s="29" t="s">
        <v>286</v>
      </c>
      <c r="R31" s="29" t="s">
        <v>382</v>
      </c>
      <c r="S31" s="30">
        <v>42902</v>
      </c>
      <c r="T31" s="30">
        <v>44728</v>
      </c>
      <c r="U31" s="32" t="s">
        <v>225</v>
      </c>
      <c r="V31" s="29">
        <v>4000000</v>
      </c>
      <c r="W31" s="29">
        <v>4</v>
      </c>
      <c r="X31" s="29">
        <v>0.93088000000000004</v>
      </c>
      <c r="Y31" s="29">
        <v>0.72</v>
      </c>
      <c r="Z31" t="str">
        <f t="shared" si="1"/>
        <v>US136069TZ40Sch#0008</v>
      </c>
      <c r="AA31" t="str">
        <f t="shared" si="2"/>
        <v>Aa2(Moody's)</v>
      </c>
      <c r="AB31">
        <v>100.3369979858398</v>
      </c>
      <c r="AC31" t="s">
        <v>340</v>
      </c>
      <c r="AD31" t="s">
        <v>387</v>
      </c>
    </row>
    <row r="32" spans="1:30" hidden="1" x14ac:dyDescent="0.25">
      <c r="A32" s="31" t="str">
        <f>_xll.qlSchedule(B32,C32,D32,E32,F32,G32,H32,I32,J32,K32,L32,M32,N32,O32)</f>
        <v>US15238RAG74Sch#0008</v>
      </c>
      <c r="B32" s="40" t="str">
        <f t="shared" si="0"/>
        <v>US15238RAG74Sch</v>
      </c>
      <c r="C32" s="41">
        <v>44236</v>
      </c>
      <c r="D32" s="41">
        <v>46062</v>
      </c>
      <c r="E32" s="39" t="str">
        <f>VLOOKUP(W32,Reference!$A$6:$B$8,2,FALSE)</f>
        <v>6M</v>
      </c>
      <c r="F32" s="40" t="str">
        <f>VLOOKUP(U32,Reference!$C$2:$D$6,2,FALSE)</f>
        <v>UnitedStates::Settlement</v>
      </c>
      <c r="G32" s="39" t="s">
        <v>113</v>
      </c>
      <c r="H32" s="39" t="s">
        <v>72</v>
      </c>
      <c r="I32" s="39" t="s">
        <v>114</v>
      </c>
      <c r="J32" s="39" t="b">
        <v>0</v>
      </c>
      <c r="K32" s="39"/>
      <c r="L32" s="39"/>
      <c r="M32" s="39" t="b">
        <v>0</v>
      </c>
      <c r="N32" s="39">
        <f>'ql-USCorp'!$B$5</f>
        <v>1</v>
      </c>
      <c r="O32" s="39" t="b">
        <v>1</v>
      </c>
      <c r="Q32" s="29" t="s">
        <v>287</v>
      </c>
      <c r="R32" s="29" t="s">
        <v>380</v>
      </c>
      <c r="S32" s="30">
        <v>44236</v>
      </c>
      <c r="T32" s="30">
        <v>46062</v>
      </c>
      <c r="U32" s="32" t="s">
        <v>225</v>
      </c>
      <c r="V32" s="29">
        <v>5000000</v>
      </c>
      <c r="W32" s="29">
        <v>2</v>
      </c>
      <c r="X32" s="29">
        <v>1.1399999999999999</v>
      </c>
      <c r="Y32" s="29" t="s">
        <v>381</v>
      </c>
      <c r="Z32" t="str">
        <f t="shared" si="1"/>
        <v>US15238RAG74Sch#0008</v>
      </c>
      <c r="AA32" t="str">
        <f t="shared" si="2"/>
        <v>Aa3(Moody's)</v>
      </c>
      <c r="AB32">
        <v>98.521003723144531</v>
      </c>
      <c r="AC32" t="s">
        <v>341</v>
      </c>
      <c r="AD32" t="s">
        <v>388</v>
      </c>
    </row>
    <row r="33" spans="1:30" hidden="1" x14ac:dyDescent="0.25">
      <c r="A33" s="31" t="str">
        <f>_xll.qlSchedule(B33,C33,D33,E33,F33,G33,H33,I33,J33,K33,L33,M33,N33,O33)</f>
        <v>US191216DD90Sch#0008</v>
      </c>
      <c r="B33" s="40" t="str">
        <f t="shared" si="0"/>
        <v>US191216DD90Sch</v>
      </c>
      <c r="C33" s="41">
        <v>44092</v>
      </c>
      <c r="D33" s="41">
        <v>46827</v>
      </c>
      <c r="E33" s="39" t="str">
        <f>VLOOKUP(W33,Reference!$A$6:$B$8,2,FALSE)</f>
        <v>6M</v>
      </c>
      <c r="F33" s="40" t="str">
        <f>VLOOKUP(U33,Reference!$C$2:$D$6,2,FALSE)</f>
        <v>UnitedStates::Settlement</v>
      </c>
      <c r="G33" s="39" t="s">
        <v>113</v>
      </c>
      <c r="H33" s="39" t="s">
        <v>72</v>
      </c>
      <c r="I33" s="39" t="s">
        <v>114</v>
      </c>
      <c r="J33" s="39" t="b">
        <v>0</v>
      </c>
      <c r="K33" s="39"/>
      <c r="L33" s="39"/>
      <c r="M33" s="39" t="b">
        <v>0</v>
      </c>
      <c r="N33" s="39">
        <f>'ql-USCorp'!$B$5</f>
        <v>1</v>
      </c>
      <c r="O33" s="39" t="b">
        <v>1</v>
      </c>
      <c r="Q33" s="29" t="s">
        <v>288</v>
      </c>
      <c r="R33" s="29" t="s">
        <v>380</v>
      </c>
      <c r="S33" s="30">
        <v>44092</v>
      </c>
      <c r="T33" s="30">
        <v>46827</v>
      </c>
      <c r="U33" s="32" t="s">
        <v>225</v>
      </c>
      <c r="V33" s="29">
        <v>5000000</v>
      </c>
      <c r="W33" s="29">
        <v>2</v>
      </c>
      <c r="X33" s="29">
        <v>1</v>
      </c>
      <c r="Y33" s="29" t="s">
        <v>381</v>
      </c>
      <c r="Z33" t="str">
        <f t="shared" si="1"/>
        <v>US191216DD90Sch#0008</v>
      </c>
      <c r="AA33" t="str">
        <f t="shared" si="2"/>
        <v>A1(Moody's)</v>
      </c>
      <c r="AB33">
        <v>95.317001342773438</v>
      </c>
      <c r="AC33" t="s">
        <v>342</v>
      </c>
      <c r="AD33" t="s">
        <v>389</v>
      </c>
    </row>
    <row r="34" spans="1:30" x14ac:dyDescent="0.25">
      <c r="A34" s="31" t="str">
        <f>_xll.qlSchedule(B34,C34,D34,E34,F34,G34,H34,I34,J34,K34,L34,M34,N34,O34)</f>
        <v>US21688AAM45Sch#0008</v>
      </c>
      <c r="B34" s="40" t="str">
        <f t="shared" si="0"/>
        <v>US21688AAM45Sch</v>
      </c>
      <c r="C34" s="41">
        <v>43110</v>
      </c>
      <c r="D34" s="41">
        <v>44936</v>
      </c>
      <c r="E34" s="39" t="str">
        <f>VLOOKUP(W34,Reference!$A$6:$B$8,2,FALSE)</f>
        <v>3M</v>
      </c>
      <c r="F34" s="40" t="str">
        <f>VLOOKUP(U34,Reference!$C$2:$D$6,2,FALSE)</f>
        <v>UnitedStates::Settlement</v>
      </c>
      <c r="G34" s="39" t="s">
        <v>113</v>
      </c>
      <c r="H34" s="39" t="s">
        <v>72</v>
      </c>
      <c r="I34" s="39" t="s">
        <v>114</v>
      </c>
      <c r="J34" s="39" t="b">
        <v>0</v>
      </c>
      <c r="K34" s="39"/>
      <c r="L34" s="39"/>
      <c r="M34" s="39" t="b">
        <v>0</v>
      </c>
      <c r="N34" s="39">
        <f>'ql-USCorp'!$B$5</f>
        <v>1</v>
      </c>
      <c r="O34" s="39" t="b">
        <v>1</v>
      </c>
      <c r="Q34" s="29" t="s">
        <v>289</v>
      </c>
      <c r="R34" s="29" t="s">
        <v>382</v>
      </c>
      <c r="S34" s="30">
        <v>43110</v>
      </c>
      <c r="T34" s="30">
        <v>44936</v>
      </c>
      <c r="U34" s="32" t="s">
        <v>225</v>
      </c>
      <c r="V34" s="29">
        <v>10000000</v>
      </c>
      <c r="W34" s="29">
        <v>4</v>
      </c>
      <c r="X34" s="29">
        <v>0.60113000000000005</v>
      </c>
      <c r="Y34" s="29">
        <v>0.48</v>
      </c>
      <c r="Z34" t="str">
        <f t="shared" si="1"/>
        <v>US21688AAM45Sch#0008</v>
      </c>
      <c r="AA34" t="str">
        <f t="shared" si="2"/>
        <v>A+(S &amp; P)</v>
      </c>
      <c r="AB34">
        <v>100.3460006713867</v>
      </c>
      <c r="AC34" t="s">
        <v>343</v>
      </c>
      <c r="AD34" t="s">
        <v>387</v>
      </c>
    </row>
    <row r="35" spans="1:30" hidden="1" x14ac:dyDescent="0.25">
      <c r="A35" s="31" t="str">
        <f>_xll.qlSchedule(B35,C35,D35,E35,F35,G35,H35,I35,J35,K35,L35,M35,N35,O35)</f>
        <v>US742718FM66Sch#0008</v>
      </c>
      <c r="B35" s="40" t="str">
        <f t="shared" si="0"/>
        <v>US742718FM66Sch</v>
      </c>
      <c r="C35" s="41">
        <v>44133</v>
      </c>
      <c r="D35" s="41">
        <v>47785</v>
      </c>
      <c r="E35" s="39" t="str">
        <f>VLOOKUP(W35,Reference!$A$6:$B$8,2,FALSE)</f>
        <v>6M</v>
      </c>
      <c r="F35" s="40" t="str">
        <f>VLOOKUP(U35,Reference!$C$2:$D$6,2,FALSE)</f>
        <v>UnitedStates::Settlement</v>
      </c>
      <c r="G35" s="39" t="s">
        <v>113</v>
      </c>
      <c r="H35" s="39" t="s">
        <v>72</v>
      </c>
      <c r="I35" s="39" t="s">
        <v>114</v>
      </c>
      <c r="J35" s="39" t="b">
        <v>0</v>
      </c>
      <c r="K35" s="39"/>
      <c r="L35" s="39"/>
      <c r="M35" s="39" t="b">
        <v>0</v>
      </c>
      <c r="N35" s="39">
        <f>'ql-USCorp'!$B$5</f>
        <v>1</v>
      </c>
      <c r="O35" s="39" t="b">
        <v>1</v>
      </c>
      <c r="Q35" s="29" t="s">
        <v>290</v>
      </c>
      <c r="R35" s="29" t="s">
        <v>380</v>
      </c>
      <c r="S35" s="30">
        <v>44133</v>
      </c>
      <c r="T35" s="30">
        <v>47785</v>
      </c>
      <c r="U35" s="32" t="s">
        <v>225</v>
      </c>
      <c r="V35" s="29">
        <v>5000000</v>
      </c>
      <c r="W35" s="29">
        <v>2</v>
      </c>
      <c r="X35" s="29">
        <v>1.2</v>
      </c>
      <c r="Y35" s="29" t="s">
        <v>381</v>
      </c>
      <c r="Z35" t="str">
        <f t="shared" si="1"/>
        <v>US742718FM66Sch#0008</v>
      </c>
      <c r="AA35" t="str">
        <f t="shared" si="2"/>
        <v>Aa3(Moody's)</v>
      </c>
      <c r="AB35">
        <v>94.516998291015625</v>
      </c>
      <c r="AC35" t="s">
        <v>344</v>
      </c>
      <c r="AD35" t="s">
        <v>121</v>
      </c>
    </row>
    <row r="36" spans="1:30" hidden="1" x14ac:dyDescent="0.25">
      <c r="A36" s="31" t="str">
        <f>_xll.qlSchedule(B36,C36,D36,E36,F36,G36,H36,I36,J36,K36,L36,M36,N36,O36)</f>
        <v>US892331AD13Sch#0008</v>
      </c>
      <c r="B36" s="40" t="str">
        <f t="shared" si="0"/>
        <v>US892331AD13Sch</v>
      </c>
      <c r="C36" s="41">
        <v>43301</v>
      </c>
      <c r="D36" s="41">
        <v>46954</v>
      </c>
      <c r="E36" s="39" t="str">
        <f>VLOOKUP(W36,Reference!$A$6:$B$8,2,FALSE)</f>
        <v>6M</v>
      </c>
      <c r="F36" s="40" t="str">
        <f>VLOOKUP(U36,Reference!$C$2:$D$6,2,FALSE)</f>
        <v>UnitedStates::Settlement</v>
      </c>
      <c r="G36" s="39" t="s">
        <v>113</v>
      </c>
      <c r="H36" s="39" t="s">
        <v>72</v>
      </c>
      <c r="I36" s="39" t="s">
        <v>114</v>
      </c>
      <c r="J36" s="39" t="b">
        <v>0</v>
      </c>
      <c r="K36" s="39"/>
      <c r="L36" s="39"/>
      <c r="M36" s="39" t="b">
        <v>0</v>
      </c>
      <c r="N36" s="39">
        <f>'ql-USCorp'!$B$5</f>
        <v>1</v>
      </c>
      <c r="O36" s="39" t="b">
        <v>1</v>
      </c>
      <c r="Q36" s="29" t="s">
        <v>291</v>
      </c>
      <c r="R36" s="29" t="s">
        <v>380</v>
      </c>
      <c r="S36" s="30">
        <v>43301</v>
      </c>
      <c r="T36" s="30">
        <v>46954</v>
      </c>
      <c r="U36" s="32" t="s">
        <v>225</v>
      </c>
      <c r="V36" s="29">
        <v>3000000</v>
      </c>
      <c r="W36" s="29">
        <v>2</v>
      </c>
      <c r="X36" s="29">
        <v>3.669</v>
      </c>
      <c r="Y36" s="29" t="s">
        <v>381</v>
      </c>
      <c r="Z36" t="str">
        <f t="shared" si="1"/>
        <v>US892331AD13Sch#0008</v>
      </c>
      <c r="AA36" t="s">
        <v>391</v>
      </c>
      <c r="AB36" t="e">
        <v>#N/A</v>
      </c>
      <c r="AC36" t="s">
        <v>345</v>
      </c>
      <c r="AD36" t="s">
        <v>394</v>
      </c>
    </row>
    <row r="37" spans="1:30" hidden="1" x14ac:dyDescent="0.25">
      <c r="A37" s="31" t="str">
        <f>_xll.qlSchedule(B37,C37,D37,E37,F37,G37,H37,I37,J37,K37,L37,M37,N37,O37)</f>
        <v>US892331AM12Sch#0008</v>
      </c>
      <c r="B37" s="40" t="str">
        <f t="shared" si="0"/>
        <v>US892331AM12Sch</v>
      </c>
      <c r="C37" s="41">
        <v>44280</v>
      </c>
      <c r="D37" s="41">
        <v>46106</v>
      </c>
      <c r="E37" s="39" t="str">
        <f>VLOOKUP(W37,Reference!$A$6:$B$8,2,FALSE)</f>
        <v>6M</v>
      </c>
      <c r="F37" s="40" t="str">
        <f>VLOOKUP(U37,Reference!$C$2:$D$6,2,FALSE)</f>
        <v>UnitedStates::Settlement</v>
      </c>
      <c r="G37" s="39" t="s">
        <v>113</v>
      </c>
      <c r="H37" s="39" t="s">
        <v>72</v>
      </c>
      <c r="I37" s="39" t="s">
        <v>114</v>
      </c>
      <c r="J37" s="39" t="b">
        <v>0</v>
      </c>
      <c r="K37" s="39"/>
      <c r="L37" s="39"/>
      <c r="M37" s="39" t="b">
        <v>0</v>
      </c>
      <c r="N37" s="39">
        <f>'ql-USCorp'!$B$5</f>
        <v>1</v>
      </c>
      <c r="O37" s="39" t="b">
        <v>1</v>
      </c>
      <c r="Q37" s="29" t="s">
        <v>292</v>
      </c>
      <c r="R37" s="29" t="s">
        <v>380</v>
      </c>
      <c r="S37" s="30">
        <v>44280</v>
      </c>
      <c r="T37" s="30">
        <v>46106</v>
      </c>
      <c r="U37" s="32" t="s">
        <v>225</v>
      </c>
      <c r="V37" s="29">
        <v>5000000</v>
      </c>
      <c r="W37" s="29">
        <v>2</v>
      </c>
      <c r="X37" s="29">
        <v>1.339</v>
      </c>
      <c r="Y37" s="29" t="s">
        <v>381</v>
      </c>
      <c r="Z37" t="str">
        <f t="shared" si="1"/>
        <v>US892331AM12Sch#0008</v>
      </c>
      <c r="AA37" t="str">
        <f t="shared" si="2"/>
        <v>A+(Fitch)</v>
      </c>
      <c r="AB37">
        <v>99.258003234863281</v>
      </c>
      <c r="AC37" t="s">
        <v>307</v>
      </c>
      <c r="AD37" t="s">
        <v>389</v>
      </c>
    </row>
    <row r="38" spans="1:30" hidden="1" x14ac:dyDescent="0.25">
      <c r="A38" s="31" t="str">
        <f>_xll.qlSchedule(B38,C38,D38,E38,F38,G38,H38,I38,J38,K38,L38,M38,N38,O38)</f>
        <v>US91282CAV37Sch#0008</v>
      </c>
      <c r="B38" s="40" t="str">
        <f t="shared" si="0"/>
        <v>US91282CAV37Sch</v>
      </c>
      <c r="C38" s="41">
        <v>44151</v>
      </c>
      <c r="D38" s="41">
        <v>47802</v>
      </c>
      <c r="E38" s="39" t="str">
        <f>VLOOKUP(W38,Reference!$A$6:$B$8,2,FALSE)</f>
        <v>6M</v>
      </c>
      <c r="F38" s="40" t="str">
        <f>VLOOKUP(U38,Reference!$C$2:$D$6,2,FALSE)</f>
        <v>UnitedStates::Settlement</v>
      </c>
      <c r="G38" s="39" t="s">
        <v>113</v>
      </c>
      <c r="H38" s="39" t="s">
        <v>72</v>
      </c>
      <c r="I38" s="39" t="s">
        <v>114</v>
      </c>
      <c r="J38" s="39" t="b">
        <v>0</v>
      </c>
      <c r="K38" s="39"/>
      <c r="L38" s="39"/>
      <c r="M38" s="39" t="b">
        <v>0</v>
      </c>
      <c r="N38" s="39">
        <f>'ql-USCorp'!$B$5</f>
        <v>1</v>
      </c>
      <c r="O38" s="39" t="b">
        <v>1</v>
      </c>
      <c r="Q38" s="29" t="s">
        <v>293</v>
      </c>
      <c r="R38" s="29" t="s">
        <v>380</v>
      </c>
      <c r="S38" s="30">
        <v>44151</v>
      </c>
      <c r="T38" s="30">
        <v>47802</v>
      </c>
      <c r="U38" s="32" t="s">
        <v>225</v>
      </c>
      <c r="V38" s="29">
        <v>15000000</v>
      </c>
      <c r="W38" s="29">
        <v>2</v>
      </c>
      <c r="X38" s="29">
        <v>0.875</v>
      </c>
      <c r="Y38" s="29" t="s">
        <v>381</v>
      </c>
      <c r="Z38" t="str">
        <f t="shared" si="1"/>
        <v>US91282CAV37Sch#0008</v>
      </c>
      <c r="AA38" t="str">
        <f t="shared" si="2"/>
        <v>Aaa(Moody's)</v>
      </c>
      <c r="AB38">
        <v>95.156255000000002</v>
      </c>
      <c r="AC38" t="s">
        <v>346</v>
      </c>
      <c r="AD38" t="s">
        <v>392</v>
      </c>
    </row>
    <row r="39" spans="1:30" hidden="1" x14ac:dyDescent="0.25">
      <c r="A39" s="31" t="str">
        <f>_xll.qlSchedule(B39,C39,D39,E39,F39,G39,H39,I39,J39,K39,L39,M39,N39,O39)</f>
        <v>US92343VFL36Sch#0008</v>
      </c>
      <c r="B39" s="40" t="str">
        <f t="shared" si="0"/>
        <v>US92343VFL36Sch</v>
      </c>
      <c r="C39" s="41">
        <v>44092</v>
      </c>
      <c r="D39" s="41">
        <v>47744</v>
      </c>
      <c r="E39" s="39" t="str">
        <f>VLOOKUP(W39,Reference!$A$6:$B$8,2,FALSE)</f>
        <v>6M</v>
      </c>
      <c r="F39" s="40" t="str">
        <f>VLOOKUP(U39,Reference!$C$2:$D$6,2,FALSE)</f>
        <v>UnitedStates::Settlement</v>
      </c>
      <c r="G39" s="39" t="s">
        <v>113</v>
      </c>
      <c r="H39" s="39" t="s">
        <v>72</v>
      </c>
      <c r="I39" s="39" t="s">
        <v>114</v>
      </c>
      <c r="J39" s="39" t="b">
        <v>0</v>
      </c>
      <c r="K39" s="39"/>
      <c r="L39" s="39"/>
      <c r="M39" s="39" t="b">
        <v>0</v>
      </c>
      <c r="N39" s="39">
        <f>'ql-USCorp'!$B$5</f>
        <v>1</v>
      </c>
      <c r="O39" s="39" t="b">
        <v>1</v>
      </c>
      <c r="Q39" s="29" t="s">
        <v>294</v>
      </c>
      <c r="R39" s="29" t="s">
        <v>380</v>
      </c>
      <c r="S39" s="30">
        <v>44092</v>
      </c>
      <c r="T39" s="30">
        <v>47744</v>
      </c>
      <c r="U39" s="32" t="s">
        <v>225</v>
      </c>
      <c r="V39" s="29">
        <v>5000000</v>
      </c>
      <c r="W39" s="29">
        <v>2</v>
      </c>
      <c r="X39" s="29">
        <v>1.5</v>
      </c>
      <c r="Y39" s="29" t="s">
        <v>381</v>
      </c>
      <c r="Z39" t="str">
        <f t="shared" si="1"/>
        <v>US92343VFL36Sch#0008</v>
      </c>
      <c r="AA39" t="str">
        <f t="shared" si="2"/>
        <v>BBB+(S &amp; P)</v>
      </c>
      <c r="AB39">
        <v>93.485000610351563</v>
      </c>
      <c r="AC39" t="s">
        <v>347</v>
      </c>
      <c r="AD39" t="s">
        <v>389</v>
      </c>
    </row>
    <row r="40" spans="1:30" x14ac:dyDescent="0.25">
      <c r="A40" s="31" t="str">
        <f>_xll.qlSchedule(B40,C40,D40,E40,F40,G40,H40,I40,J40,K40,L40,M40,N40,O40)</f>
        <v>US961214DT74Sch#0008</v>
      </c>
      <c r="B40" s="40" t="str">
        <f t="shared" si="0"/>
        <v>US961214DT74Sch</v>
      </c>
      <c r="C40" s="41">
        <v>43080</v>
      </c>
      <c r="D40" s="41">
        <v>44937</v>
      </c>
      <c r="E40" s="39" t="str">
        <f>VLOOKUP(W40,Reference!$A$6:$B$8,2,FALSE)</f>
        <v>3M</v>
      </c>
      <c r="F40" s="40" t="str">
        <f>VLOOKUP(U40,Reference!$C$2:$D$6,2,FALSE)</f>
        <v>UnitedStates::Settlement</v>
      </c>
      <c r="G40" s="39" t="s">
        <v>113</v>
      </c>
      <c r="H40" s="39" t="s">
        <v>72</v>
      </c>
      <c r="I40" s="39" t="s">
        <v>114</v>
      </c>
      <c r="J40" s="39" t="b">
        <v>0</v>
      </c>
      <c r="K40" s="39"/>
      <c r="L40" s="39"/>
      <c r="M40" s="39" t="b">
        <v>0</v>
      </c>
      <c r="N40" s="39">
        <f>'ql-USCorp'!$B$5</f>
        <v>1</v>
      </c>
      <c r="O40" s="39" t="b">
        <v>1</v>
      </c>
      <c r="Q40" s="29" t="s">
        <v>295</v>
      </c>
      <c r="R40" s="29" t="s">
        <v>382</v>
      </c>
      <c r="S40" s="30">
        <v>43080</v>
      </c>
      <c r="T40" s="30">
        <v>44937</v>
      </c>
      <c r="U40" s="32" t="s">
        <v>225</v>
      </c>
      <c r="V40" s="29">
        <v>5000000</v>
      </c>
      <c r="W40" s="29">
        <v>4</v>
      </c>
      <c r="X40" s="29">
        <v>0.69113000000000002</v>
      </c>
      <c r="Y40" s="29">
        <v>0.56999999999999995</v>
      </c>
      <c r="Z40" t="str">
        <f t="shared" si="1"/>
        <v>US961214DT74Sch#0008</v>
      </c>
      <c r="AA40" t="str">
        <f t="shared" si="2"/>
        <v>Aa3(Moody's)</v>
      </c>
      <c r="AB40">
        <v>100.5120010375977</v>
      </c>
      <c r="AC40" t="s">
        <v>348</v>
      </c>
      <c r="AD40" t="s">
        <v>387</v>
      </c>
    </row>
    <row r="41" spans="1:30" hidden="1" x14ac:dyDescent="0.25">
      <c r="A41" s="31" t="str">
        <f>_xll.qlSchedule(B41,C41,D41,E41,F41,G41,H41,I41,J41,K41,L41,M41,N41,O41)</f>
        <v>USG91139AD00Sch#0008</v>
      </c>
      <c r="B41" s="40" t="str">
        <f t="shared" si="0"/>
        <v>USG91139AD00Sch</v>
      </c>
      <c r="C41" s="41">
        <v>44102</v>
      </c>
      <c r="D41" s="41">
        <v>46658</v>
      </c>
      <c r="E41" s="39" t="str">
        <f>VLOOKUP(W41,Reference!$A$6:$B$8,2,FALSE)</f>
        <v>6M</v>
      </c>
      <c r="F41" s="40" t="str">
        <f>VLOOKUP(U41,Reference!$C$2:$D$6,2,FALSE)</f>
        <v>UnitedStates::Settlement</v>
      </c>
      <c r="G41" s="39" t="s">
        <v>113</v>
      </c>
      <c r="H41" s="39" t="s">
        <v>72</v>
      </c>
      <c r="I41" s="39" t="s">
        <v>114</v>
      </c>
      <c r="J41" s="39" t="b">
        <v>0</v>
      </c>
      <c r="K41" s="39"/>
      <c r="L41" s="39"/>
      <c r="M41" s="39" t="b">
        <v>0</v>
      </c>
      <c r="N41" s="39">
        <f>'ql-USCorp'!$B$5</f>
        <v>1</v>
      </c>
      <c r="O41" s="39" t="b">
        <v>1</v>
      </c>
      <c r="Q41" s="29" t="s">
        <v>296</v>
      </c>
      <c r="R41" s="29" t="s">
        <v>380</v>
      </c>
      <c r="S41" s="30">
        <v>44102</v>
      </c>
      <c r="T41" s="30">
        <v>46658</v>
      </c>
      <c r="U41" s="32" t="s">
        <v>225</v>
      </c>
      <c r="V41" s="29">
        <v>3000000</v>
      </c>
      <c r="W41" s="29">
        <v>2</v>
      </c>
      <c r="X41" s="29">
        <v>1</v>
      </c>
      <c r="Y41" s="29" t="s">
        <v>381</v>
      </c>
      <c r="Z41" t="str">
        <f t="shared" si="1"/>
        <v>USG91139AD00Sch#0008</v>
      </c>
      <c r="AA41" t="str">
        <f t="shared" si="2"/>
        <v>Aa3(Moody's)</v>
      </c>
      <c r="AB41">
        <v>95.388999938964844</v>
      </c>
      <c r="AC41" t="s">
        <v>349</v>
      </c>
      <c r="AD41" t="s">
        <v>396</v>
      </c>
    </row>
    <row r="42" spans="1:30" hidden="1" x14ac:dyDescent="0.25">
      <c r="A42" s="31" t="str">
        <f>_xll.qlSchedule(B42,C42,D42,E42,F42,G42,H42,I42,J42,K42,L42,M42,N42,O42)</f>
        <v>USG91139AE82Sch#0008</v>
      </c>
      <c r="B42" s="40" t="str">
        <f t="shared" si="0"/>
        <v>USG91139AE82Sch</v>
      </c>
      <c r="C42" s="41">
        <v>44102</v>
      </c>
      <c r="D42" s="41">
        <v>47754</v>
      </c>
      <c r="E42" s="39" t="str">
        <f>VLOOKUP(W42,Reference!$A$6:$B$8,2,FALSE)</f>
        <v>6M</v>
      </c>
      <c r="F42" s="40" t="str">
        <f>VLOOKUP(U42,Reference!$C$2:$D$6,2,FALSE)</f>
        <v>UnitedStates::Settlement</v>
      </c>
      <c r="G42" s="39" t="s">
        <v>113</v>
      </c>
      <c r="H42" s="39" t="s">
        <v>72</v>
      </c>
      <c r="I42" s="39" t="s">
        <v>114</v>
      </c>
      <c r="J42" s="39" t="b">
        <v>0</v>
      </c>
      <c r="K42" s="39"/>
      <c r="L42" s="39"/>
      <c r="M42" s="39" t="b">
        <v>0</v>
      </c>
      <c r="N42" s="39">
        <f>'ql-USCorp'!$B$5</f>
        <v>1</v>
      </c>
      <c r="O42" s="39" t="b">
        <v>1</v>
      </c>
      <c r="Q42" s="29" t="s">
        <v>297</v>
      </c>
      <c r="R42" s="29" t="s">
        <v>380</v>
      </c>
      <c r="S42" s="30">
        <v>44102</v>
      </c>
      <c r="T42" s="30">
        <v>47754</v>
      </c>
      <c r="U42" s="32" t="s">
        <v>225</v>
      </c>
      <c r="V42" s="29">
        <v>7000000</v>
      </c>
      <c r="W42" s="29">
        <v>2</v>
      </c>
      <c r="X42" s="29">
        <v>1.375</v>
      </c>
      <c r="Y42" s="29" t="s">
        <v>381</v>
      </c>
      <c r="Z42" t="str">
        <f t="shared" si="1"/>
        <v>USG91139AE82Sch#0008</v>
      </c>
      <c r="AA42" t="str">
        <f t="shared" si="2"/>
        <v>Aa3(Moody's)</v>
      </c>
      <c r="AB42">
        <v>93.410003662109375</v>
      </c>
      <c r="AC42" t="s">
        <v>350</v>
      </c>
      <c r="AD42" t="s">
        <v>397</v>
      </c>
    </row>
    <row r="43" spans="1:30" hidden="1" x14ac:dyDescent="0.25">
      <c r="A43" s="31" t="str">
        <f>_xll.qlSchedule(B43,C43,D43,E43,F43,G43,H43,I43,J43,K43,L43,M43,N43,O43)</f>
        <v>USG91139AF57Sch#0008</v>
      </c>
      <c r="B43" s="40" t="str">
        <f t="shared" si="0"/>
        <v>USG91139AF57Sch</v>
      </c>
      <c r="C43" s="41">
        <v>44309</v>
      </c>
      <c r="D43" s="41">
        <v>46135</v>
      </c>
      <c r="E43" s="39" t="str">
        <f>VLOOKUP(W43,Reference!$A$6:$B$8,2,FALSE)</f>
        <v>6M</v>
      </c>
      <c r="F43" s="40" t="str">
        <f>VLOOKUP(U43,Reference!$C$2:$D$6,2,FALSE)</f>
        <v>UnitedStates::Settlement</v>
      </c>
      <c r="G43" s="39" t="s">
        <v>113</v>
      </c>
      <c r="H43" s="39" t="s">
        <v>72</v>
      </c>
      <c r="I43" s="39" t="s">
        <v>114</v>
      </c>
      <c r="J43" s="39" t="b">
        <v>0</v>
      </c>
      <c r="K43" s="39"/>
      <c r="L43" s="39"/>
      <c r="M43" s="39" t="b">
        <v>0</v>
      </c>
      <c r="N43" s="39">
        <f>'ql-USCorp'!$B$5</f>
        <v>1</v>
      </c>
      <c r="O43" s="39" t="b">
        <v>1</v>
      </c>
      <c r="Q43" s="29" t="s">
        <v>298</v>
      </c>
      <c r="R43" s="29" t="s">
        <v>380</v>
      </c>
      <c r="S43" s="30">
        <v>44309</v>
      </c>
      <c r="T43" s="30">
        <v>46135</v>
      </c>
      <c r="U43" s="32" t="s">
        <v>225</v>
      </c>
      <c r="V43" s="29">
        <v>3000000</v>
      </c>
      <c r="W43" s="29">
        <v>2</v>
      </c>
      <c r="X43" s="29">
        <v>1.25</v>
      </c>
      <c r="Y43" s="29" t="s">
        <v>381</v>
      </c>
      <c r="Z43" t="str">
        <f t="shared" si="1"/>
        <v>USG91139AF57Sch#0008</v>
      </c>
      <c r="AA43" t="str">
        <f t="shared" si="2"/>
        <v>Aa3(Moody's)</v>
      </c>
      <c r="AB43">
        <v>98.543998718261719</v>
      </c>
      <c r="AC43" t="s">
        <v>316</v>
      </c>
      <c r="AD43" t="s">
        <v>389</v>
      </c>
    </row>
    <row r="44" spans="1:30" hidden="1" x14ac:dyDescent="0.25">
      <c r="A44" s="31" t="str">
        <f>_xll.qlSchedule(B44,C44,D44,E44,F44,G44,H44,I44,J44,K44,L44,M44,N44,O44)</f>
        <v>USJ5S39RAC82Sch#0008</v>
      </c>
      <c r="B44" s="40" t="str">
        <f t="shared" si="0"/>
        <v>USJ5S39RAC82Sch</v>
      </c>
      <c r="C44" s="41">
        <v>44258</v>
      </c>
      <c r="D44" s="41">
        <v>46115</v>
      </c>
      <c r="E44" s="39" t="str">
        <f>VLOOKUP(W44,Reference!$A$6:$B$8,2,FALSE)</f>
        <v>6M</v>
      </c>
      <c r="F44" s="40" t="str">
        <f>VLOOKUP(U44,Reference!$C$2:$D$6,2,FALSE)</f>
        <v>UnitedStates::Settlement</v>
      </c>
      <c r="G44" s="39" t="s">
        <v>113</v>
      </c>
      <c r="H44" s="39" t="s">
        <v>72</v>
      </c>
      <c r="I44" s="39" t="s">
        <v>114</v>
      </c>
      <c r="J44" s="39" t="b">
        <v>0</v>
      </c>
      <c r="K44" s="39"/>
      <c r="L44" s="39"/>
      <c r="M44" s="39" t="b">
        <v>0</v>
      </c>
      <c r="N44" s="39">
        <f>'ql-USCorp'!$B$5</f>
        <v>1</v>
      </c>
      <c r="O44" s="39" t="b">
        <v>1</v>
      </c>
      <c r="Q44" s="29" t="s">
        <v>299</v>
      </c>
      <c r="R44" s="29" t="s">
        <v>380</v>
      </c>
      <c r="S44" s="30">
        <v>44258</v>
      </c>
      <c r="T44" s="30">
        <v>46115</v>
      </c>
      <c r="U44" s="32" t="s">
        <v>225</v>
      </c>
      <c r="V44" s="29">
        <v>10000000</v>
      </c>
      <c r="W44" s="29">
        <v>2</v>
      </c>
      <c r="X44" s="29">
        <v>1.1619999999999999</v>
      </c>
      <c r="Y44" s="29" t="s">
        <v>381</v>
      </c>
      <c r="Z44" t="str">
        <f t="shared" si="1"/>
        <v>USJ5S39RAC82Sch#0008</v>
      </c>
      <c r="AA44" t="str">
        <f t="shared" si="2"/>
        <v>A(S &amp; P)</v>
      </c>
      <c r="AB44">
        <v>98.311996459960938</v>
      </c>
      <c r="AC44" t="s">
        <v>351</v>
      </c>
      <c r="AD44" t="s">
        <v>387</v>
      </c>
    </row>
    <row r="45" spans="1:30" x14ac:dyDescent="0.25">
      <c r="A45" s="31" t="str">
        <f>_xll.qlSchedule(B45,C45,D45,E45,F45,G45,H45,I45,J45,K45,L45,M45,N45,O45)</f>
        <v>USQ68009AA98Sch#0008</v>
      </c>
      <c r="B45" s="40" t="str">
        <f t="shared" si="0"/>
        <v>USQ68009AA98Sch</v>
      </c>
      <c r="C45" s="41">
        <v>43843</v>
      </c>
      <c r="D45" s="41">
        <v>44908</v>
      </c>
      <c r="E45" s="39" t="str">
        <f>VLOOKUP(W45,Reference!$A$6:$B$8,2,FALSE)</f>
        <v>3M</v>
      </c>
      <c r="F45" s="40" t="str">
        <f>VLOOKUP(U45,Reference!$C$2:$D$6,2,FALSE)</f>
        <v>UnitedStates::Settlement</v>
      </c>
      <c r="G45" s="39" t="s">
        <v>113</v>
      </c>
      <c r="H45" s="39" t="s">
        <v>72</v>
      </c>
      <c r="I45" s="39" t="s">
        <v>114</v>
      </c>
      <c r="J45" s="39" t="b">
        <v>0</v>
      </c>
      <c r="K45" s="39"/>
      <c r="L45" s="39"/>
      <c r="M45" s="39" t="b">
        <v>0</v>
      </c>
      <c r="N45" s="39">
        <f>'ql-USCorp'!$B$5</f>
        <v>1</v>
      </c>
      <c r="O45" s="39" t="b">
        <v>1</v>
      </c>
      <c r="Q45" s="29" t="s">
        <v>300</v>
      </c>
      <c r="R45" s="29" t="s">
        <v>382</v>
      </c>
      <c r="S45" s="30">
        <v>43843</v>
      </c>
      <c r="T45" s="30">
        <v>44908</v>
      </c>
      <c r="U45" s="32" t="s">
        <v>225</v>
      </c>
      <c r="V45" s="29">
        <v>2000000</v>
      </c>
      <c r="W45" s="29">
        <v>4</v>
      </c>
      <c r="X45" s="29">
        <v>0.61087999999999998</v>
      </c>
      <c r="Y45" s="29">
        <v>0.41</v>
      </c>
      <c r="Z45" t="str">
        <f t="shared" si="1"/>
        <v>USQ68009AA98Sch#0008</v>
      </c>
      <c r="AA45" t="str">
        <f t="shared" si="2"/>
        <v>Aa3(Moody's)</v>
      </c>
      <c r="AB45">
        <v>100.34799957275391</v>
      </c>
      <c r="AC45" t="s">
        <v>352</v>
      </c>
      <c r="AD45" t="s">
        <v>387</v>
      </c>
    </row>
    <row r="46" spans="1:30" hidden="1" x14ac:dyDescent="0.25">
      <c r="A46" s="31" t="str">
        <f>_xll.qlSchedule(B46,C46,D46,E46,F46,G46,H46,I46,J46,K46,L46,M46,N46,O46)</f>
        <v>USU9273ADF94Sch#0008</v>
      </c>
      <c r="B46" s="40" t="str">
        <f t="shared" si="0"/>
        <v>USU9273ADF94Sch</v>
      </c>
      <c r="C46" s="41">
        <v>44159</v>
      </c>
      <c r="D46" s="41">
        <v>46715</v>
      </c>
      <c r="E46" s="39" t="str">
        <f>VLOOKUP(W46,Reference!$A$6:$B$8,2,FALSE)</f>
        <v>6M</v>
      </c>
      <c r="F46" s="40" t="str">
        <f>VLOOKUP(U46,Reference!$C$2:$D$6,2,FALSE)</f>
        <v>UnitedStates::Settlement</v>
      </c>
      <c r="G46" s="39" t="s">
        <v>113</v>
      </c>
      <c r="H46" s="39" t="s">
        <v>72</v>
      </c>
      <c r="I46" s="39" t="s">
        <v>114</v>
      </c>
      <c r="J46" s="39" t="b">
        <v>0</v>
      </c>
      <c r="K46" s="39"/>
      <c r="L46" s="39"/>
      <c r="M46" s="39" t="b">
        <v>0</v>
      </c>
      <c r="N46" s="39">
        <f>'ql-USCorp'!$B$5</f>
        <v>1</v>
      </c>
      <c r="O46" s="39" t="b">
        <v>1</v>
      </c>
      <c r="Q46" s="29" t="s">
        <v>301</v>
      </c>
      <c r="R46" s="29" t="s">
        <v>380</v>
      </c>
      <c r="S46" s="30">
        <v>44159</v>
      </c>
      <c r="T46" s="30">
        <v>46715</v>
      </c>
      <c r="U46" s="32" t="s">
        <v>225</v>
      </c>
      <c r="V46" s="29">
        <v>5000000</v>
      </c>
      <c r="W46" s="29">
        <v>2</v>
      </c>
      <c r="X46" s="29">
        <v>1.625</v>
      </c>
      <c r="Y46" s="29" t="s">
        <v>381</v>
      </c>
      <c r="Z46" t="str">
        <f t="shared" si="1"/>
        <v>USU9273ADF94Sch#0008</v>
      </c>
      <c r="AA46" t="str">
        <f t="shared" si="2"/>
        <v>BBB+(S &amp; P)</v>
      </c>
      <c r="AB46">
        <v>97.491996765136719</v>
      </c>
      <c r="AC46" t="s">
        <v>317</v>
      </c>
      <c r="AD46" t="s">
        <v>387</v>
      </c>
    </row>
    <row r="47" spans="1:30" hidden="1" x14ac:dyDescent="0.25">
      <c r="A47" s="31" t="str">
        <f>_xll.qlSchedule(B47,C47,D47,E47,F47,G47,H47,I47,J47,K47,L47,M47,N47,O47)</f>
        <v>USY4949FAF28Sch#0008</v>
      </c>
      <c r="B47" s="40" t="str">
        <f t="shared" si="0"/>
        <v>USY4949FAF28Sch</v>
      </c>
      <c r="C47" s="41">
        <v>44223</v>
      </c>
      <c r="D47" s="41">
        <v>46049</v>
      </c>
      <c r="E47" s="39" t="str">
        <f>VLOOKUP(W47,Reference!$A$6:$B$8,2,FALSE)</f>
        <v>6M</v>
      </c>
      <c r="F47" s="40" t="str">
        <f>VLOOKUP(U47,Reference!$C$2:$D$6,2,FALSE)</f>
        <v>UnitedStates::Settlement</v>
      </c>
      <c r="G47" s="39" t="s">
        <v>113</v>
      </c>
      <c r="H47" s="39" t="s">
        <v>72</v>
      </c>
      <c r="I47" s="39" t="s">
        <v>114</v>
      </c>
      <c r="J47" s="39" t="b">
        <v>0</v>
      </c>
      <c r="K47" s="39"/>
      <c r="L47" s="39"/>
      <c r="M47" s="39" t="b">
        <v>0</v>
      </c>
      <c r="N47" s="39">
        <f>'ql-USCorp'!$B$5</f>
        <v>1</v>
      </c>
      <c r="O47" s="39" t="b">
        <v>1</v>
      </c>
      <c r="Q47" s="29" t="s">
        <v>302</v>
      </c>
      <c r="R47" s="29" t="s">
        <v>380</v>
      </c>
      <c r="S47" s="30">
        <v>44223</v>
      </c>
      <c r="T47" s="30">
        <v>46049</v>
      </c>
      <c r="U47" s="32" t="s">
        <v>225</v>
      </c>
      <c r="V47" s="29">
        <v>6500000</v>
      </c>
      <c r="W47" s="29">
        <v>2</v>
      </c>
      <c r="X47" s="29">
        <v>0.75</v>
      </c>
      <c r="Y47" s="29" t="s">
        <v>381</v>
      </c>
      <c r="Z47" t="str">
        <f t="shared" si="1"/>
        <v>USY4949FAF28Sch#0008</v>
      </c>
      <c r="AA47" t="str">
        <f t="shared" si="2"/>
        <v>AA-(Fitch)</v>
      </c>
      <c r="AB47">
        <v>96.661003112792969</v>
      </c>
      <c r="AC47" t="s">
        <v>353</v>
      </c>
      <c r="AD47" t="s">
        <v>121</v>
      </c>
    </row>
    <row r="48" spans="1:30" x14ac:dyDescent="0.25">
      <c r="A48" s="31" t="str">
        <f>_xll.qlSchedule(B48,C48,D48,E48,F48,G48,H48,I48,J48,K48,L48,M48,N48,O48)</f>
        <v>XS1624141435Sch#0008</v>
      </c>
      <c r="B48" s="40" t="str">
        <f t="shared" si="0"/>
        <v>XS1624141435Sch</v>
      </c>
      <c r="C48" s="41">
        <v>42895</v>
      </c>
      <c r="D48" s="41">
        <v>44721</v>
      </c>
      <c r="E48" s="39" t="str">
        <f>VLOOKUP(W48,Reference!$A$6:$B$8,2,FALSE)</f>
        <v>3M</v>
      </c>
      <c r="F48" s="40" t="str">
        <f>VLOOKUP(U48,Reference!$C$2:$D$6,2,FALSE)</f>
        <v>UnitedStates::Settlement</v>
      </c>
      <c r="G48" s="39" t="s">
        <v>113</v>
      </c>
      <c r="H48" s="39" t="s">
        <v>72</v>
      </c>
      <c r="I48" s="39" t="s">
        <v>114</v>
      </c>
      <c r="J48" s="39" t="b">
        <v>0</v>
      </c>
      <c r="K48" s="39"/>
      <c r="L48" s="39"/>
      <c r="M48" s="39" t="b">
        <v>0</v>
      </c>
      <c r="N48" s="39">
        <f>'ql-USCorp'!$B$5</f>
        <v>1</v>
      </c>
      <c r="O48" s="39" t="b">
        <v>1</v>
      </c>
      <c r="Q48" s="29" t="s">
        <v>303</v>
      </c>
      <c r="R48" s="29" t="s">
        <v>382</v>
      </c>
      <c r="S48" s="30">
        <v>42895</v>
      </c>
      <c r="T48" s="30">
        <v>44721</v>
      </c>
      <c r="U48" s="32" t="s">
        <v>225</v>
      </c>
      <c r="V48" s="29">
        <v>20000000</v>
      </c>
      <c r="W48" s="29">
        <v>4</v>
      </c>
      <c r="X48" s="29">
        <v>1.14825</v>
      </c>
      <c r="Y48" s="29">
        <v>0.95</v>
      </c>
      <c r="Z48" t="str">
        <f t="shared" si="1"/>
        <v>XS1624141435Sch#0008</v>
      </c>
      <c r="AA48" t="str">
        <f t="shared" si="2"/>
        <v>A+(S &amp; P)</v>
      </c>
      <c r="AB48">
        <v>100.34300231933589</v>
      </c>
      <c r="AC48" t="s">
        <v>354</v>
      </c>
      <c r="AD48" t="s">
        <v>387</v>
      </c>
    </row>
    <row r="49" spans="1:30" x14ac:dyDescent="0.25">
      <c r="A49" s="31" t="str">
        <f>_xll.qlSchedule(B49,C49,D49,E49,F49,G49,H49,I49,J49,K49,L49,M49,N49,O49)</f>
        <v>XS1637362507Sch#0008</v>
      </c>
      <c r="B49" s="40" t="str">
        <f t="shared" si="0"/>
        <v>XS1637362507Sch</v>
      </c>
      <c r="C49" s="41">
        <v>42921</v>
      </c>
      <c r="D49" s="41">
        <v>44747</v>
      </c>
      <c r="E49" s="39" t="str">
        <f>VLOOKUP(W49,Reference!$A$6:$B$8,2,FALSE)</f>
        <v>3M</v>
      </c>
      <c r="F49" s="40" t="str">
        <f>VLOOKUP(U49,Reference!$C$2:$D$6,2,FALSE)</f>
        <v>UnitedStates::Settlement</v>
      </c>
      <c r="G49" s="39" t="s">
        <v>113</v>
      </c>
      <c r="H49" s="39" t="s">
        <v>72</v>
      </c>
      <c r="I49" s="39" t="s">
        <v>114</v>
      </c>
      <c r="J49" s="39" t="b">
        <v>0</v>
      </c>
      <c r="M49" s="39" t="b">
        <v>0</v>
      </c>
      <c r="N49" s="39">
        <f>'ql-USCorp'!$B$5</f>
        <v>1</v>
      </c>
      <c r="O49" s="39" t="b">
        <v>1</v>
      </c>
      <c r="Q49" s="29" t="s">
        <v>304</v>
      </c>
      <c r="R49" s="29" t="s">
        <v>382</v>
      </c>
      <c r="S49" s="30">
        <v>42921</v>
      </c>
      <c r="T49" s="30">
        <v>44747</v>
      </c>
      <c r="U49" s="32" t="s">
        <v>225</v>
      </c>
      <c r="V49" s="29">
        <v>10000000</v>
      </c>
      <c r="W49" s="29">
        <v>4</v>
      </c>
      <c r="X49" s="29">
        <v>0.93313000000000001</v>
      </c>
      <c r="Y49" s="29">
        <v>0.8</v>
      </c>
      <c r="Z49" t="str">
        <f t="shared" si="1"/>
        <v>XS1637362507Sch#0008</v>
      </c>
      <c r="AA49" t="str">
        <f t="shared" si="2"/>
        <v>Aa2(Moody's)</v>
      </c>
      <c r="AB49">
        <v>100.379997253418</v>
      </c>
      <c r="AC49" t="s">
        <v>355</v>
      </c>
      <c r="AD49" t="s">
        <v>389</v>
      </c>
    </row>
    <row r="50" spans="1:30" x14ac:dyDescent="0.25">
      <c r="A50" s="31" t="str">
        <f>_xll.qlSchedule(B50,C50,D50,E50,F50,G50,H50,I50,J50,K50,L50,M50,N50,O50)</f>
        <v>XS1706085773Sch#0008</v>
      </c>
      <c r="B50" s="40" t="str">
        <f t="shared" si="0"/>
        <v>XS1706085773Sch</v>
      </c>
      <c r="C50" s="41">
        <v>43038</v>
      </c>
      <c r="D50" s="41">
        <v>44864</v>
      </c>
      <c r="E50" s="39" t="str">
        <f>VLOOKUP(W50,Reference!$A$6:$B$8,2,FALSE)</f>
        <v>3M</v>
      </c>
      <c r="F50" s="40" t="str">
        <f>VLOOKUP(U50,Reference!$C$2:$D$6,2,FALSE)</f>
        <v>UnitedStates::Settlement</v>
      </c>
      <c r="G50" s="39" t="s">
        <v>113</v>
      </c>
      <c r="H50" s="39" t="s">
        <v>72</v>
      </c>
      <c r="I50" s="39" t="s">
        <v>114</v>
      </c>
      <c r="J50" s="39" t="b">
        <v>0</v>
      </c>
      <c r="M50" s="39" t="b">
        <v>0</v>
      </c>
      <c r="N50" s="39">
        <f>'ql-USCorp'!$B$5</f>
        <v>1</v>
      </c>
      <c r="O50" s="39" t="b">
        <v>1</v>
      </c>
      <c r="Q50" s="29" t="s">
        <v>305</v>
      </c>
      <c r="R50" s="29" t="s">
        <v>382</v>
      </c>
      <c r="S50" s="30">
        <v>43038</v>
      </c>
      <c r="T50" s="30">
        <v>44864</v>
      </c>
      <c r="U50" s="32" t="s">
        <v>225</v>
      </c>
      <c r="V50" s="29">
        <v>25000000</v>
      </c>
      <c r="W50" s="29">
        <v>4</v>
      </c>
      <c r="X50" s="29">
        <v>0.92862999999999996</v>
      </c>
      <c r="Y50" s="29">
        <v>0.8</v>
      </c>
      <c r="Z50" t="str">
        <f t="shared" si="1"/>
        <v>XS1706085773Sch#0008</v>
      </c>
      <c r="AA50" t="str">
        <f t="shared" si="2"/>
        <v>Aa2(Moody's)</v>
      </c>
      <c r="AB50">
        <v>100.572998046875</v>
      </c>
      <c r="AC50" t="s">
        <v>293</v>
      </c>
      <c r="AD50" t="s">
        <v>398</v>
      </c>
    </row>
    <row r="51" spans="1:30" x14ac:dyDescent="0.25">
      <c r="A51" s="31" t="str">
        <f>_xll.qlSchedule(B51,C51,D51,E51,F51,G51,H51,I51,J51,K51,L51,M51,N51,O51)</f>
        <v>XS1832452103Sch#0008</v>
      </c>
      <c r="B51" s="40" t="str">
        <f t="shared" si="0"/>
        <v>XS1832452103Sch</v>
      </c>
      <c r="C51" s="41">
        <v>43258</v>
      </c>
      <c r="D51" s="41">
        <v>45084</v>
      </c>
      <c r="E51" s="39" t="str">
        <f>VLOOKUP(W51,Reference!$A$6:$B$8,2,FALSE)</f>
        <v>3M</v>
      </c>
      <c r="F51" s="40" t="str">
        <f>VLOOKUP(U51,Reference!$C$2:$D$6,2,FALSE)</f>
        <v>UnitedStates::Settlement</v>
      </c>
      <c r="G51" s="39" t="s">
        <v>113</v>
      </c>
      <c r="H51" s="39" t="s">
        <v>72</v>
      </c>
      <c r="I51" s="39" t="s">
        <v>114</v>
      </c>
      <c r="J51" s="39" t="b">
        <v>0</v>
      </c>
      <c r="M51" s="39" t="b">
        <v>0</v>
      </c>
      <c r="N51" s="39">
        <f>'ql-USCorp'!$B$5</f>
        <v>1</v>
      </c>
      <c r="O51" s="39" t="b">
        <v>1</v>
      </c>
      <c r="Q51" s="29" t="s">
        <v>306</v>
      </c>
      <c r="R51" s="29" t="s">
        <v>382</v>
      </c>
      <c r="S51" s="30">
        <v>43258</v>
      </c>
      <c r="T51" s="30">
        <v>45084</v>
      </c>
      <c r="U51" s="32" t="s">
        <v>225</v>
      </c>
      <c r="V51" s="29">
        <v>5000000</v>
      </c>
      <c r="W51" s="29">
        <v>4</v>
      </c>
      <c r="X51" s="29">
        <v>1.01763</v>
      </c>
      <c r="Y51" s="29">
        <v>0.83</v>
      </c>
      <c r="Z51" t="str">
        <f t="shared" si="1"/>
        <v>XS1832452103Sch#0008</v>
      </c>
      <c r="AA51" t="str">
        <f t="shared" si="2"/>
        <v>A(S &amp; P)</v>
      </c>
      <c r="AB51">
        <v>100.57700347900391</v>
      </c>
      <c r="AC51" t="s">
        <v>288</v>
      </c>
      <c r="AD51" t="s">
        <v>387</v>
      </c>
    </row>
    <row r="52" spans="1:30" x14ac:dyDescent="0.25">
      <c r="A52" s="31" t="str">
        <f>_xll.qlSchedule(B52,C52,D52,E52,F52,G52,H52,I52,J52,K52,L52,M52,N52,O52)</f>
        <v>XS1935188422Sch#0008</v>
      </c>
      <c r="B52" s="40" t="str">
        <f t="shared" si="0"/>
        <v>XS1935188422Sch</v>
      </c>
      <c r="C52" s="41">
        <v>43627</v>
      </c>
      <c r="D52" s="41">
        <v>45454</v>
      </c>
      <c r="E52" s="39" t="str">
        <f>VLOOKUP(W52,Reference!$A$6:$B$8,2,FALSE)</f>
        <v>3M</v>
      </c>
      <c r="F52" s="40" t="str">
        <f>VLOOKUP(U52,Reference!$C$2:$D$6,2,FALSE)</f>
        <v>UnitedStates::Settlement</v>
      </c>
      <c r="G52" s="39" t="s">
        <v>113</v>
      </c>
      <c r="H52" s="39" t="s">
        <v>72</v>
      </c>
      <c r="I52" s="39" t="s">
        <v>114</v>
      </c>
      <c r="J52" s="39" t="b">
        <v>0</v>
      </c>
      <c r="M52" s="39" t="b">
        <v>0</v>
      </c>
      <c r="N52" s="39">
        <f>'ql-USCorp'!$B$5</f>
        <v>1</v>
      </c>
      <c r="O52" s="39" t="b">
        <v>1</v>
      </c>
      <c r="Q52" s="29" t="s">
        <v>307</v>
      </c>
      <c r="R52" s="29" t="s">
        <v>382</v>
      </c>
      <c r="S52" s="30">
        <v>43627</v>
      </c>
      <c r="T52" s="30">
        <v>45454</v>
      </c>
      <c r="U52" s="32" t="s">
        <v>225</v>
      </c>
      <c r="V52" s="29">
        <v>5000000</v>
      </c>
      <c r="W52" s="29">
        <v>4</v>
      </c>
      <c r="X52" s="29">
        <v>1.03088</v>
      </c>
      <c r="Y52" s="29">
        <v>0.83</v>
      </c>
      <c r="Z52" t="str">
        <f t="shared" si="1"/>
        <v>XS1935188422Sch#0008</v>
      </c>
      <c r="AA52" t="str">
        <f t="shared" si="2"/>
        <v>A(S &amp; P)</v>
      </c>
      <c r="AB52">
        <v>100.734001159668</v>
      </c>
      <c r="AC52" t="s">
        <v>292</v>
      </c>
      <c r="AD52" t="s">
        <v>391</v>
      </c>
    </row>
    <row r="53" spans="1:30" x14ac:dyDescent="0.25">
      <c r="A53" s="31" t="str">
        <f>_xll.qlSchedule(B53,C53,D53,E53,F53,G53,H53,I53,J53,K53,L53,M53,N53,O53)</f>
        <v>XS1978205869Sch#0008</v>
      </c>
      <c r="B53" s="40" t="str">
        <f t="shared" si="0"/>
        <v>XS1978205869Sch</v>
      </c>
      <c r="C53" s="41">
        <v>43572</v>
      </c>
      <c r="D53" s="41">
        <v>44668</v>
      </c>
      <c r="E53" s="39" t="str">
        <f>VLOOKUP(W53,Reference!$A$6:$B$8,2,FALSE)</f>
        <v>3M</v>
      </c>
      <c r="F53" s="40" t="str">
        <f>VLOOKUP(U53,Reference!$C$2:$D$6,2,FALSE)</f>
        <v>UnitedStates::Settlement</v>
      </c>
      <c r="G53" s="39" t="s">
        <v>113</v>
      </c>
      <c r="H53" s="39" t="s">
        <v>72</v>
      </c>
      <c r="I53" s="39" t="s">
        <v>114</v>
      </c>
      <c r="J53" s="39" t="b">
        <v>0</v>
      </c>
      <c r="M53" s="39" t="b">
        <v>0</v>
      </c>
      <c r="N53" s="39">
        <f>'ql-USCorp'!$B$5</f>
        <v>1</v>
      </c>
      <c r="O53" s="39" t="b">
        <v>1</v>
      </c>
      <c r="Q53" s="29" t="s">
        <v>308</v>
      </c>
      <c r="R53" s="29" t="s">
        <v>382</v>
      </c>
      <c r="S53" s="30">
        <v>43572</v>
      </c>
      <c r="T53" s="30">
        <v>44668</v>
      </c>
      <c r="U53" s="32" t="s">
        <v>225</v>
      </c>
      <c r="V53" s="29">
        <v>3000000</v>
      </c>
      <c r="W53" s="29">
        <v>4</v>
      </c>
      <c r="X53" s="29">
        <v>0.84225000000000005</v>
      </c>
      <c r="Y53" s="29">
        <v>0.72</v>
      </c>
      <c r="Z53" t="str">
        <f t="shared" si="1"/>
        <v>XS1978205869Sch#0008</v>
      </c>
      <c r="AA53" t="str">
        <f t="shared" si="2"/>
        <v>A(S &amp; P)</v>
      </c>
      <c r="AB53">
        <v>100.1080017089844</v>
      </c>
      <c r="AC53" t="s">
        <v>299</v>
      </c>
      <c r="AD53" t="s">
        <v>389</v>
      </c>
    </row>
    <row r="54" spans="1:30" x14ac:dyDescent="0.25">
      <c r="A54" s="31" t="str">
        <f>_xll.qlSchedule(B54,C54,D54,E54,F54,G54,H54,I54,J54,K54,L54,M54,N54,O54)</f>
        <v>XS2052134496Sch#0008</v>
      </c>
      <c r="B54" s="40" t="str">
        <f t="shared" si="0"/>
        <v>XS2052134496Sch</v>
      </c>
      <c r="C54" s="41">
        <v>43724</v>
      </c>
      <c r="D54" s="41">
        <v>45551</v>
      </c>
      <c r="E54" s="39" t="str">
        <f>VLOOKUP(W54,Reference!$A$6:$B$8,2,FALSE)</f>
        <v>3M</v>
      </c>
      <c r="F54" s="40" t="str">
        <f>VLOOKUP(U54,Reference!$C$2:$D$6,2,FALSE)</f>
        <v>UnitedStates::Settlement</v>
      </c>
      <c r="G54" s="39" t="s">
        <v>113</v>
      </c>
      <c r="H54" s="39" t="s">
        <v>72</v>
      </c>
      <c r="I54" s="39" t="s">
        <v>114</v>
      </c>
      <c r="J54" s="39" t="b">
        <v>0</v>
      </c>
      <c r="M54" s="39" t="b">
        <v>0</v>
      </c>
      <c r="N54" s="39">
        <f>'ql-USCorp'!$B$5</f>
        <v>1</v>
      </c>
      <c r="O54" s="39" t="b">
        <v>1</v>
      </c>
      <c r="Q54" s="29" t="s">
        <v>309</v>
      </c>
      <c r="R54" s="29" t="s">
        <v>382</v>
      </c>
      <c r="S54" s="30">
        <v>43724</v>
      </c>
      <c r="T54" s="30">
        <v>45551</v>
      </c>
      <c r="U54" s="32" t="s">
        <v>225</v>
      </c>
      <c r="V54" s="29">
        <v>5000000</v>
      </c>
      <c r="W54" s="29">
        <v>4</v>
      </c>
      <c r="X54" s="29">
        <v>0.99087999999999998</v>
      </c>
      <c r="Y54" s="29">
        <v>0.78</v>
      </c>
      <c r="Z54" t="str">
        <f t="shared" si="1"/>
        <v>XS2052134496Sch#0008</v>
      </c>
      <c r="AA54" t="str">
        <f t="shared" si="2"/>
        <v>A1(Moody's)</v>
      </c>
      <c r="AB54">
        <v>100.61900329589839</v>
      </c>
      <c r="AC54" t="s">
        <v>328</v>
      </c>
      <c r="AD54" t="s">
        <v>397</v>
      </c>
    </row>
    <row r="55" spans="1:30" x14ac:dyDescent="0.25">
      <c r="A55" s="31" t="str">
        <f>_xll.qlSchedule(B55,C55,D55,E55,F55,G55,H55,I55,J55,K55,L55,M55,N55,O55)</f>
        <v>XS2068969141Sch#0008</v>
      </c>
      <c r="B55" s="40" t="str">
        <f t="shared" si="0"/>
        <v>XS2068969141Sch</v>
      </c>
      <c r="C55" s="41">
        <v>43768</v>
      </c>
      <c r="D55" s="41">
        <v>45595</v>
      </c>
      <c r="E55" s="39" t="str">
        <f>VLOOKUP(W55,Reference!$A$6:$B$8,2,FALSE)</f>
        <v>3M</v>
      </c>
      <c r="F55" s="40" t="str">
        <f>VLOOKUP(U55,Reference!$C$2:$D$6,2,FALSE)</f>
        <v>UnitedStates::Settlement</v>
      </c>
      <c r="G55" s="39" t="s">
        <v>113</v>
      </c>
      <c r="H55" s="39" t="s">
        <v>72</v>
      </c>
      <c r="I55" s="39" t="s">
        <v>114</v>
      </c>
      <c r="J55" s="39" t="b">
        <v>0</v>
      </c>
      <c r="M55" s="39" t="b">
        <v>0</v>
      </c>
      <c r="N55" s="39">
        <f>'ql-USCorp'!$B$5</f>
        <v>1</v>
      </c>
      <c r="O55" s="39" t="b">
        <v>1</v>
      </c>
      <c r="Q55" s="29" t="s">
        <v>310</v>
      </c>
      <c r="R55" s="29" t="s">
        <v>382</v>
      </c>
      <c r="S55" s="30">
        <v>43768</v>
      </c>
      <c r="T55" s="30">
        <v>45595</v>
      </c>
      <c r="U55" s="32" t="s">
        <v>225</v>
      </c>
      <c r="V55" s="29">
        <v>7500000</v>
      </c>
      <c r="W55" s="29">
        <v>4</v>
      </c>
      <c r="X55" s="29">
        <v>0.73863000000000001</v>
      </c>
      <c r="Y55" s="29">
        <v>0.61</v>
      </c>
      <c r="Z55" t="str">
        <f t="shared" si="1"/>
        <v>XS2068969141Sch#0008</v>
      </c>
      <c r="AA55" t="str">
        <f t="shared" si="2"/>
        <v>A1(Moody's)</v>
      </c>
      <c r="AB55">
        <v>100.4901809692383</v>
      </c>
      <c r="AC55" t="s">
        <v>262</v>
      </c>
      <c r="AD55" t="s">
        <v>393</v>
      </c>
    </row>
    <row r="56" spans="1:30" x14ac:dyDescent="0.25">
      <c r="A56" s="31" t="str">
        <f>_xll.qlSchedule(B56,C56,D56,E56,F56,G56,H56,I56,J56,K56,L56,M56,N56,O56)</f>
        <v>XS2079297946Sch#0008</v>
      </c>
      <c r="B56" s="40" t="str">
        <f t="shared" si="0"/>
        <v>XS2079297946Sch</v>
      </c>
      <c r="C56" s="41">
        <v>43794</v>
      </c>
      <c r="D56" s="41">
        <v>44890</v>
      </c>
      <c r="E56" s="39" t="str">
        <f>VLOOKUP(W56,Reference!$A$6:$B$8,2,FALSE)</f>
        <v>3M</v>
      </c>
      <c r="F56" s="40" t="str">
        <f>VLOOKUP(U56,Reference!$C$2:$D$6,2,FALSE)</f>
        <v>UnitedStates::Settlement</v>
      </c>
      <c r="G56" s="39" t="s">
        <v>113</v>
      </c>
      <c r="H56" s="39" t="s">
        <v>72</v>
      </c>
      <c r="I56" s="39" t="s">
        <v>114</v>
      </c>
      <c r="J56" s="39" t="b">
        <v>0</v>
      </c>
      <c r="M56" s="39" t="b">
        <v>0</v>
      </c>
      <c r="N56" s="39">
        <f>'ql-USCorp'!$B$5</f>
        <v>1</v>
      </c>
      <c r="O56" s="39" t="b">
        <v>1</v>
      </c>
      <c r="Q56" s="29" t="s">
        <v>311</v>
      </c>
      <c r="R56" s="29" t="s">
        <v>382</v>
      </c>
      <c r="S56" s="30">
        <v>43794</v>
      </c>
      <c r="T56" s="30">
        <v>44890</v>
      </c>
      <c r="U56" s="32" t="s">
        <v>225</v>
      </c>
      <c r="V56" s="29">
        <v>7000000</v>
      </c>
      <c r="W56" s="29">
        <v>4</v>
      </c>
      <c r="X56" s="29">
        <v>0.78025</v>
      </c>
      <c r="Y56" s="29">
        <v>0.6</v>
      </c>
      <c r="Z56" t="str">
        <f t="shared" si="1"/>
        <v>XS2079297946Sch#0008</v>
      </c>
      <c r="AA56" t="str">
        <f t="shared" si="2"/>
        <v>Aa2(Moody's)</v>
      </c>
      <c r="AB56">
        <v>100.48557281494141</v>
      </c>
      <c r="AC56" t="s">
        <v>263</v>
      </c>
      <c r="AD56" t="s">
        <v>387</v>
      </c>
    </row>
    <row r="57" spans="1:30" x14ac:dyDescent="0.25">
      <c r="A57" s="31" t="str">
        <f>_xll.qlSchedule(B57,C57,D57,E57,F57,G57,H57,I57,J57,K57,L57,M57,N57,O57)</f>
        <v>XS2100405013Sch#0008</v>
      </c>
      <c r="B57" s="40" t="str">
        <f t="shared" si="0"/>
        <v>XS2100405013Sch</v>
      </c>
      <c r="C57" s="41">
        <v>43846</v>
      </c>
      <c r="D57" s="41">
        <v>44577</v>
      </c>
      <c r="E57" s="39" t="str">
        <f>VLOOKUP(W57,Reference!$A$6:$B$8,2,FALSE)</f>
        <v>3M</v>
      </c>
      <c r="F57" s="40" t="str">
        <f>VLOOKUP(U57,Reference!$C$2:$D$6,2,FALSE)</f>
        <v>UnitedStates::Settlement</v>
      </c>
      <c r="G57" s="39" t="s">
        <v>113</v>
      </c>
      <c r="H57" s="39" t="s">
        <v>72</v>
      </c>
      <c r="I57" s="39" t="s">
        <v>114</v>
      </c>
      <c r="J57" s="39" t="b">
        <v>0</v>
      </c>
      <c r="M57" s="39" t="b">
        <v>0</v>
      </c>
      <c r="N57" s="39">
        <f>'ql-USCorp'!$B$5</f>
        <v>1</v>
      </c>
      <c r="O57" s="39" t="b">
        <v>1</v>
      </c>
      <c r="Q57" s="29" t="s">
        <v>312</v>
      </c>
      <c r="R57" s="29" t="s">
        <v>382</v>
      </c>
      <c r="S57" s="30">
        <v>43846</v>
      </c>
      <c r="T57" s="30">
        <v>44577</v>
      </c>
      <c r="U57" s="32" t="s">
        <v>225</v>
      </c>
      <c r="V57" s="29">
        <v>3000000</v>
      </c>
      <c r="W57" s="29">
        <v>4</v>
      </c>
      <c r="X57" s="29">
        <v>0.70225000000000004</v>
      </c>
      <c r="Y57" s="29">
        <v>0.57999999999999996</v>
      </c>
      <c r="Z57" t="str">
        <f t="shared" si="1"/>
        <v>XS2100405013Sch#0008</v>
      </c>
      <c r="AA57" t="str">
        <f t="shared" si="2"/>
        <v>A(S &amp; P)</v>
      </c>
      <c r="AB57">
        <v>100.0210037231445</v>
      </c>
      <c r="AC57" t="s">
        <v>264</v>
      </c>
      <c r="AD57" t="s">
        <v>388</v>
      </c>
    </row>
    <row r="58" spans="1:30" x14ac:dyDescent="0.25">
      <c r="A58" s="31" t="str">
        <f>_xll.qlSchedule(B58,C58,D58,E58,F58,G58,H58,I58,J58,K58,L58,M58,N58,O58)</f>
        <v>XS2158696950Sch#0008</v>
      </c>
      <c r="B58" s="40" t="str">
        <f t="shared" si="0"/>
        <v>XS2158696950Sch</v>
      </c>
      <c r="C58" s="41">
        <v>43945</v>
      </c>
      <c r="D58" s="41">
        <v>45771</v>
      </c>
      <c r="E58" s="39" t="str">
        <f>VLOOKUP(W58,Reference!$A$6:$B$8,2,FALSE)</f>
        <v>3M</v>
      </c>
      <c r="F58" s="40" t="str">
        <f>VLOOKUP(U58,Reference!$C$2:$D$6,2,FALSE)</f>
        <v>UnitedStates::Settlement</v>
      </c>
      <c r="G58" s="39" t="s">
        <v>113</v>
      </c>
      <c r="H58" s="39" t="s">
        <v>72</v>
      </c>
      <c r="I58" s="39" t="s">
        <v>114</v>
      </c>
      <c r="J58" s="39" t="b">
        <v>0</v>
      </c>
      <c r="M58" s="39" t="b">
        <v>0</v>
      </c>
      <c r="N58" s="39">
        <f>'ql-USCorp'!$B$5</f>
        <v>1</v>
      </c>
      <c r="O58" s="39" t="b">
        <v>1</v>
      </c>
      <c r="Q58" s="29" t="s">
        <v>313</v>
      </c>
      <c r="R58" s="29" t="s">
        <v>382</v>
      </c>
      <c r="S58" s="30">
        <v>43945</v>
      </c>
      <c r="T58" s="30">
        <v>45771</v>
      </c>
      <c r="U58" s="32" t="s">
        <v>225</v>
      </c>
      <c r="V58" s="29">
        <v>9000000</v>
      </c>
      <c r="W58" s="29">
        <v>4</v>
      </c>
      <c r="X58" s="29">
        <v>1.6757500000000001</v>
      </c>
      <c r="Y58" s="29" t="s">
        <v>381</v>
      </c>
      <c r="Z58" t="str">
        <f t="shared" si="1"/>
        <v>XS2158696950Sch#0008</v>
      </c>
      <c r="AA58" t="str">
        <f t="shared" si="2"/>
        <v>A+(S &amp; P)</v>
      </c>
      <c r="AB58">
        <v>104.3858337402344</v>
      </c>
      <c r="AC58" t="s">
        <v>265</v>
      </c>
      <c r="AD58" t="s">
        <v>121</v>
      </c>
    </row>
    <row r="59" spans="1:30" x14ac:dyDescent="0.25">
      <c r="A59" s="31" t="str">
        <f>_xll.qlSchedule(B59,C59,D59,E59,F59,G59,H59,I59,J59,K59,L59,M59,N59,O59)</f>
        <v>XS2158820394Sch#0008</v>
      </c>
      <c r="B59" s="40" t="str">
        <f t="shared" si="0"/>
        <v>XS2158820394Sch</v>
      </c>
      <c r="C59" s="41">
        <v>43948</v>
      </c>
      <c r="D59" s="41">
        <v>45043</v>
      </c>
      <c r="E59" s="39" t="str">
        <f>VLOOKUP(W59,Reference!$A$6:$B$8,2,FALSE)</f>
        <v>3M</v>
      </c>
      <c r="F59" s="40" t="str">
        <f>VLOOKUP(U59,Reference!$C$2:$D$6,2,FALSE)</f>
        <v>UnitedStates::Settlement</v>
      </c>
      <c r="G59" s="39" t="s">
        <v>113</v>
      </c>
      <c r="H59" s="39" t="s">
        <v>72</v>
      </c>
      <c r="I59" s="39" t="s">
        <v>114</v>
      </c>
      <c r="J59" s="39" t="b">
        <v>0</v>
      </c>
      <c r="M59" s="39" t="b">
        <v>0</v>
      </c>
      <c r="N59" s="39">
        <f>'ql-USCorp'!$B$5</f>
        <v>1</v>
      </c>
      <c r="O59" s="39" t="b">
        <v>1</v>
      </c>
      <c r="Q59" s="29" t="s">
        <v>314</v>
      </c>
      <c r="R59" s="29" t="s">
        <v>382</v>
      </c>
      <c r="S59" s="30">
        <v>43948</v>
      </c>
      <c r="T59" s="30">
        <v>45043</v>
      </c>
      <c r="U59" s="32" t="s">
        <v>225</v>
      </c>
      <c r="V59" s="29">
        <v>1000000</v>
      </c>
      <c r="W59" s="29">
        <v>4</v>
      </c>
      <c r="X59" s="29">
        <v>1.3345</v>
      </c>
      <c r="Y59" s="29">
        <v>1.2</v>
      </c>
      <c r="Z59" t="str">
        <f t="shared" si="1"/>
        <v>XS2158820394Sch#0008</v>
      </c>
      <c r="AA59" t="str">
        <f t="shared" si="2"/>
        <v>Aa2(Moody's)</v>
      </c>
      <c r="AB59">
        <v>101.39499664306641</v>
      </c>
      <c r="AC59" t="s">
        <v>266</v>
      </c>
      <c r="AD59" t="s">
        <v>389</v>
      </c>
    </row>
    <row r="60" spans="1:30" x14ac:dyDescent="0.25">
      <c r="A60" s="31" t="str">
        <f>_xll.qlSchedule(B60,C60,D60,E60,F60,G60,H60,I60,J60,K60,L60,M60,N60,O60)</f>
        <v>XS2179959221Sch#0008</v>
      </c>
      <c r="B60" s="40" t="str">
        <f t="shared" si="0"/>
        <v>XS2179959221Sch</v>
      </c>
      <c r="C60" s="41">
        <v>43984</v>
      </c>
      <c r="D60" s="41">
        <v>45810</v>
      </c>
      <c r="E60" s="39" t="str">
        <f>VLOOKUP(W60,Reference!$A$6:$B$8,2,FALSE)</f>
        <v>3M</v>
      </c>
      <c r="F60" s="40" t="str">
        <f>VLOOKUP(U60,Reference!$C$2:$D$6,2,FALSE)</f>
        <v>UnitedStates::Settlement</v>
      </c>
      <c r="G60" s="39" t="s">
        <v>113</v>
      </c>
      <c r="H60" s="39" t="s">
        <v>72</v>
      </c>
      <c r="I60" s="39" t="s">
        <v>114</v>
      </c>
      <c r="J60" s="39" t="b">
        <v>0</v>
      </c>
      <c r="M60" s="39" t="b">
        <v>0</v>
      </c>
      <c r="N60" s="39">
        <f>'ql-USCorp'!$B$5</f>
        <v>1</v>
      </c>
      <c r="O60" s="39" t="b">
        <v>1</v>
      </c>
      <c r="Q60" s="29" t="s">
        <v>315</v>
      </c>
      <c r="R60" s="29" t="s">
        <v>382</v>
      </c>
      <c r="S60" s="30">
        <v>43984</v>
      </c>
      <c r="T60" s="30">
        <v>45810</v>
      </c>
      <c r="U60" s="32" t="s">
        <v>225</v>
      </c>
      <c r="V60" s="29">
        <v>5000000</v>
      </c>
      <c r="W60" s="29">
        <v>4</v>
      </c>
      <c r="X60" s="29">
        <v>1.3732500000000001</v>
      </c>
      <c r="Y60" s="29">
        <v>1.2</v>
      </c>
      <c r="Z60" t="str">
        <f t="shared" si="1"/>
        <v>XS2179959221Sch#0008</v>
      </c>
      <c r="AA60" t="str">
        <f t="shared" si="2"/>
        <v>AA(S &amp; P)</v>
      </c>
      <c r="AB60">
        <v>103.5362014770508</v>
      </c>
      <c r="AC60" t="s">
        <v>267</v>
      </c>
      <c r="AD60" t="s">
        <v>389</v>
      </c>
    </row>
    <row r="61" spans="1:30" hidden="1" x14ac:dyDescent="0.25">
      <c r="A61" s="31" t="str">
        <f>_xll.qlSchedule(B61,C61,D61,E61,F61,G61,H61,I61,J61,K61,L61,M61,N61,O61)</f>
        <v>XS2190999834Sch#0008</v>
      </c>
      <c r="B61" s="40" t="str">
        <f t="shared" si="0"/>
        <v>XS2190999834Sch</v>
      </c>
      <c r="C61" s="41">
        <v>44006</v>
      </c>
      <c r="D61" s="41">
        <v>45832</v>
      </c>
      <c r="E61" s="39" t="str">
        <f>VLOOKUP(W61,Reference!$A$6:$B$8,2,FALSE)</f>
        <v>6M</v>
      </c>
      <c r="F61" s="40" t="str">
        <f>VLOOKUP(U61,Reference!$C$2:$D$6,2,FALSE)</f>
        <v>UnitedStates::Settlement</v>
      </c>
      <c r="G61" s="39" t="s">
        <v>113</v>
      </c>
      <c r="H61" s="39" t="s">
        <v>72</v>
      </c>
      <c r="I61" s="39" t="s">
        <v>114</v>
      </c>
      <c r="J61" s="39" t="b">
        <v>0</v>
      </c>
      <c r="M61" s="39" t="b">
        <v>0</v>
      </c>
      <c r="N61" s="39">
        <f>'ql-USCorp'!$B$5</f>
        <v>1</v>
      </c>
      <c r="O61" s="39" t="b">
        <v>1</v>
      </c>
      <c r="Q61" s="29" t="s">
        <v>316</v>
      </c>
      <c r="R61" s="29" t="s">
        <v>380</v>
      </c>
      <c r="S61" s="30">
        <v>44006</v>
      </c>
      <c r="T61" s="30">
        <v>45832</v>
      </c>
      <c r="U61" s="32" t="s">
        <v>225</v>
      </c>
      <c r="V61" s="29">
        <v>3000000</v>
      </c>
      <c r="W61" s="29">
        <v>2</v>
      </c>
      <c r="X61" s="29">
        <v>1.25</v>
      </c>
      <c r="Y61" s="29" t="s">
        <v>381</v>
      </c>
      <c r="Z61" t="str">
        <f t="shared" si="1"/>
        <v>XS2190999834Sch#0008</v>
      </c>
      <c r="AA61" t="str">
        <f t="shared" si="2"/>
        <v>A(S &amp; P)</v>
      </c>
      <c r="AB61">
        <v>98.654998779296875</v>
      </c>
      <c r="AC61" t="s">
        <v>268</v>
      </c>
      <c r="AD61" t="s">
        <v>387</v>
      </c>
    </row>
    <row r="62" spans="1:30" hidden="1" x14ac:dyDescent="0.25">
      <c r="A62" s="31" t="str">
        <f>_xll.qlSchedule(B62,C62,D62,E62,F62,G62,H62,I62,J62,K62,L62,M62,N62,O62)</f>
        <v>XS2208843503Sch#0008</v>
      </c>
      <c r="B62" s="40" t="str">
        <f t="shared" si="0"/>
        <v>XS2208843503Sch</v>
      </c>
      <c r="C62" s="41">
        <v>44047</v>
      </c>
      <c r="D62" s="41">
        <v>45142</v>
      </c>
      <c r="E62" s="39" t="str">
        <f>VLOOKUP(W62,Reference!$A$6:$B$8,2,FALSE)</f>
        <v>6M</v>
      </c>
      <c r="F62" s="40" t="str">
        <f>VLOOKUP(U62,Reference!$C$2:$D$6,2,FALSE)</f>
        <v>UnitedStates::Settlement</v>
      </c>
      <c r="G62" s="39" t="s">
        <v>113</v>
      </c>
      <c r="H62" s="39" t="s">
        <v>72</v>
      </c>
      <c r="I62" s="39" t="s">
        <v>114</v>
      </c>
      <c r="J62" s="39" t="b">
        <v>0</v>
      </c>
      <c r="M62" s="39" t="b">
        <v>0</v>
      </c>
      <c r="N62" s="39">
        <f>'ql-USCorp'!$B$5</f>
        <v>1</v>
      </c>
      <c r="O62" s="39" t="b">
        <v>1</v>
      </c>
      <c r="Q62" s="29" t="s">
        <v>317</v>
      </c>
      <c r="R62" s="29" t="s">
        <v>380</v>
      </c>
      <c r="S62" s="30">
        <v>44047</v>
      </c>
      <c r="T62" s="30">
        <v>45142</v>
      </c>
      <c r="U62" s="32" t="s">
        <v>225</v>
      </c>
      <c r="V62" s="29">
        <v>500000</v>
      </c>
      <c r="W62" s="29">
        <v>2</v>
      </c>
      <c r="X62" s="29">
        <v>1</v>
      </c>
      <c r="Y62" s="29" t="s">
        <v>381</v>
      </c>
      <c r="Z62" t="str">
        <f t="shared" si="1"/>
        <v>XS2208843503Sch#0008</v>
      </c>
      <c r="AA62" t="str">
        <f t="shared" si="2"/>
        <v>A1(Moody's)</v>
      </c>
      <c r="AB62">
        <v>100.0019989013672</v>
      </c>
      <c r="AC62" t="s">
        <v>278</v>
      </c>
      <c r="AD62" t="s">
        <v>399</v>
      </c>
    </row>
    <row r="63" spans="1:30" hidden="1" x14ac:dyDescent="0.25">
      <c r="A63" s="31" t="str">
        <f>_xll.qlSchedule(B63,C63,D63,E63,F63,G63,H63,I63,J63,K63,L63,M63,N63,O63)</f>
        <v>XS2208844493Sch#0008</v>
      </c>
      <c r="B63" s="40" t="str">
        <f t="shared" si="0"/>
        <v>XS2208844493Sch</v>
      </c>
      <c r="C63" s="41">
        <v>44047</v>
      </c>
      <c r="D63" s="41">
        <v>45873</v>
      </c>
      <c r="E63" s="39" t="str">
        <f>VLOOKUP(W63,Reference!$A$6:$B$8,2,FALSE)</f>
        <v>6M</v>
      </c>
      <c r="F63" s="40" t="str">
        <f>VLOOKUP(U63,Reference!$C$2:$D$6,2,FALSE)</f>
        <v>UnitedStates::Settlement</v>
      </c>
      <c r="G63" s="39" t="s">
        <v>113</v>
      </c>
      <c r="H63" s="39" t="s">
        <v>72</v>
      </c>
      <c r="I63" s="39" t="s">
        <v>114</v>
      </c>
      <c r="J63" s="39" t="b">
        <v>0</v>
      </c>
      <c r="M63" s="39" t="b">
        <v>0</v>
      </c>
      <c r="N63" s="39">
        <f>'ql-USCorp'!$B$5</f>
        <v>1</v>
      </c>
      <c r="O63" s="39" t="b">
        <v>1</v>
      </c>
      <c r="Q63" s="29" t="s">
        <v>318</v>
      </c>
      <c r="R63" s="29" t="s">
        <v>380</v>
      </c>
      <c r="S63" s="30">
        <v>44047</v>
      </c>
      <c r="T63" s="30">
        <v>45873</v>
      </c>
      <c r="U63" s="32" t="s">
        <v>225</v>
      </c>
      <c r="V63" s="29">
        <v>4000000</v>
      </c>
      <c r="W63" s="29">
        <v>2</v>
      </c>
      <c r="X63" s="29">
        <v>1.25</v>
      </c>
      <c r="Y63" s="29" t="s">
        <v>381</v>
      </c>
      <c r="Z63" t="str">
        <f t="shared" si="1"/>
        <v>XS2208844493Sch#0008</v>
      </c>
      <c r="AA63" t="str">
        <f t="shared" si="2"/>
        <v>A1(Moody's)</v>
      </c>
      <c r="AB63">
        <v>98.722999572753906</v>
      </c>
      <c r="AC63" t="s">
        <v>279</v>
      </c>
      <c r="AD63" t="s">
        <v>387</v>
      </c>
    </row>
    <row r="64" spans="1:30" hidden="1" x14ac:dyDescent="0.25">
      <c r="A64" s="31" t="str">
        <f>_xll.qlSchedule(B64,C64,D64,E64,F64,G64,H64,I64,J64,K64,L64,M64,N64,O64)</f>
        <v>XS2218281942Sch#0008</v>
      </c>
      <c r="B64" s="40" t="str">
        <f t="shared" si="0"/>
        <v>XS2218281942Sch</v>
      </c>
      <c r="C64" s="41">
        <v>44075</v>
      </c>
      <c r="D64" s="41">
        <v>45901</v>
      </c>
      <c r="E64" s="39" t="str">
        <f>VLOOKUP(W64,Reference!$A$6:$B$8,2,FALSE)</f>
        <v>6M</v>
      </c>
      <c r="F64" s="40" t="str">
        <f>VLOOKUP(U64,Reference!$C$2:$D$6,2,FALSE)</f>
        <v>UnitedStates::Settlement</v>
      </c>
      <c r="G64" s="39" t="s">
        <v>113</v>
      </c>
      <c r="H64" s="39" t="s">
        <v>72</v>
      </c>
      <c r="I64" s="39" t="s">
        <v>114</v>
      </c>
      <c r="J64" s="39" t="b">
        <v>0</v>
      </c>
      <c r="M64" s="39" t="b">
        <v>0</v>
      </c>
      <c r="N64" s="39">
        <f>'ql-USCorp'!$B$5</f>
        <v>1</v>
      </c>
      <c r="O64" s="39" t="b">
        <v>1</v>
      </c>
      <c r="Q64" s="29" t="s">
        <v>319</v>
      </c>
      <c r="R64" s="29" t="s">
        <v>380</v>
      </c>
      <c r="S64" s="30">
        <v>44075</v>
      </c>
      <c r="T64" s="30">
        <v>45901</v>
      </c>
      <c r="U64" s="32" t="s">
        <v>225</v>
      </c>
      <c r="V64" s="29">
        <v>10000000</v>
      </c>
      <c r="W64" s="29">
        <v>2</v>
      </c>
      <c r="X64" s="29">
        <v>1</v>
      </c>
      <c r="Y64" s="29" t="s">
        <v>381</v>
      </c>
      <c r="Z64" t="str">
        <f t="shared" si="1"/>
        <v>XS2218281942Sch#0008</v>
      </c>
      <c r="AA64" t="str">
        <f t="shared" si="2"/>
        <v>A-(S &amp; P)</v>
      </c>
      <c r="AB64">
        <v>98.200996398925781</v>
      </c>
      <c r="AC64" t="s">
        <v>280</v>
      </c>
      <c r="AD64" t="s">
        <v>385</v>
      </c>
    </row>
    <row r="65" spans="1:30" hidden="1" x14ac:dyDescent="0.25">
      <c r="A65" s="31" t="str">
        <f>_xll.qlSchedule(B65,C65,D65,E65,F65,G65,H65,I65,J65,K65,L65,M65,N65,O65)</f>
        <v>XS2236363227Sch#0008</v>
      </c>
      <c r="B65" s="40" t="str">
        <f t="shared" si="0"/>
        <v>XS2236363227Sch</v>
      </c>
      <c r="C65" s="41">
        <v>44132</v>
      </c>
      <c r="D65" s="41">
        <v>47784</v>
      </c>
      <c r="E65" s="39" t="str">
        <f>VLOOKUP(W65,Reference!$A$6:$B$8,2,FALSE)</f>
        <v>6M</v>
      </c>
      <c r="F65" s="40" t="str">
        <f>VLOOKUP(U65,Reference!$C$2:$D$6,2,FALSE)</f>
        <v>UnitedStates::Settlement</v>
      </c>
      <c r="G65" s="39" t="s">
        <v>113</v>
      </c>
      <c r="H65" s="39" t="s">
        <v>72</v>
      </c>
      <c r="I65" s="39" t="s">
        <v>114</v>
      </c>
      <c r="J65" s="39" t="b">
        <v>0</v>
      </c>
      <c r="M65" s="39" t="b">
        <v>0</v>
      </c>
      <c r="N65" s="39">
        <f>'ql-USCorp'!$B$5</f>
        <v>1</v>
      </c>
      <c r="O65" s="39" t="b">
        <v>1</v>
      </c>
      <c r="Q65" s="29" t="s">
        <v>320</v>
      </c>
      <c r="R65" s="29" t="s">
        <v>380</v>
      </c>
      <c r="S65" s="30">
        <v>44132</v>
      </c>
      <c r="T65" s="30">
        <v>47784</v>
      </c>
      <c r="U65" s="32" t="s">
        <v>225</v>
      </c>
      <c r="V65" s="29">
        <v>11000000</v>
      </c>
      <c r="W65" s="29">
        <v>2</v>
      </c>
      <c r="X65" s="29">
        <v>2.5</v>
      </c>
      <c r="Y65" s="29" t="s">
        <v>381</v>
      </c>
      <c r="Z65" t="str">
        <f t="shared" si="1"/>
        <v>XS2236363227Sch#0008</v>
      </c>
      <c r="AA65" t="str">
        <f t="shared" si="2"/>
        <v>A-(S &amp; P)</v>
      </c>
      <c r="AB65">
        <v>99.765998840332031</v>
      </c>
      <c r="AC65" t="s">
        <v>281</v>
      </c>
      <c r="AD65" t="s">
        <v>400</v>
      </c>
    </row>
    <row r="66" spans="1:30" hidden="1" x14ac:dyDescent="0.25">
      <c r="A66" s="31" t="str">
        <f>_xll.qlSchedule(B66,C66,D66,E66,F66,G66,H66,I66,J66,K66,L66,M66,N66,O66)</f>
        <v>XS2262853265Sch#0008</v>
      </c>
      <c r="B66" s="40" t="str">
        <f t="shared" si="0"/>
        <v>XS2262853265Sch</v>
      </c>
      <c r="C66" s="41">
        <v>44159</v>
      </c>
      <c r="D66" s="41">
        <v>47811</v>
      </c>
      <c r="E66" s="39" t="str">
        <f>VLOOKUP(W66,Reference!$A$6:$B$8,2,FALSE)</f>
        <v>6M</v>
      </c>
      <c r="F66" s="40" t="str">
        <f>VLOOKUP(U66,Reference!$C$2:$D$6,2,FALSE)</f>
        <v>UnitedStates::Settlement</v>
      </c>
      <c r="G66" s="39" t="s">
        <v>113</v>
      </c>
      <c r="H66" s="39" t="s">
        <v>72</v>
      </c>
      <c r="I66" s="39" t="s">
        <v>114</v>
      </c>
      <c r="J66" s="39" t="b">
        <v>0</v>
      </c>
      <c r="M66" s="39" t="b">
        <v>0</v>
      </c>
      <c r="N66" s="39">
        <f>'ql-USCorp'!$B$5</f>
        <v>1</v>
      </c>
      <c r="O66" s="39" t="b">
        <v>1</v>
      </c>
      <c r="Q66" s="29" t="s">
        <v>321</v>
      </c>
      <c r="R66" s="29" t="s">
        <v>380</v>
      </c>
      <c r="S66" s="30">
        <v>44159</v>
      </c>
      <c r="T66" s="30">
        <v>47811</v>
      </c>
      <c r="U66" s="32" t="s">
        <v>225</v>
      </c>
      <c r="V66" s="29">
        <v>5000000</v>
      </c>
      <c r="W66" s="29">
        <v>2</v>
      </c>
      <c r="X66" s="29">
        <v>2.25</v>
      </c>
      <c r="Y66" s="29" t="s">
        <v>381</v>
      </c>
      <c r="Z66" t="str">
        <f t="shared" si="1"/>
        <v>XS2262853265Sch#0008</v>
      </c>
      <c r="AA66" t="str">
        <f t="shared" si="2"/>
        <v>A(Fitch)</v>
      </c>
      <c r="AB66">
        <v>96.647003173828125</v>
      </c>
      <c r="AC66" t="s">
        <v>282</v>
      </c>
      <c r="AD66" t="s">
        <v>400</v>
      </c>
    </row>
    <row r="67" spans="1:30" hidden="1" x14ac:dyDescent="0.25">
      <c r="A67" s="31" t="str">
        <f>_xll.qlSchedule(B67,C67,D67,E67,F67,G67,H67,I67,J67,K67,L67,M67,N67,O67)</f>
        <v>XS2265238639Sch#0008</v>
      </c>
      <c r="B67" s="40" t="str">
        <f t="shared" ref="B67:B109" si="3">Q67&amp;"Sch"</f>
        <v>XS2265238639Sch</v>
      </c>
      <c r="C67" s="41">
        <v>44175</v>
      </c>
      <c r="D67" s="41">
        <v>46001</v>
      </c>
      <c r="E67" s="39" t="str">
        <f>VLOOKUP(W67,Reference!$A$6:$B$8,2,FALSE)</f>
        <v>1Y</v>
      </c>
      <c r="F67" s="40" t="str">
        <f>VLOOKUP(U67,Reference!$C$2:$D$6,2,FALSE)</f>
        <v>UnitedStates::Settlement</v>
      </c>
      <c r="G67" s="39" t="s">
        <v>113</v>
      </c>
      <c r="H67" s="39" t="s">
        <v>72</v>
      </c>
      <c r="I67" s="39" t="s">
        <v>114</v>
      </c>
      <c r="J67" s="39" t="b">
        <v>0</v>
      </c>
      <c r="M67" s="39" t="b">
        <v>0</v>
      </c>
      <c r="N67" s="39">
        <f>'ql-USCorp'!$B$5</f>
        <v>1</v>
      </c>
      <c r="O67" s="39" t="b">
        <v>1</v>
      </c>
      <c r="Q67" s="29" t="s">
        <v>322</v>
      </c>
      <c r="R67" s="29" t="s">
        <v>380</v>
      </c>
      <c r="S67" s="30">
        <v>44175</v>
      </c>
      <c r="T67" s="30">
        <v>46001</v>
      </c>
      <c r="U67" s="32" t="s">
        <v>225</v>
      </c>
      <c r="V67" s="29">
        <v>1500000</v>
      </c>
      <c r="W67" s="29">
        <v>1</v>
      </c>
      <c r="X67" s="29">
        <v>0.89400000000000002</v>
      </c>
      <c r="Y67" s="29" t="s">
        <v>381</v>
      </c>
      <c r="Z67" t="str">
        <f t="shared" ref="Z67:Z109" si="4">A67</f>
        <v>XS2265238639Sch#0008</v>
      </c>
      <c r="AA67" t="str">
        <f t="shared" ref="AA67:AA109" si="5">VLOOKUP(Q67,$AC:$AD,2,FALSE)</f>
        <v>A1(Moody's)</v>
      </c>
      <c r="AB67">
        <v>97.570999145507813</v>
      </c>
      <c r="AC67" t="s">
        <v>283</v>
      </c>
      <c r="AD67" t="s">
        <v>121</v>
      </c>
    </row>
    <row r="68" spans="1:30" hidden="1" x14ac:dyDescent="0.25">
      <c r="A68" s="31" t="str">
        <f>_xll.qlSchedule(B68,C68,D68,E68,F68,G68,H68,I68,J68,K68,L68,M68,N68,O68)</f>
        <v>XS2294493544Sch#0008</v>
      </c>
      <c r="B68" s="40" t="str">
        <f t="shared" si="3"/>
        <v>XS2294493544Sch</v>
      </c>
      <c r="C68" s="41">
        <v>44237</v>
      </c>
      <c r="D68" s="41">
        <v>46063</v>
      </c>
      <c r="E68" s="39" t="str">
        <f>VLOOKUP(W68,Reference!$A$6:$B$8,2,FALSE)</f>
        <v>6M</v>
      </c>
      <c r="F68" s="40" t="str">
        <f>VLOOKUP(U68,Reference!$C$2:$D$6,2,FALSE)</f>
        <v>UnitedStates::Settlement</v>
      </c>
      <c r="G68" s="39" t="s">
        <v>113</v>
      </c>
      <c r="H68" s="39" t="s">
        <v>72</v>
      </c>
      <c r="I68" s="39" t="s">
        <v>114</v>
      </c>
      <c r="J68" s="39" t="b">
        <v>0</v>
      </c>
      <c r="M68" s="39" t="b">
        <v>0</v>
      </c>
      <c r="N68" s="39">
        <f>'ql-USCorp'!$B$5</f>
        <v>1</v>
      </c>
      <c r="O68" s="39" t="b">
        <v>1</v>
      </c>
      <c r="Q68" s="29" t="s">
        <v>323</v>
      </c>
      <c r="R68" s="29" t="s">
        <v>380</v>
      </c>
      <c r="S68" s="30">
        <v>44237</v>
      </c>
      <c r="T68" s="30">
        <v>46063</v>
      </c>
      <c r="U68" s="32" t="s">
        <v>225</v>
      </c>
      <c r="V68" s="29">
        <v>5000000</v>
      </c>
      <c r="W68" s="29">
        <v>2</v>
      </c>
      <c r="X68" s="29">
        <v>1.26</v>
      </c>
      <c r="Y68" s="29" t="s">
        <v>381</v>
      </c>
      <c r="Z68" t="str">
        <f t="shared" si="4"/>
        <v>XS2294493544Sch#0008</v>
      </c>
      <c r="AA68" t="str">
        <f t="shared" si="5"/>
        <v>Aa2(Moody's)</v>
      </c>
      <c r="AB68">
        <v>98.853996276855469</v>
      </c>
      <c r="AC68" t="s">
        <v>284</v>
      </c>
      <c r="AD68" t="s">
        <v>387</v>
      </c>
    </row>
    <row r="69" spans="1:30" hidden="1" x14ac:dyDescent="0.25">
      <c r="A69" s="31" t="str">
        <f>_xll.qlSchedule(B69,C69,D69,E69,F69,G69,H69,I69,J69,K69,L69,M69,N69,O69)</f>
        <v>XS2315827209Sch#0008</v>
      </c>
      <c r="B69" s="40" t="str">
        <f t="shared" si="3"/>
        <v>XS2315827209Sch</v>
      </c>
      <c r="C69" s="41">
        <v>44285</v>
      </c>
      <c r="D69" s="41">
        <v>46111</v>
      </c>
      <c r="E69" s="39" t="str">
        <f>VLOOKUP(W69,Reference!$A$6:$B$8,2,FALSE)</f>
        <v>6M</v>
      </c>
      <c r="F69" s="40" t="str">
        <f>VLOOKUP(U69,Reference!$C$2:$D$6,2,FALSE)</f>
        <v>UnitedStates::Settlement</v>
      </c>
      <c r="G69" s="39" t="s">
        <v>113</v>
      </c>
      <c r="H69" s="39" t="s">
        <v>72</v>
      </c>
      <c r="I69" s="39" t="s">
        <v>114</v>
      </c>
      <c r="J69" s="39" t="b">
        <v>0</v>
      </c>
      <c r="M69" s="39" t="b">
        <v>0</v>
      </c>
      <c r="N69" s="39">
        <f>'ql-USCorp'!$B$5</f>
        <v>1</v>
      </c>
      <c r="O69" s="39" t="b">
        <v>1</v>
      </c>
      <c r="Q69" s="29" t="s">
        <v>324</v>
      </c>
      <c r="R69" s="29" t="s">
        <v>380</v>
      </c>
      <c r="S69" s="30">
        <v>44285</v>
      </c>
      <c r="T69" s="30">
        <v>46111</v>
      </c>
      <c r="U69" s="32" t="s">
        <v>225</v>
      </c>
      <c r="V69" s="29">
        <v>5000000</v>
      </c>
      <c r="W69" s="29">
        <v>2</v>
      </c>
      <c r="X69" s="29">
        <v>1.5640000000000001</v>
      </c>
      <c r="Y69" s="29" t="s">
        <v>381</v>
      </c>
      <c r="Z69" t="str">
        <f t="shared" si="4"/>
        <v>XS2315827209Sch#0008</v>
      </c>
      <c r="AA69" t="str">
        <f t="shared" si="5"/>
        <v>A3(Moody's)</v>
      </c>
      <c r="AB69">
        <v>99.752998352050781</v>
      </c>
      <c r="AC69" t="s">
        <v>285</v>
      </c>
      <c r="AD69" t="s">
        <v>393</v>
      </c>
    </row>
    <row r="70" spans="1:30" hidden="1" x14ac:dyDescent="0.25">
      <c r="A70" s="31" t="str">
        <f>_xll.qlSchedule(B70,C70,D70,E70,F70,G70,H70,I70,J70,K70,L70,M70,N70,O70)</f>
        <v>XS2315967989Sch#0008</v>
      </c>
      <c r="B70" s="40" t="str">
        <f t="shared" si="3"/>
        <v>XS2315967989Sch</v>
      </c>
      <c r="C70" s="41">
        <v>44284</v>
      </c>
      <c r="D70" s="41">
        <v>46110</v>
      </c>
      <c r="E70" s="39" t="str">
        <f>VLOOKUP(W70,Reference!$A$6:$B$8,2,FALSE)</f>
        <v>6M</v>
      </c>
      <c r="F70" s="40" t="str">
        <f>VLOOKUP(U70,Reference!$C$2:$D$6,2,FALSE)</f>
        <v>UnitedStates::Settlement</v>
      </c>
      <c r="G70" s="39" t="s">
        <v>113</v>
      </c>
      <c r="H70" s="39" t="s">
        <v>72</v>
      </c>
      <c r="I70" s="39" t="s">
        <v>114</v>
      </c>
      <c r="J70" s="39" t="b">
        <v>0</v>
      </c>
      <c r="M70" s="39" t="b">
        <v>0</v>
      </c>
      <c r="N70" s="39">
        <f>'ql-USCorp'!$B$5</f>
        <v>1</v>
      </c>
      <c r="O70" s="39" t="b">
        <v>1</v>
      </c>
      <c r="Q70" s="29" t="s">
        <v>325</v>
      </c>
      <c r="R70" s="29" t="s">
        <v>380</v>
      </c>
      <c r="S70" s="30">
        <v>44284</v>
      </c>
      <c r="T70" s="30">
        <v>46110</v>
      </c>
      <c r="U70" s="32" t="s">
        <v>225</v>
      </c>
      <c r="V70" s="29">
        <v>5000000</v>
      </c>
      <c r="W70" s="29">
        <v>2</v>
      </c>
      <c r="X70" s="29">
        <v>1.5</v>
      </c>
      <c r="Y70" s="29" t="s">
        <v>381</v>
      </c>
      <c r="Z70" t="str">
        <f t="shared" si="4"/>
        <v>XS2315967989Sch#0008</v>
      </c>
      <c r="AA70" t="str">
        <f t="shared" si="5"/>
        <v>A3(Moody's)</v>
      </c>
      <c r="AB70">
        <v>98.722000122070313</v>
      </c>
      <c r="AC70" t="s">
        <v>286</v>
      </c>
      <c r="AD70" t="s">
        <v>393</v>
      </c>
    </row>
    <row r="71" spans="1:30" hidden="1" x14ac:dyDescent="0.25">
      <c r="A71" s="31" t="str">
        <f>_xll.qlSchedule(B71,C71,D71,E71,F71,G71,H71,I71,J71,K71,L71,M71,N71,O71)</f>
        <v>XS2341140932Sch#0008</v>
      </c>
      <c r="B71" s="40" t="str">
        <f t="shared" si="3"/>
        <v>XS2341140932Sch</v>
      </c>
      <c r="C71" s="41">
        <v>44370</v>
      </c>
      <c r="D71" s="41">
        <v>46196</v>
      </c>
      <c r="E71" s="39" t="str">
        <f>VLOOKUP(W71,Reference!$A$6:$B$8,2,FALSE)</f>
        <v>6M</v>
      </c>
      <c r="F71" s="40" t="str">
        <f>VLOOKUP(U71,Reference!$C$2:$D$6,2,FALSE)</f>
        <v>UnitedStates::Settlement</v>
      </c>
      <c r="G71" s="39" t="s">
        <v>113</v>
      </c>
      <c r="H71" s="39" t="s">
        <v>72</v>
      </c>
      <c r="I71" s="39" t="s">
        <v>114</v>
      </c>
      <c r="J71" s="39" t="b">
        <v>0</v>
      </c>
      <c r="M71" s="39" t="b">
        <v>0</v>
      </c>
      <c r="N71" s="39">
        <f>'ql-USCorp'!$B$5</f>
        <v>1</v>
      </c>
      <c r="O71" s="39" t="b">
        <v>1</v>
      </c>
      <c r="Q71" s="29" t="s">
        <v>326</v>
      </c>
      <c r="R71" s="29" t="s">
        <v>380</v>
      </c>
      <c r="S71" s="30">
        <v>44370</v>
      </c>
      <c r="T71" s="30">
        <v>46196</v>
      </c>
      <c r="U71" s="32" t="s">
        <v>225</v>
      </c>
      <c r="V71" s="29">
        <v>5000000</v>
      </c>
      <c r="W71" s="29">
        <v>2</v>
      </c>
      <c r="X71" s="29">
        <v>1.375</v>
      </c>
      <c r="Y71" s="29" t="s">
        <v>381</v>
      </c>
      <c r="Z71" t="str">
        <f t="shared" si="4"/>
        <v>XS2341140932Sch#0008</v>
      </c>
      <c r="AA71" t="str">
        <f t="shared" si="5"/>
        <v>A2(Moody's)</v>
      </c>
      <c r="AB71">
        <v>97.869003295898438</v>
      </c>
      <c r="AC71" t="s">
        <v>287</v>
      </c>
      <c r="AD71" t="s">
        <v>121</v>
      </c>
    </row>
    <row r="72" spans="1:30" hidden="1" x14ac:dyDescent="0.25">
      <c r="A72" s="31" t="str">
        <f>_xll.qlSchedule(B72,C72,D72,E72,F72,G72,H72,I72,J72,K72,L72,M72,N72,O72)</f>
        <v>XS2364514708Sch#0008</v>
      </c>
      <c r="B72" s="40" t="str">
        <f t="shared" si="3"/>
        <v>XS2364514708Sch</v>
      </c>
      <c r="C72" s="41">
        <v>44398</v>
      </c>
      <c r="D72" s="41">
        <v>46224</v>
      </c>
      <c r="E72" s="39" t="str">
        <f>VLOOKUP(W72,Reference!$A$6:$B$8,2,FALSE)</f>
        <v>6M</v>
      </c>
      <c r="F72" s="40" t="str">
        <f>VLOOKUP(U72,Reference!$C$2:$D$6,2,FALSE)</f>
        <v>UnitedStates::Settlement</v>
      </c>
      <c r="G72" s="39" t="s">
        <v>113</v>
      </c>
      <c r="H72" s="39" t="s">
        <v>72</v>
      </c>
      <c r="I72" s="39" t="s">
        <v>114</v>
      </c>
      <c r="J72" s="39" t="b">
        <v>0</v>
      </c>
      <c r="M72" s="39" t="b">
        <v>0</v>
      </c>
      <c r="N72" s="39">
        <f>'ql-USCorp'!$B$5</f>
        <v>1</v>
      </c>
      <c r="O72" s="39" t="b">
        <v>1</v>
      </c>
      <c r="Q72" s="29" t="s">
        <v>327</v>
      </c>
      <c r="R72" s="29" t="s">
        <v>380</v>
      </c>
      <c r="S72" s="30">
        <v>44398</v>
      </c>
      <c r="T72" s="30">
        <v>46224</v>
      </c>
      <c r="U72" s="32" t="s">
        <v>225</v>
      </c>
      <c r="V72" s="29">
        <v>7000000</v>
      </c>
      <c r="W72" s="29">
        <v>2</v>
      </c>
      <c r="X72" s="29">
        <v>1.71</v>
      </c>
      <c r="Y72" s="29" t="s">
        <v>381</v>
      </c>
      <c r="Z72" t="str">
        <f t="shared" si="4"/>
        <v>XS2364514708Sch#0008</v>
      </c>
      <c r="AA72" t="str">
        <f t="shared" si="5"/>
        <v>Aa3(Moody's)</v>
      </c>
      <c r="AB72">
        <v>98.92431640625</v>
      </c>
      <c r="AC72" t="s">
        <v>289</v>
      </c>
      <c r="AD72" t="s">
        <v>394</v>
      </c>
    </row>
    <row r="73" spans="1:30" hidden="1" x14ac:dyDescent="0.25">
      <c r="A73" s="31" t="str">
        <f>_xll.qlSchedule(B73,C73,D73,E73,F73,G73,H73,I73,J73,K73,L73,M73,N73,O73)</f>
        <v>XS2384719667Sch#0008</v>
      </c>
      <c r="B73" s="40" t="str">
        <f t="shared" si="3"/>
        <v>XS2384719667Sch</v>
      </c>
      <c r="C73" s="41">
        <v>44463</v>
      </c>
      <c r="D73" s="41">
        <v>46289</v>
      </c>
      <c r="E73" s="39" t="str">
        <f>VLOOKUP(W73,Reference!$A$6:$B$8,2,FALSE)</f>
        <v>6M</v>
      </c>
      <c r="F73" s="40" t="str">
        <f>VLOOKUP(U73,Reference!$C$2:$D$6,2,FALSE)</f>
        <v>UnitedStates::Settlement</v>
      </c>
      <c r="G73" s="39" t="s">
        <v>113</v>
      </c>
      <c r="H73" s="39" t="s">
        <v>72</v>
      </c>
      <c r="I73" s="39" t="s">
        <v>114</v>
      </c>
      <c r="J73" s="39" t="b">
        <v>0</v>
      </c>
      <c r="M73" s="39" t="b">
        <v>0</v>
      </c>
      <c r="N73" s="39">
        <f>'ql-USCorp'!$B$5</f>
        <v>1</v>
      </c>
      <c r="O73" s="39" t="b">
        <v>1</v>
      </c>
      <c r="Q73" s="29" t="s">
        <v>328</v>
      </c>
      <c r="R73" s="29" t="s">
        <v>380</v>
      </c>
      <c r="S73" s="30">
        <v>44463</v>
      </c>
      <c r="T73" s="30">
        <v>46289</v>
      </c>
      <c r="U73" s="32" t="s">
        <v>225</v>
      </c>
      <c r="V73" s="29">
        <v>3000000</v>
      </c>
      <c r="W73" s="29">
        <v>2</v>
      </c>
      <c r="X73" s="29">
        <v>1.885</v>
      </c>
      <c r="Y73" s="29" t="s">
        <v>381</v>
      </c>
      <c r="Z73" t="str">
        <f t="shared" si="4"/>
        <v>XS2384719667Sch#0008</v>
      </c>
      <c r="AA73" t="str">
        <f t="shared" si="5"/>
        <v>A-(S &amp; P)</v>
      </c>
      <c r="AB73">
        <v>98.559547424316406</v>
      </c>
      <c r="AC73" t="s">
        <v>290</v>
      </c>
      <c r="AD73" t="s">
        <v>121</v>
      </c>
    </row>
    <row r="74" spans="1:30" hidden="1" x14ac:dyDescent="0.25">
      <c r="A74" s="31" t="str">
        <f>_xll.qlSchedule(B74,C74,D74,E74,F74,G74,H74,I74,J74,K74,L74,M74,N74,O74)</f>
        <v>US00131MAH60Sch#0008</v>
      </c>
      <c r="B74" s="40" t="str">
        <f t="shared" si="3"/>
        <v>US00131MAH60Sch</v>
      </c>
      <c r="C74" s="41">
        <v>43564</v>
      </c>
      <c r="D74" s="41">
        <v>47217</v>
      </c>
      <c r="E74" s="39" t="str">
        <f>VLOOKUP(W74,Reference!$A$6:$B$8,2,FALSE)</f>
        <v>6M</v>
      </c>
      <c r="F74" s="40" t="str">
        <f>VLOOKUP(U74,Reference!$C$2:$D$6,2,FALSE)</f>
        <v>UnitedStates::Settlement</v>
      </c>
      <c r="G74" s="39" t="s">
        <v>113</v>
      </c>
      <c r="H74" s="39" t="s">
        <v>72</v>
      </c>
      <c r="I74" s="39" t="s">
        <v>114</v>
      </c>
      <c r="J74" s="39" t="b">
        <v>0</v>
      </c>
      <c r="M74" s="39" t="b">
        <v>0</v>
      </c>
      <c r="N74" s="39">
        <f>'ql-USCorp'!$B$5</f>
        <v>1</v>
      </c>
      <c r="O74" s="39" t="b">
        <v>1</v>
      </c>
      <c r="Q74" s="29" t="s">
        <v>329</v>
      </c>
      <c r="R74" s="29" t="s">
        <v>380</v>
      </c>
      <c r="S74" s="30">
        <v>43564</v>
      </c>
      <c r="T74" s="30">
        <v>47217</v>
      </c>
      <c r="U74" s="32" t="s">
        <v>225</v>
      </c>
      <c r="V74" s="29">
        <v>5000000</v>
      </c>
      <c r="W74" s="29">
        <v>2</v>
      </c>
      <c r="X74" s="29">
        <v>0</v>
      </c>
      <c r="Y74" s="29" t="s">
        <v>381</v>
      </c>
      <c r="Z74" t="str">
        <f t="shared" si="4"/>
        <v>US00131MAH60Sch#0008</v>
      </c>
      <c r="AA74" t="str">
        <f t="shared" si="5"/>
        <v>A1(Moody's)</v>
      </c>
      <c r="AB74">
        <v>109.24400329589839</v>
      </c>
      <c r="AC74" t="s">
        <v>294</v>
      </c>
      <c r="AD74" t="s">
        <v>401</v>
      </c>
    </row>
    <row r="75" spans="1:30" x14ac:dyDescent="0.25">
      <c r="A75" s="31" t="str">
        <f>_xll.qlSchedule(B75,C75,D75,E75,F75,G75,H75,I75,J75,K75,L75,M75,N75,O75)</f>
        <v>US00182FBD78Sch#0008</v>
      </c>
      <c r="B75" s="40" t="str">
        <f t="shared" si="3"/>
        <v>US00182FBD78Sch</v>
      </c>
      <c r="C75" s="41">
        <v>42760</v>
      </c>
      <c r="D75" s="41">
        <v>44586</v>
      </c>
      <c r="E75" s="39" t="str">
        <f>VLOOKUP(W75,Reference!$A$6:$B$8,2,FALSE)</f>
        <v>3M</v>
      </c>
      <c r="F75" s="40" t="str">
        <f>VLOOKUP(U75,Reference!$C$2:$D$6,2,FALSE)</f>
        <v>UnitedStates::Settlement</v>
      </c>
      <c r="G75" s="39" t="s">
        <v>113</v>
      </c>
      <c r="H75" s="39" t="s">
        <v>72</v>
      </c>
      <c r="I75" s="39" t="s">
        <v>114</v>
      </c>
      <c r="J75" s="39" t="b">
        <v>0</v>
      </c>
      <c r="M75" s="39" t="b">
        <v>0</v>
      </c>
      <c r="N75" s="39">
        <f>'ql-USCorp'!$B$5</f>
        <v>1</v>
      </c>
      <c r="O75" s="39" t="b">
        <v>1</v>
      </c>
      <c r="Q75" s="29" t="s">
        <v>330</v>
      </c>
      <c r="R75" s="29" t="s">
        <v>382</v>
      </c>
      <c r="S75" s="30">
        <v>42760</v>
      </c>
      <c r="T75" s="30">
        <v>44586</v>
      </c>
      <c r="U75" s="32" t="s">
        <v>225</v>
      </c>
      <c r="V75" s="29">
        <v>10000000</v>
      </c>
      <c r="W75" s="29">
        <v>4</v>
      </c>
      <c r="X75" s="29">
        <v>3.6</v>
      </c>
      <c r="Y75" s="29" t="s">
        <v>381</v>
      </c>
      <c r="Z75" t="str">
        <f t="shared" si="4"/>
        <v>US00182FBD78Sch#0008</v>
      </c>
      <c r="AA75" t="str">
        <f t="shared" si="5"/>
        <v>A+(Fitch)</v>
      </c>
      <c r="AB75">
        <v>100.1340026855469</v>
      </c>
      <c r="AC75" t="s">
        <v>295</v>
      </c>
      <c r="AD75" t="s">
        <v>121</v>
      </c>
    </row>
    <row r="76" spans="1:30" x14ac:dyDescent="0.25">
      <c r="A76" s="31" t="str">
        <f>_xll.qlSchedule(B76,C76,D76,E76,F76,G76,H76,I76,J76,K76,L76,M76,N76,O76)</f>
        <v>US00216NAB55Sch#0008</v>
      </c>
      <c r="B76" s="40" t="str">
        <f t="shared" si="3"/>
        <v>US00216NAB55Sch</v>
      </c>
      <c r="C76" s="41">
        <v>43265</v>
      </c>
      <c r="D76" s="41">
        <v>45091</v>
      </c>
      <c r="E76" s="39" t="str">
        <f>VLOOKUP(W76,Reference!$A$6:$B$8,2,FALSE)</f>
        <v>3M</v>
      </c>
      <c r="F76" s="40" t="str">
        <f>VLOOKUP(U76,Reference!$C$2:$D$6,2,FALSE)</f>
        <v>UnitedStates::Settlement</v>
      </c>
      <c r="G76" s="39" t="s">
        <v>113</v>
      </c>
      <c r="H76" s="39" t="s">
        <v>72</v>
      </c>
      <c r="I76" s="39" t="s">
        <v>114</v>
      </c>
      <c r="J76" s="39" t="b">
        <v>0</v>
      </c>
      <c r="M76" s="39" t="b">
        <v>0</v>
      </c>
      <c r="N76" s="39">
        <f>'ql-USCorp'!$B$5</f>
        <v>1</v>
      </c>
      <c r="O76" s="39" t="b">
        <v>1</v>
      </c>
      <c r="Q76" s="29" t="s">
        <v>279</v>
      </c>
      <c r="R76" s="29" t="s">
        <v>382</v>
      </c>
      <c r="S76" s="30">
        <v>43265</v>
      </c>
      <c r="T76" s="30">
        <v>45091</v>
      </c>
      <c r="U76" s="32" t="s">
        <v>225</v>
      </c>
      <c r="V76" s="29">
        <v>10000000</v>
      </c>
      <c r="W76" s="29">
        <v>4</v>
      </c>
      <c r="X76" s="29">
        <v>1.1248800000000001</v>
      </c>
      <c r="Y76" s="29">
        <v>1</v>
      </c>
      <c r="Z76" t="str">
        <f t="shared" si="4"/>
        <v>US00216NAB55Sch#0008</v>
      </c>
      <c r="AA76" t="str">
        <f t="shared" si="5"/>
        <v>A1(Moody's)</v>
      </c>
      <c r="AB76">
        <v>101.3308792114258</v>
      </c>
      <c r="AC76" t="s">
        <v>296</v>
      </c>
      <c r="AD76" t="s">
        <v>121</v>
      </c>
    </row>
    <row r="77" spans="1:30" hidden="1" x14ac:dyDescent="0.25">
      <c r="A77" s="31" t="str">
        <f>_xll.qlSchedule(B77,C77,D77,E77,F77,G77,H77,I77,J77,K77,L77,M77,N77,O77)</f>
        <v>US06407F2C54Sch#0008</v>
      </c>
      <c r="B77" s="40" t="str">
        <f t="shared" si="3"/>
        <v>US06407F2C54Sch</v>
      </c>
      <c r="C77" s="41">
        <v>44258</v>
      </c>
      <c r="D77" s="41">
        <v>46084</v>
      </c>
      <c r="E77" s="39" t="str">
        <f>VLOOKUP(W77,Reference!$A$6:$B$8,2,FALSE)</f>
        <v>6M</v>
      </c>
      <c r="F77" s="40" t="str">
        <f>VLOOKUP(U77,Reference!$C$2:$D$6,2,FALSE)</f>
        <v>UnitedStates::Settlement</v>
      </c>
      <c r="G77" s="39" t="s">
        <v>113</v>
      </c>
      <c r="H77" s="39" t="s">
        <v>72</v>
      </c>
      <c r="I77" s="39" t="s">
        <v>114</v>
      </c>
      <c r="J77" s="39" t="b">
        <v>0</v>
      </c>
      <c r="M77" s="39" t="b">
        <v>0</v>
      </c>
      <c r="N77" s="39">
        <f>'ql-USCorp'!$B$5</f>
        <v>1</v>
      </c>
      <c r="O77" s="39" t="b">
        <v>1</v>
      </c>
      <c r="Q77" s="29" t="s">
        <v>284</v>
      </c>
      <c r="R77" s="29" t="s">
        <v>380</v>
      </c>
      <c r="S77" s="30">
        <v>44258</v>
      </c>
      <c r="T77" s="30">
        <v>46084</v>
      </c>
      <c r="U77" s="32" t="s">
        <v>225</v>
      </c>
      <c r="V77" s="29">
        <v>5000000</v>
      </c>
      <c r="W77" s="29">
        <v>2</v>
      </c>
      <c r="X77" s="29">
        <v>1.16825</v>
      </c>
      <c r="Y77" s="29">
        <v>0.97</v>
      </c>
      <c r="Z77" t="str">
        <f t="shared" si="4"/>
        <v>US06407F2C54Sch#0008</v>
      </c>
      <c r="AA77" t="str">
        <f t="shared" si="5"/>
        <v>A1(Moody's)</v>
      </c>
      <c r="AB77">
        <v>97.255996704101563</v>
      </c>
      <c r="AC77" t="s">
        <v>297</v>
      </c>
      <c r="AD77" t="s">
        <v>121</v>
      </c>
    </row>
    <row r="78" spans="1:30" x14ac:dyDescent="0.25">
      <c r="A78" s="31" t="str">
        <f>_xll.qlSchedule(B78,C78,D78,E78,F78,G78,H78,I78,J78,K78,L78,M78,N78,O78)</f>
        <v>US06675GAQ82Sch#0008</v>
      </c>
      <c r="B78" s="40" t="str">
        <f t="shared" si="3"/>
        <v>US06675GAQ82Sch</v>
      </c>
      <c r="C78" s="41">
        <v>43301</v>
      </c>
      <c r="D78" s="41">
        <v>45127</v>
      </c>
      <c r="E78" s="39" t="str">
        <f>VLOOKUP(W78,Reference!$A$6:$B$8,2,FALSE)</f>
        <v>3M</v>
      </c>
      <c r="F78" s="40" t="str">
        <f>VLOOKUP(U78,Reference!$C$2:$D$6,2,FALSE)</f>
        <v>UnitedStates::Settlement</v>
      </c>
      <c r="G78" s="39" t="s">
        <v>113</v>
      </c>
      <c r="H78" s="39" t="s">
        <v>72</v>
      </c>
      <c r="I78" s="39" t="s">
        <v>114</v>
      </c>
      <c r="J78" s="39" t="b">
        <v>0</v>
      </c>
      <c r="M78" s="39" t="b">
        <v>0</v>
      </c>
      <c r="N78" s="39">
        <f>'ql-USCorp'!$B$5</f>
        <v>1</v>
      </c>
      <c r="O78" s="39" t="b">
        <v>1</v>
      </c>
      <c r="Q78" s="29" t="s">
        <v>331</v>
      </c>
      <c r="R78" s="29" t="s">
        <v>382</v>
      </c>
      <c r="S78" s="30">
        <v>43301</v>
      </c>
      <c r="T78" s="30">
        <v>45127</v>
      </c>
      <c r="U78" s="32" t="s">
        <v>225</v>
      </c>
      <c r="V78" s="29">
        <v>18000000</v>
      </c>
      <c r="W78" s="29">
        <v>4</v>
      </c>
      <c r="X78" s="29">
        <v>1</v>
      </c>
      <c r="Y78" s="29" t="s">
        <v>381</v>
      </c>
      <c r="Z78" t="str">
        <f t="shared" si="4"/>
        <v>US06675GAQ82Sch#0008</v>
      </c>
      <c r="AA78" t="str">
        <f t="shared" si="5"/>
        <v>Aa3(Moody's)</v>
      </c>
      <c r="AB78">
        <v>101.3460006713867</v>
      </c>
      <c r="AC78" t="s">
        <v>298</v>
      </c>
      <c r="AD78" t="s">
        <v>121</v>
      </c>
    </row>
    <row r="79" spans="1:30" hidden="1" x14ac:dyDescent="0.25">
      <c r="A79" s="31" t="str">
        <f>_xll.qlSchedule(B79,C79,D79,E79,F79,G79,H79,I79,J79,K79,L79,M79,N79,O79)</f>
        <v>US10373QBM15Sch#0008</v>
      </c>
      <c r="B79" s="40" t="str">
        <f t="shared" si="3"/>
        <v>US10373QBM15Sch</v>
      </c>
      <c r="C79" s="41">
        <v>44053</v>
      </c>
      <c r="D79" s="41">
        <v>47705</v>
      </c>
      <c r="E79" s="39" t="str">
        <f>VLOOKUP(W79,Reference!$A$6:$B$8,2,FALSE)</f>
        <v>6M</v>
      </c>
      <c r="F79" s="40" t="str">
        <f>VLOOKUP(U79,Reference!$C$2:$D$6,2,FALSE)</f>
        <v>UnitedStates::Settlement</v>
      </c>
      <c r="G79" s="39" t="s">
        <v>113</v>
      </c>
      <c r="H79" s="39" t="s">
        <v>72</v>
      </c>
      <c r="I79" s="39" t="s">
        <v>114</v>
      </c>
      <c r="J79" s="39" t="b">
        <v>0</v>
      </c>
      <c r="M79" s="39" t="b">
        <v>0</v>
      </c>
      <c r="N79" s="39">
        <f>'ql-USCorp'!$B$5</f>
        <v>1</v>
      </c>
      <c r="O79" s="39" t="b">
        <v>1</v>
      </c>
      <c r="Q79" s="29" t="s">
        <v>332</v>
      </c>
      <c r="R79" s="29" t="s">
        <v>380</v>
      </c>
      <c r="S79" s="30">
        <v>44053</v>
      </c>
      <c r="T79" s="30">
        <v>47705</v>
      </c>
      <c r="U79" s="32" t="s">
        <v>225</v>
      </c>
      <c r="V79" s="29">
        <v>5000000</v>
      </c>
      <c r="W79" s="29">
        <v>2</v>
      </c>
      <c r="X79" s="29">
        <v>1.0914999999999999</v>
      </c>
      <c r="Y79" s="29">
        <v>0.96</v>
      </c>
      <c r="Z79" t="str">
        <f t="shared" si="4"/>
        <v>US10373QBM15Sch#0008</v>
      </c>
      <c r="AA79" t="str">
        <f t="shared" si="5"/>
        <v>A2(Moody's)</v>
      </c>
      <c r="AB79">
        <v>96</v>
      </c>
      <c r="AC79" t="s">
        <v>300</v>
      </c>
      <c r="AD79" t="s">
        <v>121</v>
      </c>
    </row>
    <row r="80" spans="1:30" x14ac:dyDescent="0.25">
      <c r="A80" s="31" t="str">
        <f>_xll.qlSchedule(B80,C80,D80,E80,F80,G80,H80,I80,J80,K80,L80,M80,N80,O80)</f>
        <v>US136069TZ40Sch#0008</v>
      </c>
      <c r="B80" s="40" t="str">
        <f t="shared" si="3"/>
        <v>US136069TZ40Sch</v>
      </c>
      <c r="C80" s="41">
        <v>42902</v>
      </c>
      <c r="D80" s="41">
        <v>44728</v>
      </c>
      <c r="E80" s="39" t="str">
        <f>VLOOKUP(W80,Reference!$A$6:$B$8,2,FALSE)</f>
        <v>3M</v>
      </c>
      <c r="F80" s="40" t="str">
        <f>VLOOKUP(U80,Reference!$C$2:$D$6,2,FALSE)</f>
        <v>UnitedStates::Settlement</v>
      </c>
      <c r="G80" s="39" t="s">
        <v>113</v>
      </c>
      <c r="H80" s="39" t="s">
        <v>72</v>
      </c>
      <c r="I80" s="39" t="s">
        <v>114</v>
      </c>
      <c r="J80" s="39" t="b">
        <v>0</v>
      </c>
      <c r="M80" s="39" t="b">
        <v>0</v>
      </c>
      <c r="N80" s="39">
        <f>'ql-USCorp'!$B$5</f>
        <v>1</v>
      </c>
      <c r="O80" s="39" t="b">
        <v>1</v>
      </c>
      <c r="Q80" s="29" t="s">
        <v>286</v>
      </c>
      <c r="R80" s="29" t="s">
        <v>382</v>
      </c>
      <c r="S80" s="30">
        <v>42902</v>
      </c>
      <c r="T80" s="30">
        <v>44728</v>
      </c>
      <c r="U80" s="32" t="s">
        <v>225</v>
      </c>
      <c r="V80" s="29">
        <v>10000000</v>
      </c>
      <c r="W80" s="29">
        <v>4</v>
      </c>
      <c r="X80" s="29">
        <v>1.7490000000000001</v>
      </c>
      <c r="Y80" s="29" t="s">
        <v>381</v>
      </c>
      <c r="Z80" t="str">
        <f t="shared" si="4"/>
        <v>US136069TZ40Sch#0008</v>
      </c>
      <c r="AA80" t="str">
        <f t="shared" si="5"/>
        <v>Aa2(Moody's)</v>
      </c>
      <c r="AB80">
        <v>100.3369979858398</v>
      </c>
      <c r="AC80" t="s">
        <v>301</v>
      </c>
      <c r="AD80" t="s">
        <v>401</v>
      </c>
    </row>
    <row r="81" spans="1:30" x14ac:dyDescent="0.25">
      <c r="A81" s="31" t="str">
        <f>_xll.qlSchedule(B81,C81,D81,E81,F81,G81,H81,I81,J81,K81,L81,M81,N81,O81)</f>
        <v>US2027A1JS79Sch#0008</v>
      </c>
      <c r="B81" s="40" t="str">
        <f t="shared" si="3"/>
        <v>US2027A1JS79Sch</v>
      </c>
      <c r="C81" s="41">
        <v>42996</v>
      </c>
      <c r="D81" s="41">
        <v>44822</v>
      </c>
      <c r="E81" s="39" t="str">
        <f>VLOOKUP(W81,Reference!$A$6:$B$8,2,FALSE)</f>
        <v>3M</v>
      </c>
      <c r="F81" s="40" t="str">
        <f>VLOOKUP(U81,Reference!$C$2:$D$6,2,FALSE)</f>
        <v>UnitedStates::Settlement</v>
      </c>
      <c r="G81" s="39" t="s">
        <v>113</v>
      </c>
      <c r="H81" s="39" t="s">
        <v>72</v>
      </c>
      <c r="I81" s="39" t="s">
        <v>114</v>
      </c>
      <c r="J81" s="39" t="b">
        <v>0</v>
      </c>
      <c r="M81" s="39" t="b">
        <v>0</v>
      </c>
      <c r="N81" s="39">
        <f>'ql-USCorp'!$B$5</f>
        <v>1</v>
      </c>
      <c r="O81" s="39" t="b">
        <v>1</v>
      </c>
      <c r="Q81" s="29" t="s">
        <v>333</v>
      </c>
      <c r="R81" s="29" t="s">
        <v>382</v>
      </c>
      <c r="S81" s="30">
        <v>42996</v>
      </c>
      <c r="T81" s="30">
        <v>44822</v>
      </c>
      <c r="U81" s="32" t="s">
        <v>225</v>
      </c>
      <c r="V81" s="29">
        <v>1000000</v>
      </c>
      <c r="W81" s="29">
        <v>4</v>
      </c>
      <c r="X81" s="29">
        <v>0.93088000000000004</v>
      </c>
      <c r="Y81" s="29">
        <v>0.72</v>
      </c>
      <c r="Z81" t="str">
        <f t="shared" si="4"/>
        <v>US2027A1JS79Sch#0008</v>
      </c>
      <c r="AA81" t="str">
        <f t="shared" si="5"/>
        <v>Aa3(Moody's)</v>
      </c>
      <c r="AB81">
        <v>100.4560012817383</v>
      </c>
      <c r="AC81" t="s">
        <v>302</v>
      </c>
      <c r="AD81" t="s">
        <v>385</v>
      </c>
    </row>
    <row r="82" spans="1:30" x14ac:dyDescent="0.25">
      <c r="A82" s="31" t="str">
        <f>_xll.qlSchedule(B82,C82,D82,E82,F82,G82,H82,I82,J82,K82,L82,M82,N82,O82)</f>
        <v>US21688AAM45Sch#0008</v>
      </c>
      <c r="B82" s="40" t="str">
        <f t="shared" si="3"/>
        <v>US21688AAM45Sch</v>
      </c>
      <c r="C82" s="41">
        <v>43110</v>
      </c>
      <c r="D82" s="41">
        <v>44936</v>
      </c>
      <c r="E82" s="39" t="str">
        <f>VLOOKUP(W82,Reference!$A$6:$B$8,2,FALSE)</f>
        <v>3M</v>
      </c>
      <c r="F82" s="40" t="str">
        <f>VLOOKUP(U82,Reference!$C$2:$D$6,2,FALSE)</f>
        <v>UnitedStates::Settlement</v>
      </c>
      <c r="G82" s="39" t="s">
        <v>113</v>
      </c>
      <c r="H82" s="39" t="s">
        <v>72</v>
      </c>
      <c r="I82" s="39" t="s">
        <v>114</v>
      </c>
      <c r="J82" s="39" t="b">
        <v>0</v>
      </c>
      <c r="M82" s="39" t="b">
        <v>0</v>
      </c>
      <c r="N82" s="39">
        <f>'ql-USCorp'!$B$5</f>
        <v>1</v>
      </c>
      <c r="O82" s="39" t="b">
        <v>1</v>
      </c>
      <c r="Q82" s="29" t="s">
        <v>289</v>
      </c>
      <c r="R82" s="29" t="s">
        <v>382</v>
      </c>
      <c r="S82" s="30">
        <v>43110</v>
      </c>
      <c r="T82" s="30">
        <v>44936</v>
      </c>
      <c r="U82" s="32" t="s">
        <v>225</v>
      </c>
      <c r="V82" s="29">
        <v>10000000</v>
      </c>
      <c r="W82" s="29">
        <v>4</v>
      </c>
      <c r="X82" s="29">
        <v>0.89363000000000004</v>
      </c>
      <c r="Y82" s="29">
        <v>0.68</v>
      </c>
      <c r="Z82" t="str">
        <f t="shared" si="4"/>
        <v>US21688AAM45Sch#0008</v>
      </c>
      <c r="AA82" t="str">
        <f t="shared" si="5"/>
        <v>A+(S &amp; P)</v>
      </c>
      <c r="AB82">
        <v>100.3460006713867</v>
      </c>
      <c r="AC82" t="s">
        <v>303</v>
      </c>
      <c r="AD82" t="s">
        <v>394</v>
      </c>
    </row>
    <row r="83" spans="1:30" x14ac:dyDescent="0.25">
      <c r="A83" s="31" t="str">
        <f>_xll.qlSchedule(B83,C83,D83,E83,F83,G83,H83,I83,J83,K83,L83,M83,N83,O83)</f>
        <v>US302154CU14Sch#0008</v>
      </c>
      <c r="B83" s="40" t="str">
        <f t="shared" si="3"/>
        <v>US302154CU14Sch</v>
      </c>
      <c r="C83" s="41">
        <v>43252</v>
      </c>
      <c r="D83" s="41">
        <v>45078</v>
      </c>
      <c r="E83" s="39" t="str">
        <f>VLOOKUP(W83,Reference!$A$6:$B$8,2,FALSE)</f>
        <v>3M</v>
      </c>
      <c r="F83" s="40" t="str">
        <f>VLOOKUP(U83,Reference!$C$2:$D$6,2,FALSE)</f>
        <v>UnitedStates::Settlement</v>
      </c>
      <c r="G83" s="39" t="s">
        <v>113</v>
      </c>
      <c r="H83" s="39" t="s">
        <v>72</v>
      </c>
      <c r="I83" s="39" t="s">
        <v>114</v>
      </c>
      <c r="J83" s="39" t="b">
        <v>0</v>
      </c>
      <c r="M83" s="39" t="b">
        <v>0</v>
      </c>
      <c r="N83" s="39">
        <f>'ql-USCorp'!$B$5</f>
        <v>1</v>
      </c>
      <c r="O83" s="39" t="b">
        <v>1</v>
      </c>
      <c r="Q83" s="29" t="s">
        <v>334</v>
      </c>
      <c r="R83" s="29" t="s">
        <v>382</v>
      </c>
      <c r="S83" s="30">
        <v>43252</v>
      </c>
      <c r="T83" s="30">
        <v>45078</v>
      </c>
      <c r="U83" s="32" t="s">
        <v>225</v>
      </c>
      <c r="V83" s="29">
        <v>2000000</v>
      </c>
      <c r="W83" s="29">
        <v>4</v>
      </c>
      <c r="X83" s="29">
        <v>0.60113000000000005</v>
      </c>
      <c r="Y83" s="29">
        <v>0.48</v>
      </c>
      <c r="Z83" t="str">
        <f t="shared" si="4"/>
        <v>US302154CU14Sch#0008</v>
      </c>
      <c r="AA83" t="str">
        <f t="shared" si="5"/>
        <v>Aa2(Moody's)</v>
      </c>
      <c r="AB83">
        <v>100.84100341796881</v>
      </c>
      <c r="AC83" t="s">
        <v>304</v>
      </c>
      <c r="AD83" t="s">
        <v>393</v>
      </c>
    </row>
    <row r="84" spans="1:30" x14ac:dyDescent="0.25">
      <c r="A84" s="31" t="str">
        <f>_xll.qlSchedule(B84,C84,D84,E84,F84,G84,H84,I84,J84,K84,L84,M84,N84,O84)</f>
        <v>US302154CX52Sch#0008</v>
      </c>
      <c r="B84" s="40" t="str">
        <f t="shared" si="3"/>
        <v>US302154CX52Sch</v>
      </c>
      <c r="C84" s="41">
        <v>43641</v>
      </c>
      <c r="D84" s="41">
        <v>44737</v>
      </c>
      <c r="E84" s="39" t="str">
        <f>VLOOKUP(W84,Reference!$A$6:$B$8,2,FALSE)</f>
        <v>3M</v>
      </c>
      <c r="F84" s="40" t="str">
        <f>VLOOKUP(U84,Reference!$C$2:$D$6,2,FALSE)</f>
        <v>UnitedStates::Settlement</v>
      </c>
      <c r="G84" s="39" t="s">
        <v>113</v>
      </c>
      <c r="H84" s="39" t="s">
        <v>72</v>
      </c>
      <c r="I84" s="39" t="s">
        <v>114</v>
      </c>
      <c r="J84" s="39" t="b">
        <v>0</v>
      </c>
      <c r="M84" s="39" t="b">
        <v>0</v>
      </c>
      <c r="N84" s="39">
        <f>'ql-USCorp'!$B$5</f>
        <v>1</v>
      </c>
      <c r="O84" s="39" t="b">
        <v>1</v>
      </c>
      <c r="Q84" s="29" t="s">
        <v>335</v>
      </c>
      <c r="R84" s="29" t="s">
        <v>382</v>
      </c>
      <c r="S84" s="30">
        <v>43641</v>
      </c>
      <c r="T84" s="30">
        <v>44737</v>
      </c>
      <c r="U84" s="32" t="s">
        <v>225</v>
      </c>
      <c r="V84" s="29">
        <v>5000000</v>
      </c>
      <c r="W84" s="29">
        <v>4</v>
      </c>
      <c r="X84" s="29">
        <v>0.94588000000000005</v>
      </c>
      <c r="Y84" s="29">
        <v>0.77500000000000002</v>
      </c>
      <c r="Z84" t="str">
        <f t="shared" si="4"/>
        <v>US302154CX52Sch#0008</v>
      </c>
      <c r="AA84" t="str">
        <f t="shared" si="5"/>
        <v>Aa2(Moody's)</v>
      </c>
      <c r="AB84">
        <v>100.1999969482422</v>
      </c>
      <c r="AC84" t="s">
        <v>305</v>
      </c>
      <c r="AD84" t="s">
        <v>393</v>
      </c>
    </row>
    <row r="85" spans="1:30" x14ac:dyDescent="0.25">
      <c r="A85" s="31" t="str">
        <f>_xll.qlSchedule(B85,C85,D85,E85,F85,G85,H85,I85,J85,K85,L85,M85,N85,O85)</f>
        <v>US6325C1CK33Sch#0008</v>
      </c>
      <c r="B85" s="40" t="str">
        <f t="shared" si="3"/>
        <v>US6325C1CK33Sch</v>
      </c>
      <c r="C85" s="41">
        <v>42745</v>
      </c>
      <c r="D85" s="41">
        <v>44571</v>
      </c>
      <c r="E85" s="39" t="str">
        <f>VLOOKUP(W85,Reference!$A$6:$B$8,2,FALSE)</f>
        <v>3M</v>
      </c>
      <c r="F85" s="40" t="str">
        <f>VLOOKUP(U85,Reference!$C$2:$D$6,2,FALSE)</f>
        <v>UnitedStates::Settlement</v>
      </c>
      <c r="G85" s="39" t="s">
        <v>113</v>
      </c>
      <c r="H85" s="39" t="s">
        <v>72</v>
      </c>
      <c r="I85" s="39" t="s">
        <v>114</v>
      </c>
      <c r="J85" s="39" t="b">
        <v>0</v>
      </c>
      <c r="M85" s="39" t="b">
        <v>0</v>
      </c>
      <c r="N85" s="39">
        <f>'ql-USCorp'!$B$5</f>
        <v>1</v>
      </c>
      <c r="O85" s="39" t="b">
        <v>1</v>
      </c>
      <c r="Q85" s="29" t="s">
        <v>336</v>
      </c>
      <c r="R85" s="29" t="s">
        <v>382</v>
      </c>
      <c r="S85" s="30">
        <v>42745</v>
      </c>
      <c r="T85" s="30">
        <v>44571</v>
      </c>
      <c r="U85" s="32" t="s">
        <v>225</v>
      </c>
      <c r="V85" s="29">
        <v>15000000</v>
      </c>
      <c r="W85" s="29">
        <v>4</v>
      </c>
      <c r="X85" s="29">
        <v>0.65725</v>
      </c>
      <c r="Y85" s="29">
        <v>0.52500000000000002</v>
      </c>
      <c r="Z85" t="str">
        <f t="shared" si="4"/>
        <v>US6325C1CK33Sch#0008</v>
      </c>
      <c r="AA85" t="str">
        <f t="shared" si="5"/>
        <v>Aa3(Moody's)</v>
      </c>
      <c r="AB85">
        <v>100.11000061035161</v>
      </c>
      <c r="AC85" t="s">
        <v>306</v>
      </c>
      <c r="AD85" t="s">
        <v>389</v>
      </c>
    </row>
    <row r="86" spans="1:30" x14ac:dyDescent="0.25">
      <c r="A86" s="31" t="str">
        <f>_xll.qlSchedule(B86,C86,D86,E86,F86,G86,H86,I86,J86,K86,L86,M86,N86,O86)</f>
        <v>US82460EAP51Sch#0008</v>
      </c>
      <c r="B86" s="40" t="str">
        <f t="shared" si="3"/>
        <v>US82460EAP51Sch</v>
      </c>
      <c r="C86" s="41">
        <v>43945</v>
      </c>
      <c r="D86" s="41">
        <v>45771</v>
      </c>
      <c r="E86" s="39" t="str">
        <f>VLOOKUP(W86,Reference!$A$6:$B$8,2,FALSE)</f>
        <v>3M</v>
      </c>
      <c r="F86" s="40" t="str">
        <f>VLOOKUP(U86,Reference!$C$2:$D$6,2,FALSE)</f>
        <v>UnitedStates::Settlement</v>
      </c>
      <c r="G86" s="39" t="s">
        <v>113</v>
      </c>
      <c r="H86" s="39" t="s">
        <v>72</v>
      </c>
      <c r="I86" s="39" t="s">
        <v>114</v>
      </c>
      <c r="J86" s="39" t="b">
        <v>0</v>
      </c>
      <c r="M86" s="39" t="b">
        <v>0</v>
      </c>
      <c r="N86" s="39">
        <f>'ql-USCorp'!$B$5</f>
        <v>1</v>
      </c>
      <c r="O86" s="39" t="b">
        <v>1</v>
      </c>
      <c r="Q86" s="29" t="s">
        <v>337</v>
      </c>
      <c r="R86" s="29" t="s">
        <v>382</v>
      </c>
      <c r="S86" s="30">
        <v>43945</v>
      </c>
      <c r="T86" s="30">
        <v>45771</v>
      </c>
      <c r="U86" s="32" t="s">
        <v>225</v>
      </c>
      <c r="V86" s="29">
        <v>10000000</v>
      </c>
      <c r="W86" s="29">
        <v>4</v>
      </c>
      <c r="X86" s="29">
        <v>1.0111300000000001</v>
      </c>
      <c r="Y86" s="29">
        <v>0.89</v>
      </c>
      <c r="Z86" t="str">
        <f t="shared" si="4"/>
        <v>US82460EAP51Sch#0008</v>
      </c>
      <c r="AA86" t="str">
        <f t="shared" si="5"/>
        <v>A+(S &amp; P)</v>
      </c>
      <c r="AB86">
        <v>104.1839981079102</v>
      </c>
      <c r="AC86" t="s">
        <v>307</v>
      </c>
      <c r="AD86" t="s">
        <v>389</v>
      </c>
    </row>
    <row r="87" spans="1:30" hidden="1" x14ac:dyDescent="0.25">
      <c r="A87" s="31" t="str">
        <f>_xll.qlSchedule(B87,C87,D87,E87,F87,G87,H87,I87,J87,K87,L87,M87,N87,O87)</f>
        <v>USY00284AW20Sch#0008</v>
      </c>
      <c r="B87" s="40" t="str">
        <f t="shared" si="3"/>
        <v>USY00284AW20Sch</v>
      </c>
      <c r="C87" s="41">
        <v>44231</v>
      </c>
      <c r="D87" s="41">
        <v>47883</v>
      </c>
      <c r="E87" s="39" t="str">
        <f>VLOOKUP(W87,Reference!$A$6:$B$8,2,FALSE)</f>
        <v>6M</v>
      </c>
      <c r="F87" s="40" t="str">
        <f>VLOOKUP(U87,Reference!$C$2:$D$6,2,FALSE)</f>
        <v>UnitedStates::Settlement</v>
      </c>
      <c r="G87" s="39" t="s">
        <v>113</v>
      </c>
      <c r="H87" s="39" t="s">
        <v>72</v>
      </c>
      <c r="I87" s="39" t="s">
        <v>114</v>
      </c>
      <c r="J87" s="39" t="b">
        <v>0</v>
      </c>
      <c r="M87" s="39" t="b">
        <v>0</v>
      </c>
      <c r="N87" s="39">
        <f>'ql-USCorp'!$B$5</f>
        <v>1</v>
      </c>
      <c r="O87" s="39" t="b">
        <v>1</v>
      </c>
      <c r="Q87" s="29" t="s">
        <v>338</v>
      </c>
      <c r="R87" s="29" t="s">
        <v>380</v>
      </c>
      <c r="S87" s="30">
        <v>44231</v>
      </c>
      <c r="T87" s="30">
        <v>47883</v>
      </c>
      <c r="U87" s="32" t="s">
        <v>225</v>
      </c>
      <c r="V87" s="29">
        <v>3000000</v>
      </c>
      <c r="W87" s="29">
        <v>2</v>
      </c>
      <c r="X87" s="29">
        <v>1.8238799999999999</v>
      </c>
      <c r="Y87" s="29">
        <v>1.7</v>
      </c>
      <c r="Z87" t="str">
        <f t="shared" si="4"/>
        <v>USY00284AW20Sch#0008</v>
      </c>
      <c r="AA87" t="str">
        <f t="shared" si="5"/>
        <v>AA+(S &amp; P)</v>
      </c>
      <c r="AB87">
        <v>96.05999755859375</v>
      </c>
      <c r="AC87" t="s">
        <v>308</v>
      </c>
      <c r="AD87" t="s">
        <v>389</v>
      </c>
    </row>
    <row r="88" spans="1:30" hidden="1" x14ac:dyDescent="0.25">
      <c r="A88" s="31" t="str">
        <f>_xll.qlSchedule(B88,C88,D88,E88,F88,G88,H88,I88,J88,K88,L88,M88,N88,O88)</f>
        <v>USY3422VCS52Sch#0008</v>
      </c>
      <c r="B88" s="40" t="str">
        <f t="shared" si="3"/>
        <v>USY3422VCS52Sch</v>
      </c>
      <c r="C88" s="41">
        <v>44229</v>
      </c>
      <c r="D88" s="41">
        <v>47881</v>
      </c>
      <c r="E88" s="39" t="str">
        <f>VLOOKUP(W88,Reference!$A$6:$B$8,2,FALSE)</f>
        <v>6M</v>
      </c>
      <c r="F88" s="40" t="str">
        <f>VLOOKUP(U88,Reference!$C$2:$D$6,2,FALSE)</f>
        <v>UnitedStates::Settlement</v>
      </c>
      <c r="G88" s="39" t="s">
        <v>113</v>
      </c>
      <c r="H88" s="39" t="s">
        <v>72</v>
      </c>
      <c r="I88" s="39" t="s">
        <v>114</v>
      </c>
      <c r="J88" s="39" t="b">
        <v>0</v>
      </c>
      <c r="M88" s="39" t="b">
        <v>0</v>
      </c>
      <c r="N88" s="39">
        <f>'ql-USCorp'!$B$5</f>
        <v>1</v>
      </c>
      <c r="O88" s="39" t="b">
        <v>1</v>
      </c>
      <c r="Q88" s="29" t="s">
        <v>339</v>
      </c>
      <c r="R88" s="29" t="s">
        <v>380</v>
      </c>
      <c r="S88" s="30">
        <v>44229</v>
      </c>
      <c r="T88" s="30">
        <v>47881</v>
      </c>
      <c r="U88" s="32" t="s">
        <v>225</v>
      </c>
      <c r="V88" s="29">
        <v>10000000</v>
      </c>
      <c r="W88" s="29">
        <v>2</v>
      </c>
      <c r="X88" s="29">
        <v>1.625</v>
      </c>
      <c r="Y88" s="29" t="s">
        <v>381</v>
      </c>
      <c r="Z88" t="str">
        <f t="shared" si="4"/>
        <v>USY3422VCS52Sch#0008</v>
      </c>
      <c r="AA88" t="str">
        <f t="shared" si="5"/>
        <v>AA-(Fitch)</v>
      </c>
      <c r="AB88">
        <v>96.676002502441406</v>
      </c>
      <c r="AC88" t="s">
        <v>309</v>
      </c>
      <c r="AD88" t="s">
        <v>387</v>
      </c>
    </row>
    <row r="89" spans="1:30" x14ac:dyDescent="0.25">
      <c r="A89" s="31" t="str">
        <f>_xll.qlSchedule(B89,C89,D89,E89,F89,G89,H89,I89,J89,K89,L89,M89,N89,O89)</f>
        <v>XS1624141435Sch#0008</v>
      </c>
      <c r="B89" s="40" t="str">
        <f t="shared" si="3"/>
        <v>XS1624141435Sch</v>
      </c>
      <c r="C89" s="41">
        <v>42895</v>
      </c>
      <c r="D89" s="41">
        <v>44721</v>
      </c>
      <c r="E89" s="39" t="str">
        <f>VLOOKUP(W89,Reference!$A$6:$B$8,2,FALSE)</f>
        <v>3M</v>
      </c>
      <c r="F89" s="40" t="str">
        <f>VLOOKUP(U89,Reference!$C$2:$D$6,2,FALSE)</f>
        <v>UnitedStates::Settlement</v>
      </c>
      <c r="G89" s="39" t="s">
        <v>113</v>
      </c>
      <c r="H89" s="39" t="s">
        <v>72</v>
      </c>
      <c r="I89" s="39" t="s">
        <v>114</v>
      </c>
      <c r="J89" s="39" t="b">
        <v>0</v>
      </c>
      <c r="M89" s="39" t="b">
        <v>0</v>
      </c>
      <c r="N89" s="39">
        <f>'ql-USCorp'!$B$5</f>
        <v>1</v>
      </c>
      <c r="O89" s="39" t="b">
        <v>1</v>
      </c>
      <c r="Q89" s="29" t="s">
        <v>303</v>
      </c>
      <c r="R89" s="29" t="s">
        <v>382</v>
      </c>
      <c r="S89" s="30">
        <v>42895</v>
      </c>
      <c r="T89" s="30">
        <v>44721</v>
      </c>
      <c r="U89" s="32" t="s">
        <v>225</v>
      </c>
      <c r="V89" s="29">
        <v>5000000</v>
      </c>
      <c r="W89" s="29">
        <v>4</v>
      </c>
      <c r="X89" s="29">
        <v>1.375</v>
      </c>
      <c r="Y89" s="29" t="s">
        <v>381</v>
      </c>
      <c r="Z89" t="str">
        <f t="shared" si="4"/>
        <v>XS1624141435Sch#0008</v>
      </c>
      <c r="AA89" t="str">
        <f t="shared" si="5"/>
        <v>A+(S &amp; P)</v>
      </c>
      <c r="AB89">
        <v>100.34300231933589</v>
      </c>
      <c r="AC89" t="s">
        <v>310</v>
      </c>
      <c r="AD89" t="s">
        <v>387</v>
      </c>
    </row>
    <row r="90" spans="1:30" x14ac:dyDescent="0.25">
      <c r="A90" s="31" t="str">
        <f>_xll.qlSchedule(B90,C90,D90,E90,F90,G90,H90,I90,J90,K90,L90,M90,N90,O90)</f>
        <v>XS1637362507Sch#0008</v>
      </c>
      <c r="B90" s="40" t="str">
        <f t="shared" si="3"/>
        <v>XS1637362507Sch</v>
      </c>
      <c r="C90" s="41">
        <v>42921</v>
      </c>
      <c r="D90" s="41">
        <v>44747</v>
      </c>
      <c r="E90" s="39" t="str">
        <f>VLOOKUP(W90,Reference!$A$6:$B$8,2,FALSE)</f>
        <v>3M</v>
      </c>
      <c r="F90" s="40" t="str">
        <f>VLOOKUP(U90,Reference!$C$2:$D$6,2,FALSE)</f>
        <v>UnitedStates::Settlement</v>
      </c>
      <c r="G90" s="39" t="s">
        <v>113</v>
      </c>
      <c r="H90" s="39" t="s">
        <v>72</v>
      </c>
      <c r="I90" s="39" t="s">
        <v>114</v>
      </c>
      <c r="J90" s="39" t="b">
        <v>0</v>
      </c>
      <c r="M90" s="39" t="b">
        <v>0</v>
      </c>
      <c r="N90" s="39">
        <f>'ql-USCorp'!$B$5</f>
        <v>1</v>
      </c>
      <c r="O90" s="39" t="b">
        <v>1</v>
      </c>
      <c r="Q90" s="29" t="s">
        <v>304</v>
      </c>
      <c r="R90" s="29" t="s">
        <v>382</v>
      </c>
      <c r="S90" s="30">
        <v>42921</v>
      </c>
      <c r="T90" s="30">
        <v>44747</v>
      </c>
      <c r="U90" s="32" t="s">
        <v>225</v>
      </c>
      <c r="V90" s="29">
        <v>3000000</v>
      </c>
      <c r="W90" s="29">
        <v>4</v>
      </c>
      <c r="X90" s="29">
        <v>1.14825</v>
      </c>
      <c r="Y90" s="29">
        <v>0.95</v>
      </c>
      <c r="Z90" t="str">
        <f t="shared" si="4"/>
        <v>XS1637362507Sch#0008</v>
      </c>
      <c r="AA90" t="str">
        <f t="shared" si="5"/>
        <v>Aa2(Moody's)</v>
      </c>
      <c r="AB90">
        <v>100.379997253418</v>
      </c>
      <c r="AC90" t="s">
        <v>311</v>
      </c>
      <c r="AD90" t="s">
        <v>393</v>
      </c>
    </row>
    <row r="91" spans="1:30" x14ac:dyDescent="0.25">
      <c r="A91" s="31" t="str">
        <f>_xll.qlSchedule(B91,C91,D91,E91,F91,G91,H91,I91,J91,K91,L91,M91,N91,O91)</f>
        <v>XS1645476125Sch#0008</v>
      </c>
      <c r="B91" s="40" t="str">
        <f t="shared" si="3"/>
        <v>XS1645476125Sch</v>
      </c>
      <c r="C91" s="41">
        <v>42935</v>
      </c>
      <c r="D91" s="41">
        <v>44761</v>
      </c>
      <c r="E91" s="39" t="str">
        <f>VLOOKUP(W91,Reference!$A$6:$B$8,2,FALSE)</f>
        <v>3M</v>
      </c>
      <c r="F91" s="40" t="str">
        <f>VLOOKUP(U91,Reference!$C$2:$D$6,2,FALSE)</f>
        <v>UnitedStates::Settlement</v>
      </c>
      <c r="G91" s="39" t="s">
        <v>113</v>
      </c>
      <c r="H91" s="39" t="s">
        <v>72</v>
      </c>
      <c r="I91" s="39" t="s">
        <v>114</v>
      </c>
      <c r="J91" s="39" t="b">
        <v>0</v>
      </c>
      <c r="M91" s="39" t="b">
        <v>0</v>
      </c>
      <c r="N91" s="39">
        <f>'ql-USCorp'!$B$5</f>
        <v>1</v>
      </c>
      <c r="O91" s="39" t="b">
        <v>1</v>
      </c>
      <c r="Q91" s="29" t="s">
        <v>340</v>
      </c>
      <c r="R91" s="29" t="s">
        <v>382</v>
      </c>
      <c r="S91" s="30">
        <v>42935</v>
      </c>
      <c r="T91" s="30">
        <v>44761</v>
      </c>
      <c r="U91" s="32" t="s">
        <v>225</v>
      </c>
      <c r="V91" s="29">
        <v>25000000</v>
      </c>
      <c r="W91" s="29">
        <v>4</v>
      </c>
      <c r="X91" s="29">
        <v>0.93313000000000001</v>
      </c>
      <c r="Y91" s="29">
        <v>0.8</v>
      </c>
      <c r="Z91" t="str">
        <f t="shared" si="4"/>
        <v>XS1645476125Sch#0008</v>
      </c>
      <c r="AA91" t="str">
        <f t="shared" si="5"/>
        <v>A1(Moody's)</v>
      </c>
      <c r="AB91">
        <v>100.46099853515619</v>
      </c>
      <c r="AC91" t="s">
        <v>312</v>
      </c>
      <c r="AD91" t="s">
        <v>389</v>
      </c>
    </row>
    <row r="92" spans="1:30" x14ac:dyDescent="0.25">
      <c r="A92" s="31" t="str">
        <f>_xll.qlSchedule(B92,C92,D92,E92,F92,G92,H92,I92,J92,K92,L92,M92,N92,O92)</f>
        <v>XS1678969798Sch#0008</v>
      </c>
      <c r="B92" s="40" t="str">
        <f t="shared" si="3"/>
        <v>XS1678969798Sch</v>
      </c>
      <c r="C92" s="41">
        <v>42992</v>
      </c>
      <c r="D92" s="41">
        <v>44818</v>
      </c>
      <c r="E92" s="39" t="str">
        <f>VLOOKUP(W92,Reference!$A$6:$B$8,2,FALSE)</f>
        <v>3M</v>
      </c>
      <c r="F92" s="40" t="str">
        <f>VLOOKUP(U92,Reference!$C$2:$D$6,2,FALSE)</f>
        <v>UnitedStates::Settlement</v>
      </c>
      <c r="G92" s="39" t="s">
        <v>113</v>
      </c>
      <c r="H92" s="39" t="s">
        <v>72</v>
      </c>
      <c r="I92" s="39" t="s">
        <v>114</v>
      </c>
      <c r="J92" s="39" t="b">
        <v>0</v>
      </c>
      <c r="M92" s="39" t="b">
        <v>0</v>
      </c>
      <c r="N92" s="39">
        <f>'ql-USCorp'!$B$5</f>
        <v>1</v>
      </c>
      <c r="O92" s="39" t="b">
        <v>1</v>
      </c>
      <c r="Q92" s="29" t="s">
        <v>341</v>
      </c>
      <c r="R92" s="29" t="s">
        <v>382</v>
      </c>
      <c r="S92" s="30">
        <v>42992</v>
      </c>
      <c r="T92" s="30">
        <v>44818</v>
      </c>
      <c r="U92" s="32" t="s">
        <v>225</v>
      </c>
      <c r="V92" s="29">
        <v>15000000</v>
      </c>
      <c r="W92" s="29">
        <v>4</v>
      </c>
      <c r="X92" s="29">
        <v>0.92362999999999995</v>
      </c>
      <c r="Y92" s="29">
        <v>0.8</v>
      </c>
      <c r="Z92" t="str">
        <f t="shared" si="4"/>
        <v>XS1678969798Sch#0008</v>
      </c>
      <c r="AA92" t="str">
        <f t="shared" si="5"/>
        <v>A(Fitch)</v>
      </c>
      <c r="AB92">
        <v>100.46099853515619</v>
      </c>
      <c r="AC92" t="s">
        <v>313</v>
      </c>
      <c r="AD92" t="s">
        <v>394</v>
      </c>
    </row>
    <row r="93" spans="1:30" x14ac:dyDescent="0.25">
      <c r="A93" s="31" t="str">
        <f>_xll.qlSchedule(B93,C93,D93,E93,F93,G93,H93,I93,J93,K93,L93,M93,N93,O93)</f>
        <v>XS1804840194Sch#0008</v>
      </c>
      <c r="B93" s="40" t="str">
        <f t="shared" si="3"/>
        <v>XS1804840194Sch</v>
      </c>
      <c r="C93" s="41">
        <v>43207</v>
      </c>
      <c r="D93" s="41">
        <v>45033</v>
      </c>
      <c r="E93" s="39" t="str">
        <f>VLOOKUP(W93,Reference!$A$6:$B$8,2,FALSE)</f>
        <v>3M</v>
      </c>
      <c r="F93" s="40" t="str">
        <f>VLOOKUP(U93,Reference!$C$2:$D$6,2,FALSE)</f>
        <v>UnitedStates::Settlement</v>
      </c>
      <c r="G93" s="39" t="s">
        <v>113</v>
      </c>
      <c r="H93" s="39" t="s">
        <v>72</v>
      </c>
      <c r="I93" s="39" t="s">
        <v>114</v>
      </c>
      <c r="J93" s="39" t="b">
        <v>0</v>
      </c>
      <c r="M93" s="39" t="b">
        <v>0</v>
      </c>
      <c r="N93" s="39">
        <f>'ql-USCorp'!$B$5</f>
        <v>1</v>
      </c>
      <c r="O93" s="39" t="b">
        <v>1</v>
      </c>
      <c r="Q93" s="29" t="s">
        <v>342</v>
      </c>
      <c r="R93" s="29" t="s">
        <v>382</v>
      </c>
      <c r="S93" s="30">
        <v>43207</v>
      </c>
      <c r="T93" s="30">
        <v>45033</v>
      </c>
      <c r="U93" s="32" t="s">
        <v>225</v>
      </c>
      <c r="V93" s="29">
        <v>10000000</v>
      </c>
      <c r="W93" s="29">
        <v>4</v>
      </c>
      <c r="X93" s="29">
        <v>1.07325</v>
      </c>
      <c r="Y93" s="29">
        <v>0.875</v>
      </c>
      <c r="Z93" t="str">
        <f t="shared" si="4"/>
        <v>XS1804840194Sch#0008</v>
      </c>
      <c r="AA93" t="str">
        <f t="shared" si="5"/>
        <v>A(S &amp; P)</v>
      </c>
      <c r="AB93">
        <v>100.4899978637695</v>
      </c>
      <c r="AC93" t="s">
        <v>314</v>
      </c>
      <c r="AD93" t="s">
        <v>393</v>
      </c>
    </row>
    <row r="94" spans="1:30" x14ac:dyDescent="0.25">
      <c r="A94" s="31" t="str">
        <f>_xll.qlSchedule(B94,C94,D94,E94,F94,G94,H94,I94,J94,K94,L94,M94,N94,O94)</f>
        <v>XS1805611966Sch#0008</v>
      </c>
      <c r="B94" s="40" t="str">
        <f t="shared" si="3"/>
        <v>XS1805611966Sch</v>
      </c>
      <c r="C94" s="41">
        <v>43206</v>
      </c>
      <c r="D94" s="41">
        <v>45032</v>
      </c>
      <c r="E94" s="39" t="str">
        <f>VLOOKUP(W94,Reference!$A$6:$B$8,2,FALSE)</f>
        <v>3M</v>
      </c>
      <c r="F94" s="40" t="str">
        <f>VLOOKUP(U94,Reference!$C$2:$D$6,2,FALSE)</f>
        <v>UnitedStates::Settlement</v>
      </c>
      <c r="G94" s="39" t="s">
        <v>113</v>
      </c>
      <c r="H94" s="39" t="s">
        <v>72</v>
      </c>
      <c r="I94" s="39" t="s">
        <v>114</v>
      </c>
      <c r="J94" s="39" t="b">
        <v>0</v>
      </c>
      <c r="M94" s="39" t="b">
        <v>0</v>
      </c>
      <c r="N94" s="39">
        <f>'ql-USCorp'!$B$5</f>
        <v>1</v>
      </c>
      <c r="O94" s="39" t="b">
        <v>1</v>
      </c>
      <c r="Q94" s="29" t="s">
        <v>343</v>
      </c>
      <c r="R94" s="29" t="s">
        <v>382</v>
      </c>
      <c r="S94" s="30">
        <v>43206</v>
      </c>
      <c r="T94" s="30">
        <v>45032</v>
      </c>
      <c r="U94" s="32" t="s">
        <v>225</v>
      </c>
      <c r="V94" s="29">
        <v>20000000</v>
      </c>
      <c r="W94" s="29">
        <v>4</v>
      </c>
      <c r="X94" s="29">
        <v>0.97224999999999995</v>
      </c>
      <c r="Y94" s="29">
        <v>0.85</v>
      </c>
      <c r="Z94" t="str">
        <f t="shared" si="4"/>
        <v>XS1805611966Sch#0008</v>
      </c>
      <c r="AA94" t="str">
        <f t="shared" si="5"/>
        <v>A1(Moody's)</v>
      </c>
      <c r="AB94">
        <v>100.504997253418</v>
      </c>
      <c r="AC94" t="s">
        <v>315</v>
      </c>
      <c r="AD94" t="s">
        <v>402</v>
      </c>
    </row>
    <row r="95" spans="1:30" x14ac:dyDescent="0.25">
      <c r="A95" s="31" t="str">
        <f>_xll.qlSchedule(B95,C95,D95,E95,F95,G95,H95,I95,J95,K95,L95,M95,N95,O95)</f>
        <v>XS1838931811Sch#0008</v>
      </c>
      <c r="B95" s="40" t="str">
        <f t="shared" si="3"/>
        <v>XS1838931811Sch</v>
      </c>
      <c r="C95" s="41">
        <v>43266</v>
      </c>
      <c r="D95" s="41">
        <v>45092</v>
      </c>
      <c r="E95" s="39" t="str">
        <f>VLOOKUP(W95,Reference!$A$6:$B$8,2,FALSE)</f>
        <v>3M</v>
      </c>
      <c r="F95" s="40" t="str">
        <f>VLOOKUP(U95,Reference!$C$2:$D$6,2,FALSE)</f>
        <v>UnitedStates::Settlement</v>
      </c>
      <c r="G95" s="39" t="s">
        <v>113</v>
      </c>
      <c r="H95" s="39" t="s">
        <v>72</v>
      </c>
      <c r="I95" s="39" t="s">
        <v>114</v>
      </c>
      <c r="J95" s="39" t="b">
        <v>0</v>
      </c>
      <c r="M95" s="39" t="b">
        <v>0</v>
      </c>
      <c r="N95" s="39">
        <f>'ql-USCorp'!$B$5</f>
        <v>1</v>
      </c>
      <c r="O95" s="39" t="b">
        <v>1</v>
      </c>
      <c r="Q95" s="29" t="s">
        <v>344</v>
      </c>
      <c r="R95" s="29" t="s">
        <v>382</v>
      </c>
      <c r="S95" s="30">
        <v>43266</v>
      </c>
      <c r="T95" s="30">
        <v>45092</v>
      </c>
      <c r="U95" s="32" t="s">
        <v>225</v>
      </c>
      <c r="V95" s="29">
        <v>10000000</v>
      </c>
      <c r="W95" s="29">
        <v>4</v>
      </c>
      <c r="X95" s="29">
        <v>0.97224999999999995</v>
      </c>
      <c r="Y95" s="29">
        <v>0.85</v>
      </c>
      <c r="Z95" t="str">
        <f t="shared" si="4"/>
        <v>XS1838931811Sch#0008</v>
      </c>
      <c r="AA95" t="str">
        <f t="shared" si="5"/>
        <v>Aa3(Moody's)</v>
      </c>
      <c r="AB95">
        <v>101.1009216308594</v>
      </c>
      <c r="AC95" t="s">
        <v>316</v>
      </c>
      <c r="AD95" t="s">
        <v>389</v>
      </c>
    </row>
    <row r="96" spans="1:30" x14ac:dyDescent="0.25">
      <c r="A96" s="31" t="str">
        <f>_xll.qlSchedule(B96,C96,D96,E96,F96,G96,H96,I96,J96,K96,L96,M96,N96,O96)</f>
        <v>XS1857641333Sch#0008</v>
      </c>
      <c r="B96" s="40" t="str">
        <f t="shared" si="3"/>
        <v>XS1857641333Sch</v>
      </c>
      <c r="C96" s="41">
        <v>43307</v>
      </c>
      <c r="D96" s="41">
        <v>45133</v>
      </c>
      <c r="E96" s="39" t="str">
        <f>VLOOKUP(W96,Reference!$A$6:$B$8,2,FALSE)</f>
        <v>3M</v>
      </c>
      <c r="F96" s="40" t="str">
        <f>VLOOKUP(U96,Reference!$C$2:$D$6,2,FALSE)</f>
        <v>UnitedStates::Settlement</v>
      </c>
      <c r="G96" s="39" t="s">
        <v>113</v>
      </c>
      <c r="H96" s="39" t="s">
        <v>72</v>
      </c>
      <c r="I96" s="39" t="s">
        <v>114</v>
      </c>
      <c r="J96" s="39" t="b">
        <v>0</v>
      </c>
      <c r="M96" s="39" t="b">
        <v>0</v>
      </c>
      <c r="N96" s="39">
        <f>'ql-USCorp'!$B$5</f>
        <v>1</v>
      </c>
      <c r="O96" s="39" t="b">
        <v>1</v>
      </c>
      <c r="Q96" s="29" t="s">
        <v>345</v>
      </c>
      <c r="R96" s="29" t="s">
        <v>382</v>
      </c>
      <c r="S96" s="30">
        <v>43307</v>
      </c>
      <c r="T96" s="30">
        <v>45133</v>
      </c>
      <c r="U96" s="32" t="s">
        <v>225</v>
      </c>
      <c r="V96" s="29">
        <v>5000000</v>
      </c>
      <c r="W96" s="29">
        <v>4</v>
      </c>
      <c r="X96" s="29">
        <v>1.00275</v>
      </c>
      <c r="Y96" s="29">
        <v>0.8</v>
      </c>
      <c r="Z96" t="str">
        <f t="shared" si="4"/>
        <v>XS1857641333Sch#0008</v>
      </c>
      <c r="AA96" t="str">
        <f t="shared" si="5"/>
        <v>A+(S &amp; P)</v>
      </c>
      <c r="AB96">
        <v>100.78199768066411</v>
      </c>
      <c r="AC96" t="s">
        <v>317</v>
      </c>
      <c r="AD96" t="s">
        <v>387</v>
      </c>
    </row>
    <row r="97" spans="1:30" x14ac:dyDescent="0.25">
      <c r="A97" s="31" t="str">
        <f>_xll.qlSchedule(B97,C97,D97,E97,F97,G97,H97,I97,J97,K97,L97,M97,N97,O97)</f>
        <v>XS1935188422Sch#0008</v>
      </c>
      <c r="B97" s="40" t="str">
        <f t="shared" si="3"/>
        <v>XS1935188422Sch</v>
      </c>
      <c r="C97" s="41">
        <v>43627</v>
      </c>
      <c r="D97" s="41">
        <v>45454</v>
      </c>
      <c r="E97" s="39" t="str">
        <f>VLOOKUP(W97,Reference!$A$6:$B$8,2,FALSE)</f>
        <v>3M</v>
      </c>
      <c r="F97" s="40" t="str">
        <f>VLOOKUP(U97,Reference!$C$2:$D$6,2,FALSE)</f>
        <v>UnitedStates::Settlement</v>
      </c>
      <c r="G97" s="39" t="s">
        <v>113</v>
      </c>
      <c r="H97" s="39" t="s">
        <v>72</v>
      </c>
      <c r="I97" s="39" t="s">
        <v>114</v>
      </c>
      <c r="J97" s="39" t="b">
        <v>0</v>
      </c>
      <c r="M97" s="39" t="b">
        <v>0</v>
      </c>
      <c r="N97" s="39">
        <f>'ql-USCorp'!$B$5</f>
        <v>1</v>
      </c>
      <c r="O97" s="39" t="b">
        <v>1</v>
      </c>
      <c r="Q97" s="29" t="s">
        <v>307</v>
      </c>
      <c r="R97" s="29" t="s">
        <v>382</v>
      </c>
      <c r="S97" s="30">
        <v>43627</v>
      </c>
      <c r="T97" s="30">
        <v>45454</v>
      </c>
      <c r="U97" s="32" t="s">
        <v>225</v>
      </c>
      <c r="V97" s="29">
        <v>5000000</v>
      </c>
      <c r="W97" s="29">
        <v>4</v>
      </c>
      <c r="X97" s="29">
        <v>0.92488000000000004</v>
      </c>
      <c r="Y97" s="29">
        <v>0.8</v>
      </c>
      <c r="Z97" t="str">
        <f t="shared" si="4"/>
        <v>XS1935188422Sch#0008</v>
      </c>
      <c r="AA97" t="str">
        <f t="shared" si="5"/>
        <v>A(S &amp; P)</v>
      </c>
      <c r="AB97">
        <v>100.734001159668</v>
      </c>
      <c r="AC97" t="s">
        <v>318</v>
      </c>
      <c r="AD97" t="s">
        <v>387</v>
      </c>
    </row>
    <row r="98" spans="1:30" x14ac:dyDescent="0.25">
      <c r="A98" s="31" t="str">
        <f>_xll.qlSchedule(B98,C98,D98,E98,F98,G98,H98,I98,J98,K98,L98,M98,N98,O98)</f>
        <v>XS1961939797Sch#0008</v>
      </c>
      <c r="B98" s="40" t="str">
        <f t="shared" si="3"/>
        <v>XS1961939797Sch</v>
      </c>
      <c r="C98" s="41">
        <v>43545</v>
      </c>
      <c r="D98" s="41">
        <v>44641</v>
      </c>
      <c r="E98" s="39" t="str">
        <f>VLOOKUP(W98,Reference!$A$6:$B$8,2,FALSE)</f>
        <v>3M</v>
      </c>
      <c r="F98" s="40" t="str">
        <f>VLOOKUP(U98,Reference!$C$2:$D$6,2,FALSE)</f>
        <v>UnitedStates::Settlement</v>
      </c>
      <c r="G98" s="39" t="s">
        <v>113</v>
      </c>
      <c r="H98" s="39" t="s">
        <v>72</v>
      </c>
      <c r="I98" s="39" t="s">
        <v>114</v>
      </c>
      <c r="J98" s="39" t="b">
        <v>0</v>
      </c>
      <c r="M98" s="39" t="b">
        <v>0</v>
      </c>
      <c r="N98" s="39">
        <f>'ql-USCorp'!$B$5</f>
        <v>1</v>
      </c>
      <c r="O98" s="39" t="b">
        <v>1</v>
      </c>
      <c r="Q98" s="29" t="s">
        <v>346</v>
      </c>
      <c r="R98" s="29" t="s">
        <v>382</v>
      </c>
      <c r="S98" s="30">
        <v>43545</v>
      </c>
      <c r="T98" s="30">
        <v>44641</v>
      </c>
      <c r="U98" s="32" t="s">
        <v>225</v>
      </c>
      <c r="V98" s="29">
        <v>10000000</v>
      </c>
      <c r="W98" s="29">
        <v>4</v>
      </c>
      <c r="X98" s="29">
        <v>1.03088</v>
      </c>
      <c r="Y98" s="29">
        <v>0.83</v>
      </c>
      <c r="Z98" t="str">
        <f t="shared" si="4"/>
        <v>XS1961939797Sch#0008</v>
      </c>
      <c r="AA98" t="str">
        <f t="shared" si="5"/>
        <v>A2(Moody's)</v>
      </c>
      <c r="AB98">
        <v>100.1159973144531</v>
      </c>
      <c r="AC98" t="s">
        <v>276</v>
      </c>
      <c r="AD98" t="s">
        <v>121</v>
      </c>
    </row>
    <row r="99" spans="1:30" x14ac:dyDescent="0.25">
      <c r="A99" s="31" t="str">
        <f>_xll.qlSchedule(B99,C99,D99,E99,F99,G99,H99,I99,J99,K99,L99,M99,N99,O99)</f>
        <v>XS1982691153Sch#0008</v>
      </c>
      <c r="B99" s="40" t="str">
        <f t="shared" si="3"/>
        <v>XS1982691153Sch</v>
      </c>
      <c r="C99" s="41">
        <v>43580</v>
      </c>
      <c r="D99" s="41">
        <v>45407</v>
      </c>
      <c r="E99" s="39" t="str">
        <f>VLOOKUP(W99,Reference!$A$6:$B$8,2,FALSE)</f>
        <v>3M</v>
      </c>
      <c r="F99" s="40" t="str">
        <f>VLOOKUP(U99,Reference!$C$2:$D$6,2,FALSE)</f>
        <v>UnitedStates::Settlement</v>
      </c>
      <c r="G99" s="39" t="s">
        <v>113</v>
      </c>
      <c r="H99" s="39" t="s">
        <v>72</v>
      </c>
      <c r="I99" s="39" t="s">
        <v>114</v>
      </c>
      <c r="J99" s="39" t="b">
        <v>0</v>
      </c>
      <c r="M99" s="39" t="b">
        <v>0</v>
      </c>
      <c r="N99" s="39">
        <f>'ql-USCorp'!$B$5</f>
        <v>1</v>
      </c>
      <c r="O99" s="39" t="b">
        <v>1</v>
      </c>
      <c r="Q99" s="29" t="s">
        <v>347</v>
      </c>
      <c r="R99" s="29" t="s">
        <v>382</v>
      </c>
      <c r="S99" s="30">
        <v>43580</v>
      </c>
      <c r="T99" s="30">
        <v>45407</v>
      </c>
      <c r="U99" s="32" t="s">
        <v>225</v>
      </c>
      <c r="V99" s="29">
        <v>3000000</v>
      </c>
      <c r="W99" s="29">
        <v>4</v>
      </c>
      <c r="X99" s="29">
        <v>0.99263000000000001</v>
      </c>
      <c r="Y99" s="29">
        <v>0.78</v>
      </c>
      <c r="Z99" t="str">
        <f t="shared" si="4"/>
        <v>XS1982691153Sch#0008</v>
      </c>
      <c r="AA99" t="str">
        <f t="shared" si="5"/>
        <v>A(S &amp; P)</v>
      </c>
      <c r="AB99">
        <v>100.68699645996089</v>
      </c>
      <c r="AC99" t="s">
        <v>319</v>
      </c>
      <c r="AD99" t="s">
        <v>397</v>
      </c>
    </row>
    <row r="100" spans="1:30" x14ac:dyDescent="0.25">
      <c r="A100" s="31" t="str">
        <f>_xll.qlSchedule(B100,C100,D100,E100,F100,G100,H100,I100,J100,K100,L100,M100,N100,O100)</f>
        <v>XS1987800650Sch#0008</v>
      </c>
      <c r="B100" s="40" t="str">
        <f t="shared" si="3"/>
        <v>XS1987800650Sch</v>
      </c>
      <c r="C100" s="41">
        <v>43606</v>
      </c>
      <c r="D100" s="41">
        <v>45433</v>
      </c>
      <c r="E100" s="39" t="str">
        <f>VLOOKUP(W100,Reference!$A$6:$B$8,2,FALSE)</f>
        <v>3M</v>
      </c>
      <c r="F100" s="40" t="str">
        <f>VLOOKUP(U100,Reference!$C$2:$D$6,2,FALSE)</f>
        <v>UnitedStates::Settlement</v>
      </c>
      <c r="G100" s="39" t="s">
        <v>113</v>
      </c>
      <c r="H100" s="39" t="s">
        <v>72</v>
      </c>
      <c r="I100" s="39" t="s">
        <v>114</v>
      </c>
      <c r="J100" s="39" t="b">
        <v>0</v>
      </c>
      <c r="M100" s="39" t="b">
        <v>0</v>
      </c>
      <c r="N100" s="39">
        <f>'ql-USCorp'!$B$5</f>
        <v>1</v>
      </c>
      <c r="O100" s="39" t="b">
        <v>1</v>
      </c>
      <c r="Q100" s="29" t="s">
        <v>348</v>
      </c>
      <c r="R100" s="29" t="s">
        <v>382</v>
      </c>
      <c r="S100" s="30">
        <v>43606</v>
      </c>
      <c r="T100" s="30">
        <v>45433</v>
      </c>
      <c r="U100" s="32" t="s">
        <v>225</v>
      </c>
      <c r="V100" s="29">
        <v>3000000</v>
      </c>
      <c r="W100" s="29">
        <v>4</v>
      </c>
      <c r="X100" s="29">
        <v>0.95387999999999995</v>
      </c>
      <c r="Y100" s="29">
        <v>0.83</v>
      </c>
      <c r="Z100" t="str">
        <f t="shared" si="4"/>
        <v>XS1987800650Sch#0008</v>
      </c>
      <c r="AA100" t="str">
        <f t="shared" si="5"/>
        <v>A1(Moody's)</v>
      </c>
      <c r="AB100">
        <v>100.78900146484381</v>
      </c>
      <c r="AC100" t="s">
        <v>277</v>
      </c>
      <c r="AD100" t="s">
        <v>121</v>
      </c>
    </row>
    <row r="101" spans="1:30" x14ac:dyDescent="0.25">
      <c r="A101" s="31" t="str">
        <f>_xll.qlSchedule(B101,C101,D101,E101,F101,G101,H101,I101,J101,K101,L101,M101,N101,O101)</f>
        <v>XS2035552889Sch#0008</v>
      </c>
      <c r="B101" s="40" t="str">
        <f t="shared" si="3"/>
        <v>XS2035552889Sch</v>
      </c>
      <c r="C101" s="41">
        <v>43693</v>
      </c>
      <c r="D101" s="41">
        <v>45520</v>
      </c>
      <c r="E101" s="39" t="str">
        <f>VLOOKUP(W101,Reference!$A$6:$B$8,2,FALSE)</f>
        <v>3M</v>
      </c>
      <c r="F101" s="40" t="str">
        <f>VLOOKUP(U101,Reference!$C$2:$D$6,2,FALSE)</f>
        <v>UnitedStates::Settlement</v>
      </c>
      <c r="G101" s="39" t="s">
        <v>113</v>
      </c>
      <c r="H101" s="39" t="s">
        <v>72</v>
      </c>
      <c r="I101" s="39" t="s">
        <v>114</v>
      </c>
      <c r="J101" s="39" t="b">
        <v>0</v>
      </c>
      <c r="M101" s="39" t="b">
        <v>0</v>
      </c>
      <c r="N101" s="39">
        <f>'ql-USCorp'!$B$5</f>
        <v>1</v>
      </c>
      <c r="O101" s="39" t="b">
        <v>1</v>
      </c>
      <c r="Q101" s="29" t="s">
        <v>349</v>
      </c>
      <c r="R101" s="29" t="s">
        <v>382</v>
      </c>
      <c r="S101" s="30">
        <v>43693</v>
      </c>
      <c r="T101" s="30">
        <v>45520</v>
      </c>
      <c r="U101" s="32" t="s">
        <v>225</v>
      </c>
      <c r="V101" s="29">
        <v>10000000</v>
      </c>
      <c r="W101" s="29">
        <v>4</v>
      </c>
      <c r="X101" s="29">
        <v>0.92962999999999996</v>
      </c>
      <c r="Y101" s="29">
        <v>0.77</v>
      </c>
      <c r="Z101" t="str">
        <f t="shared" si="4"/>
        <v>XS2035552889Sch#0008</v>
      </c>
      <c r="AA101" t="str">
        <f t="shared" si="5"/>
        <v>A3(Moody's)</v>
      </c>
      <c r="AB101">
        <v>100.73899841308589</v>
      </c>
      <c r="AC101" t="s">
        <v>320</v>
      </c>
      <c r="AD101" t="s">
        <v>397</v>
      </c>
    </row>
    <row r="102" spans="1:30" hidden="1" x14ac:dyDescent="0.25">
      <c r="A102" s="31" t="str">
        <f>_xll.qlSchedule(B102,C102,D102,E102,F102,G102,H102,I102,J102,K102,L102,M102,N102,O102)</f>
        <v>XS2181902789Sch#0008</v>
      </c>
      <c r="B102" s="40" t="str">
        <f t="shared" si="3"/>
        <v>XS2181902789Sch</v>
      </c>
      <c r="C102" s="41">
        <v>43991</v>
      </c>
      <c r="D102" s="41">
        <v>47643</v>
      </c>
      <c r="E102" s="39" t="str">
        <f>VLOOKUP(W102,Reference!$A$6:$B$8,2,FALSE)</f>
        <v>6M</v>
      </c>
      <c r="F102" s="40" t="str">
        <f>VLOOKUP(U102,Reference!$C$2:$D$6,2,FALSE)</f>
        <v>UnitedStates::Settlement</v>
      </c>
      <c r="G102" s="39" t="s">
        <v>113</v>
      </c>
      <c r="H102" s="39" t="s">
        <v>72</v>
      </c>
      <c r="I102" s="39" t="s">
        <v>114</v>
      </c>
      <c r="J102" s="39" t="b">
        <v>0</v>
      </c>
      <c r="M102" s="39" t="b">
        <v>0</v>
      </c>
      <c r="N102" s="39">
        <f>'ql-USCorp'!$B$5</f>
        <v>1</v>
      </c>
      <c r="O102" s="39" t="b">
        <v>1</v>
      </c>
      <c r="Q102" s="29" t="s">
        <v>350</v>
      </c>
      <c r="R102" s="29" t="s">
        <v>380</v>
      </c>
      <c r="S102" s="30">
        <v>43991</v>
      </c>
      <c r="T102" s="30">
        <v>47643</v>
      </c>
      <c r="U102" s="32" t="s">
        <v>225</v>
      </c>
      <c r="V102" s="29">
        <v>10000000</v>
      </c>
      <c r="W102" s="29">
        <v>2</v>
      </c>
      <c r="X102" s="29">
        <v>0.95499999999999996</v>
      </c>
      <c r="Y102" s="29">
        <v>0.8</v>
      </c>
      <c r="Z102" t="str">
        <f t="shared" si="4"/>
        <v>XS2181902789Sch#0008</v>
      </c>
      <c r="AA102" t="str">
        <f t="shared" si="5"/>
        <v>A-(S &amp; P)</v>
      </c>
      <c r="AB102">
        <v>99.672996520996094</v>
      </c>
      <c r="AC102" t="s">
        <v>321</v>
      </c>
      <c r="AD102" t="s">
        <v>388</v>
      </c>
    </row>
    <row r="103" spans="1:30" hidden="1" x14ac:dyDescent="0.25">
      <c r="A103" s="31" t="str">
        <f>_xll.qlSchedule(B103,C103,D103,E103,F103,G103,H103,I103,J103,K103,L103,M103,N103,O103)</f>
        <v>XS2190999834Sch#0008</v>
      </c>
      <c r="B103" s="40" t="str">
        <f t="shared" si="3"/>
        <v>XS2190999834Sch</v>
      </c>
      <c r="C103" s="41">
        <v>44006</v>
      </c>
      <c r="D103" s="41">
        <v>45832</v>
      </c>
      <c r="E103" s="39" t="str">
        <f>VLOOKUP(W103,Reference!$A$6:$B$8,2,FALSE)</f>
        <v>6M</v>
      </c>
      <c r="F103" s="40" t="str">
        <f>VLOOKUP(U103,Reference!$C$2:$D$6,2,FALSE)</f>
        <v>UnitedStates::Settlement</v>
      </c>
      <c r="G103" s="39" t="s">
        <v>113</v>
      </c>
      <c r="H103" s="39" t="s">
        <v>72</v>
      </c>
      <c r="I103" s="39" t="s">
        <v>114</v>
      </c>
      <c r="J103" s="39" t="b">
        <v>0</v>
      </c>
      <c r="M103" s="39" t="b">
        <v>0</v>
      </c>
      <c r="N103" s="39">
        <f>'ql-USCorp'!$B$5</f>
        <v>1</v>
      </c>
      <c r="O103" s="39" t="b">
        <v>1</v>
      </c>
      <c r="Q103" s="29" t="s">
        <v>316</v>
      </c>
      <c r="R103" s="29" t="s">
        <v>380</v>
      </c>
      <c r="S103" s="30">
        <v>44006</v>
      </c>
      <c r="T103" s="30">
        <v>45832</v>
      </c>
      <c r="U103" s="32" t="s">
        <v>225</v>
      </c>
      <c r="V103" s="29">
        <v>3000000</v>
      </c>
      <c r="W103" s="29">
        <v>2</v>
      </c>
      <c r="X103" s="29">
        <v>2.25</v>
      </c>
      <c r="Y103" s="29" t="s">
        <v>381</v>
      </c>
      <c r="Z103" t="str">
        <f t="shared" si="4"/>
        <v>XS2190999834Sch#0008</v>
      </c>
      <c r="AA103" t="str">
        <f t="shared" si="5"/>
        <v>A(S &amp; P)</v>
      </c>
      <c r="AB103">
        <v>98.654998779296875</v>
      </c>
      <c r="AC103" t="s">
        <v>322</v>
      </c>
      <c r="AD103" t="s">
        <v>387</v>
      </c>
    </row>
    <row r="104" spans="1:30" hidden="1" x14ac:dyDescent="0.25">
      <c r="A104" s="31" t="str">
        <f>_xll.qlSchedule(B104,C104,D104,E104,F104,G104,H104,I104,J104,K104,L104,M104,N104,O104)</f>
        <v>XS2193950354Sch#0008</v>
      </c>
      <c r="B104" s="40" t="str">
        <f t="shared" si="3"/>
        <v>XS2193950354Sch</v>
      </c>
      <c r="C104" s="41">
        <v>44012</v>
      </c>
      <c r="D104" s="41">
        <v>47664</v>
      </c>
      <c r="E104" s="39" t="str">
        <f>VLOOKUP(W104,Reference!$A$6:$B$8,2,FALSE)</f>
        <v>6M</v>
      </c>
      <c r="F104" s="40" t="str">
        <f>VLOOKUP(U104,Reference!$C$2:$D$6,2,FALSE)</f>
        <v>UnitedStates::Settlement</v>
      </c>
      <c r="G104" s="39" t="s">
        <v>113</v>
      </c>
      <c r="H104" s="39" t="s">
        <v>72</v>
      </c>
      <c r="I104" s="39" t="s">
        <v>114</v>
      </c>
      <c r="J104" s="39" t="b">
        <v>0</v>
      </c>
      <c r="M104" s="39" t="b">
        <v>0</v>
      </c>
      <c r="N104" s="39">
        <f>'ql-USCorp'!$B$5</f>
        <v>1</v>
      </c>
      <c r="O104" s="39" t="b">
        <v>1</v>
      </c>
      <c r="Q104" s="29" t="s">
        <v>351</v>
      </c>
      <c r="R104" s="29" t="s">
        <v>380</v>
      </c>
      <c r="S104" s="30">
        <v>44012</v>
      </c>
      <c r="T104" s="30">
        <v>47664</v>
      </c>
      <c r="U104" s="32" t="s">
        <v>225</v>
      </c>
      <c r="V104" s="29">
        <v>10000000</v>
      </c>
      <c r="W104" s="29">
        <v>2</v>
      </c>
      <c r="X104" s="29">
        <v>1.25</v>
      </c>
      <c r="Y104" s="29" t="s">
        <v>381</v>
      </c>
      <c r="Z104" t="str">
        <f t="shared" si="4"/>
        <v>XS2193950354Sch#0008</v>
      </c>
      <c r="AA104" t="str">
        <f t="shared" si="5"/>
        <v>A1(Moody's)</v>
      </c>
      <c r="AB104">
        <v>98.907997131347656</v>
      </c>
      <c r="AC104" t="s">
        <v>269</v>
      </c>
      <c r="AD104" t="s">
        <v>403</v>
      </c>
    </row>
    <row r="105" spans="1:30" hidden="1" x14ac:dyDescent="0.25">
      <c r="A105" s="31" t="str">
        <f>_xll.qlSchedule(B105,C105,D105,E105,F105,G105,H105,I105,J105,K105,L105,M105,N105,O105)</f>
        <v>XS2201843740Sch#0008</v>
      </c>
      <c r="B105" s="40" t="str">
        <f t="shared" si="3"/>
        <v>XS2201843740Sch</v>
      </c>
      <c r="C105" s="41">
        <v>44032</v>
      </c>
      <c r="D105" s="41">
        <v>45127</v>
      </c>
      <c r="E105" s="39" t="str">
        <f>VLOOKUP(W105,Reference!$A$6:$B$8,2,FALSE)</f>
        <v>6M</v>
      </c>
      <c r="F105" s="40" t="str">
        <f>VLOOKUP(U105,Reference!$C$2:$D$6,2,FALSE)</f>
        <v>UnitedStates::Settlement</v>
      </c>
      <c r="G105" s="39" t="s">
        <v>113</v>
      </c>
      <c r="H105" s="39" t="s">
        <v>72</v>
      </c>
      <c r="I105" s="39" t="s">
        <v>114</v>
      </c>
      <c r="J105" s="39" t="b">
        <v>0</v>
      </c>
      <c r="M105" s="39" t="b">
        <v>0</v>
      </c>
      <c r="N105" s="39">
        <f>'ql-USCorp'!$B$5</f>
        <v>1</v>
      </c>
      <c r="O105" s="39" t="b">
        <v>1</v>
      </c>
      <c r="Q105" s="29" t="s">
        <v>352</v>
      </c>
      <c r="R105" s="29" t="s">
        <v>380</v>
      </c>
      <c r="S105" s="30">
        <v>44032</v>
      </c>
      <c r="T105" s="30">
        <v>45127</v>
      </c>
      <c r="U105" s="32" t="s">
        <v>225</v>
      </c>
      <c r="V105" s="29">
        <v>2000000</v>
      </c>
      <c r="W105" s="29">
        <v>2</v>
      </c>
      <c r="X105" s="29">
        <v>2.125</v>
      </c>
      <c r="Y105" s="29" t="s">
        <v>381</v>
      </c>
      <c r="Z105" t="str">
        <f t="shared" si="4"/>
        <v>XS2201843740Sch#0008</v>
      </c>
      <c r="AA105" t="str">
        <f t="shared" si="5"/>
        <v>A1(Moody's)</v>
      </c>
      <c r="AB105">
        <v>99.976997375488281</v>
      </c>
      <c r="AC105" t="s">
        <v>323</v>
      </c>
      <c r="AD105" t="s">
        <v>393</v>
      </c>
    </row>
    <row r="106" spans="1:30" hidden="1" x14ac:dyDescent="0.25">
      <c r="A106" s="31" t="str">
        <f>_xll.qlSchedule(B106,C106,D106,E106,F106,G106,H106,I106,J106,K106,L106,M106,N106,O106)</f>
        <v>XS2208843503Sch#0008</v>
      </c>
      <c r="B106" s="40" t="str">
        <f t="shared" si="3"/>
        <v>XS2208843503Sch</v>
      </c>
      <c r="C106" s="41">
        <v>44047</v>
      </c>
      <c r="D106" s="41">
        <v>45142</v>
      </c>
      <c r="E106" s="39" t="str">
        <f>VLOOKUP(W106,Reference!$A$6:$B$8,2,FALSE)</f>
        <v>6M</v>
      </c>
      <c r="F106" s="40" t="str">
        <f>VLOOKUP(U106,Reference!$C$2:$D$6,2,FALSE)</f>
        <v>UnitedStates::Settlement</v>
      </c>
      <c r="G106" s="39" t="s">
        <v>113</v>
      </c>
      <c r="H106" s="39" t="s">
        <v>72</v>
      </c>
      <c r="I106" s="39" t="s">
        <v>114</v>
      </c>
      <c r="J106" s="39" t="b">
        <v>0</v>
      </c>
      <c r="M106" s="39" t="b">
        <v>0</v>
      </c>
      <c r="N106" s="39">
        <f>'ql-USCorp'!$B$5</f>
        <v>1</v>
      </c>
      <c r="O106" s="39" t="b">
        <v>1</v>
      </c>
      <c r="Q106" s="29" t="s">
        <v>317</v>
      </c>
      <c r="R106" s="29" t="s">
        <v>380</v>
      </c>
      <c r="S106" s="30">
        <v>44047</v>
      </c>
      <c r="T106" s="30">
        <v>45142</v>
      </c>
      <c r="U106" s="32" t="s">
        <v>225</v>
      </c>
      <c r="V106" s="29">
        <v>500000</v>
      </c>
      <c r="W106" s="29">
        <v>2</v>
      </c>
      <c r="X106" s="29">
        <v>1</v>
      </c>
      <c r="Y106" s="29" t="s">
        <v>381</v>
      </c>
      <c r="Z106" t="str">
        <f t="shared" si="4"/>
        <v>XS2208843503Sch#0008</v>
      </c>
      <c r="AA106" t="str">
        <f t="shared" si="5"/>
        <v>A1(Moody's)</v>
      </c>
      <c r="AB106">
        <v>100.0019989013672</v>
      </c>
      <c r="AC106" t="s">
        <v>324</v>
      </c>
      <c r="AD106" t="s">
        <v>396</v>
      </c>
    </row>
    <row r="107" spans="1:30" hidden="1" x14ac:dyDescent="0.25">
      <c r="A107" s="31" t="str">
        <f>_xll.qlSchedule(B107,C107,D107,E107,F107,G107,H107,I107,J107,K107,L107,M107,N107,O107)</f>
        <v>XS2213668085Sch#0008</v>
      </c>
      <c r="B107" s="40" t="str">
        <f t="shared" si="3"/>
        <v>XS2213668085Sch</v>
      </c>
      <c r="C107" s="41">
        <v>44062</v>
      </c>
      <c r="D107" s="41">
        <v>47714</v>
      </c>
      <c r="E107" s="39" t="str">
        <f>VLOOKUP(W107,Reference!$A$6:$B$8,2,FALSE)</f>
        <v>6M</v>
      </c>
      <c r="F107" s="40" t="str">
        <f>VLOOKUP(U107,Reference!$C$2:$D$6,2,FALSE)</f>
        <v>UnitedStates::Settlement</v>
      </c>
      <c r="G107" s="39" t="s">
        <v>113</v>
      </c>
      <c r="H107" s="39" t="s">
        <v>72</v>
      </c>
      <c r="I107" s="39" t="s">
        <v>114</v>
      </c>
      <c r="J107" s="39" t="b">
        <v>0</v>
      </c>
      <c r="M107" s="39" t="b">
        <v>0</v>
      </c>
      <c r="N107" s="39">
        <f>'ql-USCorp'!$B$5</f>
        <v>1</v>
      </c>
      <c r="O107" s="39" t="b">
        <v>1</v>
      </c>
      <c r="Q107" s="29" t="s">
        <v>353</v>
      </c>
      <c r="R107" s="29" t="s">
        <v>380</v>
      </c>
      <c r="S107" s="30">
        <v>44062</v>
      </c>
      <c r="T107" s="30">
        <v>47714</v>
      </c>
      <c r="U107" s="32" t="s">
        <v>225</v>
      </c>
      <c r="V107" s="29">
        <v>10000000</v>
      </c>
      <c r="W107" s="29">
        <v>2</v>
      </c>
      <c r="X107" s="29">
        <v>1</v>
      </c>
      <c r="Y107" s="29" t="s">
        <v>381</v>
      </c>
      <c r="Z107" t="str">
        <f t="shared" si="4"/>
        <v>XS2213668085Sch#0008</v>
      </c>
      <c r="AA107" t="str">
        <f t="shared" si="5"/>
        <v>Aa3(Moody's)</v>
      </c>
      <c r="AB107">
        <v>96.851997375488281</v>
      </c>
      <c r="AC107" t="s">
        <v>325</v>
      </c>
      <c r="AD107" t="s">
        <v>396</v>
      </c>
    </row>
    <row r="108" spans="1:30" hidden="1" x14ac:dyDescent="0.25">
      <c r="A108" s="31" t="str">
        <f>_xll.qlSchedule(B108,C108,D108,E108,F108,G108,H108,I108,J108,K108,L108,M108,N108,O108)</f>
        <v>XS2305450657Sch#0008</v>
      </c>
      <c r="B108" s="40" t="str">
        <f t="shared" si="3"/>
        <v>XS2305450657Sch</v>
      </c>
      <c r="C108" s="41">
        <v>44257</v>
      </c>
      <c r="D108" s="41">
        <v>46083</v>
      </c>
      <c r="E108" s="39" t="str">
        <f>VLOOKUP(W108,Reference!$A$6:$B$8,2,FALSE)</f>
        <v>6M</v>
      </c>
      <c r="F108" s="40" t="str">
        <f>VLOOKUP(U108,Reference!$C$2:$D$6,2,FALSE)</f>
        <v>UnitedStates::Settlement</v>
      </c>
      <c r="G108" s="39" t="s">
        <v>113</v>
      </c>
      <c r="H108" s="39" t="s">
        <v>72</v>
      </c>
      <c r="I108" s="39" t="s">
        <v>114</v>
      </c>
      <c r="J108" s="39" t="b">
        <v>0</v>
      </c>
      <c r="M108" s="39" t="b">
        <v>0</v>
      </c>
      <c r="N108" s="39">
        <f>'ql-USCorp'!$B$5</f>
        <v>1</v>
      </c>
      <c r="O108" s="39" t="b">
        <v>1</v>
      </c>
      <c r="Q108" s="29" t="s">
        <v>354</v>
      </c>
      <c r="R108" s="29" t="s">
        <v>380</v>
      </c>
      <c r="S108" s="30">
        <v>44257</v>
      </c>
      <c r="T108" s="30">
        <v>46083</v>
      </c>
      <c r="U108" s="32" t="s">
        <v>225</v>
      </c>
      <c r="V108" s="29">
        <v>2000000</v>
      </c>
      <c r="W108" s="29">
        <v>2</v>
      </c>
      <c r="X108" s="29">
        <v>1.625</v>
      </c>
      <c r="Y108" s="29" t="s">
        <v>381</v>
      </c>
      <c r="Z108" t="str">
        <f t="shared" si="4"/>
        <v>XS2305450657Sch#0008</v>
      </c>
      <c r="AA108" t="str">
        <f t="shared" si="5"/>
        <v>A1(Moody's)</v>
      </c>
      <c r="AB108">
        <v>98.244003295898438</v>
      </c>
      <c r="AC108" t="s">
        <v>326</v>
      </c>
      <c r="AD108" t="s">
        <v>392</v>
      </c>
    </row>
    <row r="109" spans="1:30" hidden="1" x14ac:dyDescent="0.25">
      <c r="A109" s="31" t="str">
        <f>_xll.qlSchedule(B109,C109,D109,E109,F109,G109,H109,I109,J109,K109,L109,M109,N109,O109)</f>
        <v>XS2334572562Sch#0008</v>
      </c>
      <c r="B109" s="40" t="str">
        <f t="shared" si="3"/>
        <v>XS2334572562Sch</v>
      </c>
      <c r="C109" s="41">
        <v>44314</v>
      </c>
      <c r="D109" s="41">
        <v>46140</v>
      </c>
      <c r="E109" s="39" t="str">
        <f>VLOOKUP(W109,Reference!$A$6:$B$8,2,FALSE)</f>
        <v>6M</v>
      </c>
      <c r="F109" s="40" t="str">
        <f>VLOOKUP(U109,Reference!$C$2:$D$6,2,FALSE)</f>
        <v>UnitedStates::Settlement</v>
      </c>
      <c r="G109" s="39" t="s">
        <v>113</v>
      </c>
      <c r="H109" s="39" t="s">
        <v>72</v>
      </c>
      <c r="I109" s="39" t="s">
        <v>114</v>
      </c>
      <c r="J109" s="39" t="b">
        <v>0</v>
      </c>
      <c r="M109" s="39" t="b">
        <v>0</v>
      </c>
      <c r="N109" s="39">
        <f>'ql-USCorp'!$B$5</f>
        <v>1</v>
      </c>
      <c r="O109" s="39" t="b">
        <v>1</v>
      </c>
      <c r="Q109" s="29" t="s">
        <v>355</v>
      </c>
      <c r="R109" s="29" t="s">
        <v>380</v>
      </c>
      <c r="S109" s="30">
        <v>44314</v>
      </c>
      <c r="T109" s="30">
        <v>46140</v>
      </c>
      <c r="U109" s="32" t="s">
        <v>225</v>
      </c>
      <c r="V109" s="29">
        <v>2000000</v>
      </c>
      <c r="W109" s="29">
        <v>2</v>
      </c>
      <c r="X109" s="29">
        <v>1.25</v>
      </c>
      <c r="Y109" s="29" t="s">
        <v>381</v>
      </c>
      <c r="Z109" t="str">
        <f t="shared" si="4"/>
        <v>XS2334572562Sch#0008</v>
      </c>
      <c r="AA109" t="str">
        <f t="shared" si="5"/>
        <v>A(S &amp; P)</v>
      </c>
      <c r="AB109">
        <v>98.765998840332031</v>
      </c>
      <c r="AC109" t="s">
        <v>327</v>
      </c>
      <c r="AD109" t="s">
        <v>121</v>
      </c>
    </row>
  </sheetData>
  <autoFilter ref="A1:Z109">
    <filterColumn colId="17">
      <filters>
        <filter val="Floating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X146"/>
  <sheetViews>
    <sheetView workbookViewId="0">
      <selection activeCell="N2" sqref="N2:P2"/>
    </sheetView>
  </sheetViews>
  <sheetFormatPr defaultRowHeight="15.75" x14ac:dyDescent="0.25"/>
  <cols>
    <col min="1" max="3" width="15.75" style="29" customWidth="1"/>
    <col min="4" max="4" width="11.625" style="29" customWidth="1"/>
    <col min="5" max="5" width="7" style="29" customWidth="1"/>
    <col min="6" max="6" width="13.875" style="49" customWidth="1"/>
    <col min="7" max="7" width="19.375" style="29" customWidth="1"/>
    <col min="8" max="8" width="11.625" style="29" customWidth="1"/>
    <col min="9" max="9" width="10" style="29" customWidth="1"/>
    <col min="10" max="10" width="15.75" style="29" customWidth="1"/>
    <col min="11" max="11" width="8.625" style="29" customWidth="1"/>
    <col min="12" max="12" width="12.25" style="30" customWidth="1"/>
    <col min="13" max="14" width="15.75" style="29" customWidth="1"/>
    <col min="15" max="15" width="10.5" style="29" customWidth="1"/>
    <col min="16" max="16" width="10.25" style="29" customWidth="1"/>
    <col min="17" max="27" width="9" style="29"/>
    <col min="28" max="28" width="12.125" style="29" customWidth="1"/>
    <col min="29" max="30" width="9" style="29"/>
    <col min="31" max="31" width="13.5" style="29" customWidth="1"/>
    <col min="32" max="16384" width="9" style="29"/>
  </cols>
  <sheetData>
    <row r="1" spans="1:24" x14ac:dyDescent="0.25">
      <c r="A1" s="35" t="s">
        <v>102</v>
      </c>
      <c r="B1" s="47" t="s">
        <v>19</v>
      </c>
      <c r="C1" s="47" t="s">
        <v>82</v>
      </c>
      <c r="D1" s="47" t="s">
        <v>11</v>
      </c>
      <c r="E1" s="47" t="s">
        <v>83</v>
      </c>
      <c r="F1" s="96" t="s">
        <v>84</v>
      </c>
      <c r="G1" s="47" t="s">
        <v>85</v>
      </c>
      <c r="H1" s="47" t="s">
        <v>86</v>
      </c>
      <c r="I1" s="47" t="s">
        <v>18</v>
      </c>
      <c r="J1" s="47" t="s">
        <v>87</v>
      </c>
      <c r="K1" s="47" t="s">
        <v>88</v>
      </c>
      <c r="L1" s="22" t="s">
        <v>89</v>
      </c>
      <c r="M1" s="47" t="s">
        <v>90</v>
      </c>
      <c r="N1" s="47" t="s">
        <v>13</v>
      </c>
      <c r="O1" s="47" t="s">
        <v>14</v>
      </c>
      <c r="P1" s="47" t="s">
        <v>15</v>
      </c>
    </row>
    <row r="2" spans="1:24" x14ac:dyDescent="0.25">
      <c r="A2" s="31" t="str">
        <f>_xll.qlFixedRateBond(B2,C2,D2,E2,F2,G2,H2,I2,J2,K2,L2,M2,N2,O2,P2)</f>
        <v>obj_00165#0008</v>
      </c>
      <c r="C2" s="29" t="s">
        <v>262</v>
      </c>
      <c r="D2" s="29" t="str">
        <f>VLOOKUP(C2,ScheduleObj!$Q$2:$Z$109,5,FALSE)</f>
        <v>AUD</v>
      </c>
      <c r="E2" s="29">
        <v>2</v>
      </c>
      <c r="F2" s="49">
        <f>VLOOKUP(C2,ScheduleObj!$Q$2:$Z$109,6,FALSE)</f>
        <v>17000000</v>
      </c>
      <c r="G2" s="31" t="str">
        <f>VLOOKUP(C2,ScheduleObj!$Q$2:$Z$109,10,FALSE)</f>
        <v>AU3CB0278232Sch#0008</v>
      </c>
      <c r="H2" s="97">
        <f>VLOOKUP(C2,ScheduleObj!$Q$2:$Z$109,8,FALSE)/100</f>
        <v>1.2E-2</v>
      </c>
      <c r="I2" s="29" t="str">
        <f>VLOOKUP(D2,Reference!$C$2:$E$6,3,FALSE)</f>
        <v>30/360</v>
      </c>
      <c r="J2" s="29" t="s">
        <v>91</v>
      </c>
      <c r="K2" s="29">
        <v>100</v>
      </c>
      <c r="L2" s="30">
        <f>VLOOKUP(C2,ScheduleObj!$Q$2:$Z$109,3,FALSE)</f>
        <v>44259</v>
      </c>
      <c r="M2" s="29" t="str">
        <f>VLOOKUP(D2,Reference!$C$2:$E$6,2,FALSE)</f>
        <v>Australia</v>
      </c>
      <c r="N2" s="29" t="b">
        <v>0</v>
      </c>
      <c r="O2" s="39">
        <f>'ql-USCorp'!$B$5</f>
        <v>1</v>
      </c>
      <c r="P2" s="29" t="b">
        <v>1</v>
      </c>
    </row>
    <row r="3" spans="1:24" x14ac:dyDescent="0.25">
      <c r="A3" s="31" t="str">
        <f>_xll.qlFixedRateBond(B3,C3,D3,E3,F3,G3,H3,I3,J3,K3,L3,M3,N3,O3,P3)</f>
        <v>obj_00163#0008</v>
      </c>
      <c r="C3" s="29" t="s">
        <v>269</v>
      </c>
      <c r="D3" s="29" t="str">
        <f>VLOOKUP(C3,ScheduleObj!$Q$2:$Z$109,5,FALSE)</f>
        <v>AUD</v>
      </c>
      <c r="E3" s="29">
        <v>2</v>
      </c>
      <c r="F3" s="49">
        <f>VLOOKUP(C3,ScheduleObj!$Q$2:$Z$109,6,FALSE)</f>
        <v>4000000</v>
      </c>
      <c r="G3" s="31" t="str">
        <f>VLOOKUP(C3,ScheduleObj!$Q$2:$Z$109,10,FALSE)</f>
        <v>XS2289799889Sch#0008</v>
      </c>
      <c r="H3" s="97">
        <f>VLOOKUP(C3,ScheduleObj!$Q$2:$Z$109,8,FALSE)/100</f>
        <v>7.4999999999999997E-3</v>
      </c>
      <c r="I3" s="29" t="str">
        <f>VLOOKUP(D3,Reference!$C$2:$E$6,3,FALSE)</f>
        <v>30/360</v>
      </c>
      <c r="J3" s="29" t="s">
        <v>91</v>
      </c>
      <c r="K3" s="29">
        <v>100</v>
      </c>
      <c r="L3" s="30">
        <f>VLOOKUP(C3,ScheduleObj!$Q$2:$Z$109,3,FALSE)</f>
        <v>44218</v>
      </c>
      <c r="M3" s="29" t="str">
        <f>VLOOKUP(D3,Reference!$C$2:$E$6,2,FALSE)</f>
        <v>Australia</v>
      </c>
      <c r="N3" s="29" t="b">
        <v>0</v>
      </c>
      <c r="O3" s="39">
        <f>'ql-USCorp'!$B$5</f>
        <v>1</v>
      </c>
      <c r="P3" s="29" t="b">
        <v>1</v>
      </c>
      <c r="T3" s="30"/>
      <c r="W3" s="30"/>
      <c r="X3" s="30"/>
    </row>
    <row r="4" spans="1:24" x14ac:dyDescent="0.25">
      <c r="A4" s="31" t="str">
        <f>_xll.qlFixedRateBond(B4,C4,D4,E4,F4,G4,H4,I4,J4,K4,L4,M4,N4,O4,P4)</f>
        <v>obj_00164#0008</v>
      </c>
      <c r="C4" s="29" t="s">
        <v>270</v>
      </c>
      <c r="D4" s="29" t="str">
        <f>VLOOKUP(C4,ScheduleObj!$Q$2:$Z$109,5,FALSE)</f>
        <v>AUD</v>
      </c>
      <c r="E4" s="29">
        <v>2</v>
      </c>
      <c r="F4" s="49">
        <f>VLOOKUP(C4,ScheduleObj!$Q$2:$Z$109,6,FALSE)</f>
        <v>3000000</v>
      </c>
      <c r="G4" s="31" t="str">
        <f>VLOOKUP(C4,ScheduleObj!$Q$2:$Z$109,10,FALSE)</f>
        <v>AU3CB0268134Sch#0008</v>
      </c>
      <c r="H4" s="97">
        <f>VLOOKUP(C4,ScheduleObj!$Q$2:$Z$109,8,FALSE)/100</f>
        <v>2.6499999999999999E-2</v>
      </c>
      <c r="I4" s="29" t="str">
        <f>VLOOKUP(D4,Reference!$C$2:$E$6,3,FALSE)</f>
        <v>30/360</v>
      </c>
      <c r="J4" s="29" t="s">
        <v>91</v>
      </c>
      <c r="K4" s="29">
        <v>100</v>
      </c>
      <c r="L4" s="30">
        <f>VLOOKUP(C4,ScheduleObj!$Q$2:$Z$109,3,FALSE)</f>
        <v>43775</v>
      </c>
      <c r="M4" s="29" t="str">
        <f>VLOOKUP(D4,Reference!$C$2:$E$6,2,FALSE)</f>
        <v>Australia</v>
      </c>
      <c r="N4" s="29" t="b">
        <v>0</v>
      </c>
      <c r="O4" s="39">
        <f>'ql-USCorp'!$B$5</f>
        <v>1</v>
      </c>
      <c r="P4" s="29" t="b">
        <v>1</v>
      </c>
      <c r="T4" s="30"/>
      <c r="W4" s="30"/>
      <c r="X4" s="30"/>
    </row>
    <row r="5" spans="1:24" x14ac:dyDescent="0.25">
      <c r="A5" s="31" t="str">
        <f>_xll.qlFixedRateBond(B5,C5,D5,E5,F5,G5,H5,I5,J5,K5,L5,M5,N5,O5,P5)</f>
        <v>obj_00153#0008</v>
      </c>
      <c r="C5" s="29" t="s">
        <v>276</v>
      </c>
      <c r="D5" s="29" t="s">
        <v>384</v>
      </c>
      <c r="E5" s="29">
        <v>2</v>
      </c>
      <c r="F5" s="49">
        <f>VLOOKUP(C5,ScheduleObj!$Q$2:$Z$109,6,FALSE)</f>
        <v>30000000</v>
      </c>
      <c r="G5" s="31" t="str">
        <f>VLOOKUP(C5,ScheduleObj!$Q$2:$Z$109,10,FALSE)</f>
        <v>XS2213043495Sch#0008</v>
      </c>
      <c r="H5" s="97">
        <f>VLOOKUP(C5,ScheduleObj!$Q$2:$Z$109,8,FALSE)/100</f>
        <v>3.4000000000000002E-2</v>
      </c>
      <c r="I5" s="29" t="str">
        <f>VLOOKUP(D5,Reference!$C$2:$E$6,3,FALSE)</f>
        <v>A/365</v>
      </c>
      <c r="J5" s="29" t="s">
        <v>91</v>
      </c>
      <c r="K5" s="29">
        <v>100</v>
      </c>
      <c r="L5" s="30">
        <f>VLOOKUP(C5,ScheduleObj!$Q$2:$Z$109,3,FALSE)</f>
        <v>44061</v>
      </c>
      <c r="M5" s="29" t="str">
        <f>VLOOKUP(D5,Reference!$C$2:$E$6,2,FALSE)</f>
        <v>China</v>
      </c>
      <c r="N5" s="29" t="b">
        <v>0</v>
      </c>
      <c r="O5" s="39">
        <f>'ql-USCorp'!$B$5</f>
        <v>1</v>
      </c>
      <c r="P5" s="29" t="b">
        <v>1</v>
      </c>
      <c r="T5" s="30"/>
      <c r="W5" s="30"/>
      <c r="X5" s="30"/>
    </row>
    <row r="6" spans="1:24" x14ac:dyDescent="0.25">
      <c r="A6" s="31" t="str">
        <f>_xll.qlFixedRateBond(B6,C6,D6,E6,F6,G6,H6,I6,J6,K6,L6,M6,N6,O6,P6)</f>
        <v>obj_00156#0008</v>
      </c>
      <c r="C6" s="29" t="s">
        <v>277</v>
      </c>
      <c r="D6" s="29" t="s">
        <v>384</v>
      </c>
      <c r="E6" s="29">
        <v>2</v>
      </c>
      <c r="F6" s="49">
        <f>VLOOKUP(C6,ScheduleObj!$Q$2:$Z$109,6,FALSE)</f>
        <v>50000000</v>
      </c>
      <c r="G6" s="31" t="str">
        <f>VLOOKUP(C6,ScheduleObj!$Q$2:$Z$109,10,FALSE)</f>
        <v>XS2227817876Sch#0008</v>
      </c>
      <c r="H6" s="97">
        <f>VLOOKUP(C6,ScheduleObj!$Q$2:$Z$109,8,FALSE)/100</f>
        <v>3.7999999999999999E-2</v>
      </c>
      <c r="I6" s="29" t="str">
        <f>VLOOKUP(D6,Reference!$C$2:$E$6,3,FALSE)</f>
        <v>A/365</v>
      </c>
      <c r="J6" s="29" t="s">
        <v>91</v>
      </c>
      <c r="K6" s="29">
        <v>100</v>
      </c>
      <c r="L6" s="30">
        <f>VLOOKUP(C6,ScheduleObj!$Q$2:$Z$109,3,FALSE)</f>
        <v>44089</v>
      </c>
      <c r="M6" s="29" t="str">
        <f>VLOOKUP(D6,Reference!$C$2:$E$6,2,FALSE)</f>
        <v>China</v>
      </c>
      <c r="N6" s="29" t="b">
        <v>0</v>
      </c>
      <c r="O6" s="39">
        <f>'ql-USCorp'!$B$5</f>
        <v>1</v>
      </c>
      <c r="P6" s="29" t="b">
        <v>1</v>
      </c>
      <c r="T6" s="30"/>
      <c r="W6" s="30"/>
      <c r="X6" s="30"/>
    </row>
    <row r="7" spans="1:24" x14ac:dyDescent="0.25">
      <c r="A7" s="31" t="str">
        <f>_xll.qlFixedRateBond(B7,C7,D7,E7,F7,G7,H7,I7,J7,K7,L7,M7,N7,O7,P7)</f>
        <v>obj_00157#0008</v>
      </c>
      <c r="C7" s="29" t="s">
        <v>280</v>
      </c>
      <c r="D7" s="29" t="str">
        <f>VLOOKUP(C7,ScheduleObj!$Q$2:$Z$109,5,FALSE)</f>
        <v>USD</v>
      </c>
      <c r="E7" s="29">
        <v>2</v>
      </c>
      <c r="F7" s="49">
        <f>VLOOKUP(C7,ScheduleObj!$Q$2:$Z$109,6,FALSE)</f>
        <v>3000000</v>
      </c>
      <c r="G7" s="31" t="str">
        <f>VLOOKUP(C7,ScheduleObj!$Q$2:$Z$109,10,FALSE)</f>
        <v>US023135BY17Sch#0008</v>
      </c>
      <c r="H7" s="97">
        <f>VLOOKUP(C7,ScheduleObj!$Q$2:$Z$109,8,FALSE)/100</f>
        <v>1.6500000000000001E-2</v>
      </c>
      <c r="I7" s="29" t="str">
        <f>VLOOKUP(D7,Reference!$C$2:$E$6,3,FALSE)</f>
        <v>30/360</v>
      </c>
      <c r="J7" s="29" t="s">
        <v>91</v>
      </c>
      <c r="K7" s="29">
        <v>100</v>
      </c>
      <c r="L7" s="30">
        <f>VLOOKUP(C7,ScheduleObj!$Q$2:$Z$109,3,FALSE)</f>
        <v>44328</v>
      </c>
      <c r="M7" s="29" t="str">
        <f>VLOOKUP(D7,Reference!$C$2:$E$6,2,FALSE)</f>
        <v>UnitedStates::Settlement</v>
      </c>
      <c r="N7" s="29" t="b">
        <v>0</v>
      </c>
      <c r="O7" s="39">
        <f>'ql-USCorp'!$B$5</f>
        <v>1</v>
      </c>
      <c r="P7" s="29" t="b">
        <v>1</v>
      </c>
      <c r="T7" s="30"/>
      <c r="W7" s="30"/>
      <c r="X7" s="30"/>
    </row>
    <row r="8" spans="1:24" x14ac:dyDescent="0.25">
      <c r="A8" s="31" t="str">
        <f>_xll.qlFixedRateBond(B8,C8,D8,E8,F8,G8,H8,I8,J8,K8,L8,M8,N8,O8,P8)</f>
        <v>obj_00158#0008</v>
      </c>
      <c r="C8" s="29" t="s">
        <v>281</v>
      </c>
      <c r="D8" s="29" t="str">
        <f>VLOOKUP(C8,ScheduleObj!$Q$2:$Z$109,5,FALSE)</f>
        <v>USD</v>
      </c>
      <c r="E8" s="29">
        <v>2</v>
      </c>
      <c r="F8" s="49">
        <f>VLOOKUP(C8,ScheduleObj!$Q$2:$Z$109,6,FALSE)</f>
        <v>5000000</v>
      </c>
      <c r="G8" s="31" t="str">
        <f>VLOOKUP(C8,ScheduleObj!$Q$2:$Z$109,10,FALSE)</f>
        <v>US037833DY36Sch#0008</v>
      </c>
      <c r="H8" s="97">
        <f>VLOOKUP(C8,ScheduleObj!$Q$2:$Z$109,8,FALSE)/100</f>
        <v>1.2500000000000001E-2</v>
      </c>
      <c r="I8" s="29" t="str">
        <f>VLOOKUP(D8,Reference!$C$2:$E$6,3,FALSE)</f>
        <v>30/360</v>
      </c>
      <c r="J8" s="29" t="s">
        <v>91</v>
      </c>
      <c r="K8" s="29">
        <v>100</v>
      </c>
      <c r="L8" s="30">
        <f>VLOOKUP(C8,ScheduleObj!$Q$2:$Z$109,3,FALSE)</f>
        <v>44063</v>
      </c>
      <c r="M8" s="29" t="str">
        <f>VLOOKUP(D8,Reference!$C$2:$E$6,2,FALSE)</f>
        <v>UnitedStates::Settlement</v>
      </c>
      <c r="N8" s="29" t="b">
        <v>0</v>
      </c>
      <c r="O8" s="39">
        <f>'ql-USCorp'!$B$5</f>
        <v>1</v>
      </c>
      <c r="P8" s="29" t="b">
        <v>1</v>
      </c>
      <c r="T8" s="30"/>
    </row>
    <row r="9" spans="1:24" x14ac:dyDescent="0.25">
      <c r="A9" s="31" t="str">
        <f>_xll.qlFixedRateBond(B9,C9,D9,E9,F9,G9,H9,I9,J9,K9,L9,M9,N9,O9,P9)</f>
        <v>obj_0015b#0008</v>
      </c>
      <c r="C9" s="29" t="s">
        <v>282</v>
      </c>
      <c r="D9" s="29" t="str">
        <f>VLOOKUP(C9,ScheduleObj!$Q$2:$Z$109,5,FALSE)</f>
        <v>USD</v>
      </c>
      <c r="E9" s="29">
        <v>2</v>
      </c>
      <c r="F9" s="49">
        <f>VLOOKUP(C9,ScheduleObj!$Q$2:$Z$109,6,FALSE)</f>
        <v>5000000</v>
      </c>
      <c r="G9" s="31" t="str">
        <f>VLOOKUP(C9,ScheduleObj!$Q$2:$Z$109,10,FALSE)</f>
        <v>US037833ED89Sch#0008</v>
      </c>
      <c r="H9" s="97">
        <f>VLOOKUP(C9,ScheduleObj!$Q$2:$Z$109,8,FALSE)/100</f>
        <v>1.6500000000000001E-2</v>
      </c>
      <c r="I9" s="29" t="str">
        <f>VLOOKUP(D9,Reference!$C$2:$E$6,3,FALSE)</f>
        <v>30/360</v>
      </c>
      <c r="J9" s="29" t="s">
        <v>91</v>
      </c>
      <c r="K9" s="29">
        <v>100</v>
      </c>
      <c r="L9" s="30">
        <f>VLOOKUP(C9,ScheduleObj!$Q$2:$Z$109,3,FALSE)</f>
        <v>44235</v>
      </c>
      <c r="M9" s="29" t="str">
        <f>VLOOKUP(D9,Reference!$C$2:$E$6,2,FALSE)</f>
        <v>UnitedStates::Settlement</v>
      </c>
      <c r="N9" s="29" t="b">
        <v>0</v>
      </c>
      <c r="O9" s="39">
        <f>'ql-USCorp'!$B$5</f>
        <v>1</v>
      </c>
      <c r="P9" s="29" t="b">
        <v>1</v>
      </c>
    </row>
    <row r="10" spans="1:24" x14ac:dyDescent="0.25">
      <c r="A10" s="31" t="str">
        <f>_xll.qlFixedRateBond(B10,C10,D10,E10,F10,G10,H10,I10,J10,K10,L10,M10,N10,O10,P10)</f>
        <v>obj_00154#0008</v>
      </c>
      <c r="C10" s="29" t="s">
        <v>284</v>
      </c>
      <c r="D10" s="29" t="str">
        <f>VLOOKUP(C10,ScheduleObj!$Q$2:$Z$109,5,FALSE)</f>
        <v>USD</v>
      </c>
      <c r="E10" s="29">
        <v>2</v>
      </c>
      <c r="F10" s="49">
        <f>VLOOKUP(C10,ScheduleObj!$Q$2:$Z$109,6,FALSE)</f>
        <v>3000000</v>
      </c>
      <c r="G10" s="31" t="str">
        <f>VLOOKUP(C10,ScheduleObj!$Q$2:$Z$109,10,FALSE)</f>
        <v>US06407F2C54Sch#0008</v>
      </c>
      <c r="H10" s="97">
        <f>VLOOKUP(C10,ScheduleObj!$Q$2:$Z$109,8,FALSE)/100</f>
        <v>0.01</v>
      </c>
      <c r="I10" s="29" t="str">
        <f>VLOOKUP(D10,Reference!$C$2:$E$6,3,FALSE)</f>
        <v>30/360</v>
      </c>
      <c r="J10" s="29" t="s">
        <v>91</v>
      </c>
      <c r="K10" s="29">
        <v>100</v>
      </c>
      <c r="L10" s="30">
        <f>VLOOKUP(C10,ScheduleObj!$Q$2:$Z$109,3,FALSE)</f>
        <v>44258</v>
      </c>
      <c r="M10" s="29" t="str">
        <f>VLOOKUP(D10,Reference!$C$2:$E$6,2,FALSE)</f>
        <v>UnitedStates::Settlement</v>
      </c>
      <c r="N10" s="29" t="b">
        <v>0</v>
      </c>
      <c r="O10" s="39">
        <f>'ql-USCorp'!$B$5</f>
        <v>1</v>
      </c>
      <c r="P10" s="29" t="b">
        <v>1</v>
      </c>
    </row>
    <row r="11" spans="1:24" x14ac:dyDescent="0.25">
      <c r="A11" s="31" t="str">
        <f>_xll.qlFixedRateBond(B11,C11,D11,E11,F11,G11,H11,I11,J11,K11,L11,M11,N11,O11,P11)</f>
        <v>obj_00151#0008</v>
      </c>
      <c r="C11" s="29" t="s">
        <v>287</v>
      </c>
      <c r="D11" s="29" t="str">
        <f>VLOOKUP(C11,ScheduleObj!$Q$2:$Z$109,5,FALSE)</f>
        <v>USD</v>
      </c>
      <c r="E11" s="29">
        <v>2</v>
      </c>
      <c r="F11" s="49">
        <f>VLOOKUP(C11,ScheduleObj!$Q$2:$Z$109,6,FALSE)</f>
        <v>5000000</v>
      </c>
      <c r="G11" s="31" t="str">
        <f>VLOOKUP(C11,ScheduleObj!$Q$2:$Z$109,10,FALSE)</f>
        <v>US15238RAG74Sch#0008</v>
      </c>
      <c r="H11" s="97">
        <f>VLOOKUP(C11,ScheduleObj!$Q$2:$Z$109,8,FALSE)/100</f>
        <v>1.1399999999999999E-2</v>
      </c>
      <c r="I11" s="29" t="str">
        <f>VLOOKUP(D11,Reference!$C$2:$E$6,3,FALSE)</f>
        <v>30/360</v>
      </c>
      <c r="J11" s="29" t="s">
        <v>91</v>
      </c>
      <c r="K11" s="29">
        <v>100</v>
      </c>
      <c r="L11" s="30">
        <f>VLOOKUP(C11,ScheduleObj!$Q$2:$Z$109,3,FALSE)</f>
        <v>44236</v>
      </c>
      <c r="M11" s="29" t="str">
        <f>VLOOKUP(D11,Reference!$C$2:$E$6,2,FALSE)</f>
        <v>UnitedStates::Settlement</v>
      </c>
      <c r="N11" s="29" t="b">
        <v>0</v>
      </c>
      <c r="O11" s="39">
        <f>'ql-USCorp'!$B$5</f>
        <v>1</v>
      </c>
      <c r="P11" s="29" t="b">
        <v>1</v>
      </c>
    </row>
    <row r="12" spans="1:24" x14ac:dyDescent="0.25">
      <c r="A12" s="31" t="str">
        <f>_xll.qlFixedRateBond(B12,C12,D12,E12,F12,G12,H12,I12,J12,K12,L12,M12,N12,O12,P12)</f>
        <v>obj_00155#0008</v>
      </c>
      <c r="C12" s="29" t="s">
        <v>288</v>
      </c>
      <c r="D12" s="29" t="str">
        <f>VLOOKUP(C12,ScheduleObj!$Q$2:$Z$109,5,FALSE)</f>
        <v>USD</v>
      </c>
      <c r="E12" s="29">
        <v>2</v>
      </c>
      <c r="F12" s="49">
        <f>VLOOKUP(C12,ScheduleObj!$Q$2:$Z$109,6,FALSE)</f>
        <v>5000000</v>
      </c>
      <c r="G12" s="31" t="str">
        <f>VLOOKUP(C12,ScheduleObj!$Q$2:$Z$109,10,FALSE)</f>
        <v>US191216DD90Sch#0008</v>
      </c>
      <c r="H12" s="97">
        <f>VLOOKUP(C12,ScheduleObj!$Q$2:$Z$109,8,FALSE)/100</f>
        <v>0.01</v>
      </c>
      <c r="I12" s="29" t="str">
        <f>VLOOKUP(D12,Reference!$C$2:$E$6,3,FALSE)</f>
        <v>30/360</v>
      </c>
      <c r="J12" s="29" t="s">
        <v>91</v>
      </c>
      <c r="K12" s="29">
        <v>100</v>
      </c>
      <c r="L12" s="30">
        <f>VLOOKUP(C12,ScheduleObj!$Q$2:$Z$109,3,FALSE)</f>
        <v>44092</v>
      </c>
      <c r="M12" s="29" t="str">
        <f>VLOOKUP(D12,Reference!$C$2:$E$6,2,FALSE)</f>
        <v>UnitedStates::Settlement</v>
      </c>
      <c r="N12" s="29" t="b">
        <v>0</v>
      </c>
      <c r="O12" s="39">
        <f>'ql-USCorp'!$B$5</f>
        <v>1</v>
      </c>
      <c r="P12" s="29" t="b">
        <v>1</v>
      </c>
    </row>
    <row r="13" spans="1:24" x14ac:dyDescent="0.25">
      <c r="A13" s="31" t="str">
        <f>_xll.qlFixedRateBond(B13,C13,D13,E13,F13,G13,H13,I13,J13,K13,L13,M13,N13,O13,P13)</f>
        <v>obj_000ca#0008</v>
      </c>
      <c r="C13" s="29" t="s">
        <v>290</v>
      </c>
      <c r="D13" s="29" t="str">
        <f>VLOOKUP(C13,ScheduleObj!$Q$2:$Z$109,5,FALSE)</f>
        <v>USD</v>
      </c>
      <c r="E13" s="29">
        <v>2</v>
      </c>
      <c r="F13" s="49">
        <f>VLOOKUP(C13,ScheduleObj!$Q$2:$Z$109,6,FALSE)</f>
        <v>5000000</v>
      </c>
      <c r="G13" s="31" t="str">
        <f>VLOOKUP(C13,ScheduleObj!$Q$2:$Z$109,10,FALSE)</f>
        <v>US742718FM66Sch#0008</v>
      </c>
      <c r="H13" s="97">
        <f>VLOOKUP(C13,ScheduleObj!$Q$2:$Z$109,8,FALSE)/100</f>
        <v>1.2E-2</v>
      </c>
      <c r="I13" s="29" t="str">
        <f>VLOOKUP(D13,Reference!$C$2:$E$6,3,FALSE)</f>
        <v>30/360</v>
      </c>
      <c r="J13" s="29" t="s">
        <v>91</v>
      </c>
      <c r="K13" s="29">
        <v>100</v>
      </c>
      <c r="L13" s="30">
        <f>VLOOKUP(C13,ScheduleObj!$Q$2:$Z$109,3,FALSE)</f>
        <v>44133</v>
      </c>
      <c r="M13" s="29" t="str">
        <f>VLOOKUP(D13,Reference!$C$2:$E$6,2,FALSE)</f>
        <v>UnitedStates::Settlement</v>
      </c>
      <c r="N13" s="29" t="b">
        <v>0</v>
      </c>
      <c r="O13" s="39">
        <f>'ql-USCorp'!$B$5</f>
        <v>1</v>
      </c>
      <c r="P13" s="29" t="b">
        <v>1</v>
      </c>
    </row>
    <row r="14" spans="1:24" x14ac:dyDescent="0.25">
      <c r="A14" s="31" t="str">
        <f>_xll.qlFixedRateBond(B14,C14,D14,E14,F14,G14,H14,I14,J14,K14,L14,M14,N14,O14,P14)</f>
        <v>obj_000e0#0008</v>
      </c>
      <c r="C14" s="29" t="s">
        <v>291</v>
      </c>
      <c r="D14" s="29" t="str">
        <f>VLOOKUP(C14,ScheduleObj!$Q$2:$Z$109,5,FALSE)</f>
        <v>USD</v>
      </c>
      <c r="E14" s="29">
        <v>2</v>
      </c>
      <c r="F14" s="49">
        <f>VLOOKUP(C14,ScheduleObj!$Q$2:$Z$109,6,FALSE)</f>
        <v>3000000</v>
      </c>
      <c r="G14" s="31" t="str">
        <f>VLOOKUP(C14,ScheduleObj!$Q$2:$Z$109,10,FALSE)</f>
        <v>US892331AD13Sch#0008</v>
      </c>
      <c r="H14" s="97">
        <f>VLOOKUP(C14,ScheduleObj!$Q$2:$Z$109,8,FALSE)/100</f>
        <v>3.669E-2</v>
      </c>
      <c r="I14" s="29" t="str">
        <f>VLOOKUP(D14,Reference!$C$2:$E$6,3,FALSE)</f>
        <v>30/360</v>
      </c>
      <c r="J14" s="29" t="s">
        <v>91</v>
      </c>
      <c r="K14" s="29">
        <v>100</v>
      </c>
      <c r="L14" s="30">
        <f>VLOOKUP(C14,ScheduleObj!$Q$2:$Z$109,3,FALSE)</f>
        <v>43301</v>
      </c>
      <c r="M14" s="29" t="str">
        <f>VLOOKUP(D14,Reference!$C$2:$E$6,2,FALSE)</f>
        <v>UnitedStates::Settlement</v>
      </c>
      <c r="N14" s="29" t="b">
        <v>0</v>
      </c>
      <c r="O14" s="39">
        <f>'ql-USCorp'!$B$5</f>
        <v>1</v>
      </c>
      <c r="P14" s="29" t="b">
        <v>1</v>
      </c>
    </row>
    <row r="15" spans="1:24" x14ac:dyDescent="0.25">
      <c r="A15" s="31" t="str">
        <f>_xll.qlFixedRateBond(B15,C15,D15,E15,F15,G15,H15,I15,J15,K15,L15,M15,N15,O15,P15)</f>
        <v>obj_000db#0008</v>
      </c>
      <c r="C15" s="29" t="s">
        <v>292</v>
      </c>
      <c r="D15" s="29" t="str">
        <f>VLOOKUP(C15,ScheduleObj!$Q$2:$Z$109,5,FALSE)</f>
        <v>USD</v>
      </c>
      <c r="E15" s="29">
        <v>2</v>
      </c>
      <c r="F15" s="49">
        <f>VLOOKUP(C15,ScheduleObj!$Q$2:$Z$109,6,FALSE)</f>
        <v>5000000</v>
      </c>
      <c r="G15" s="31" t="str">
        <f>VLOOKUP(C15,ScheduleObj!$Q$2:$Z$109,10,FALSE)</f>
        <v>US892331AM12Sch#0008</v>
      </c>
      <c r="H15" s="97">
        <f>VLOOKUP(C15,ScheduleObj!$Q$2:$Z$109,8,FALSE)/100</f>
        <v>1.3389999999999999E-2</v>
      </c>
      <c r="I15" s="29" t="str">
        <f>VLOOKUP(D15,Reference!$C$2:$E$6,3,FALSE)</f>
        <v>30/360</v>
      </c>
      <c r="J15" s="29" t="s">
        <v>91</v>
      </c>
      <c r="K15" s="29">
        <v>100</v>
      </c>
      <c r="L15" s="30">
        <f>VLOOKUP(C15,ScheduleObj!$Q$2:$Z$109,3,FALSE)</f>
        <v>44280</v>
      </c>
      <c r="M15" s="29" t="str">
        <f>VLOOKUP(D15,Reference!$C$2:$E$6,2,FALSE)</f>
        <v>UnitedStates::Settlement</v>
      </c>
      <c r="N15" s="29" t="b">
        <v>0</v>
      </c>
      <c r="O15" s="39">
        <f>'ql-USCorp'!$B$5</f>
        <v>1</v>
      </c>
      <c r="P15" s="29" t="b">
        <v>1</v>
      </c>
    </row>
    <row r="16" spans="1:24" x14ac:dyDescent="0.25">
      <c r="A16" s="31" t="str">
        <f>_xll.qlFixedRateBond(B16,C16,D16,E16,F16,G16,H16,I16,J16,K16,L16,M16,N16,O16,P16)</f>
        <v>obj_000cd#0008</v>
      </c>
      <c r="C16" s="29" t="s">
        <v>293</v>
      </c>
      <c r="D16" s="29" t="str">
        <f>VLOOKUP(C16,ScheduleObj!$Q$2:$Z$109,5,FALSE)</f>
        <v>USD</v>
      </c>
      <c r="E16" s="29">
        <v>2</v>
      </c>
      <c r="F16" s="49">
        <f>VLOOKUP(C16,ScheduleObj!$Q$2:$Z$109,6,FALSE)</f>
        <v>15000000</v>
      </c>
      <c r="G16" s="31" t="str">
        <f>VLOOKUP(C16,ScheduleObj!$Q$2:$Z$109,10,FALSE)</f>
        <v>US91282CAV37Sch#0008</v>
      </c>
      <c r="H16" s="97">
        <f>VLOOKUP(C16,ScheduleObj!$Q$2:$Z$109,8,FALSE)/100</f>
        <v>8.7500000000000008E-3</v>
      </c>
      <c r="I16" s="29" t="str">
        <f>VLOOKUP(D16,Reference!$C$2:$E$6,3,FALSE)</f>
        <v>30/360</v>
      </c>
      <c r="J16" s="29" t="s">
        <v>91</v>
      </c>
      <c r="K16" s="29">
        <v>100</v>
      </c>
      <c r="L16" s="30">
        <f>VLOOKUP(C16,ScheduleObj!$Q$2:$Z$109,3,FALSE)</f>
        <v>44151</v>
      </c>
      <c r="M16" s="29" t="str">
        <f>VLOOKUP(D16,Reference!$C$2:$E$6,2,FALSE)</f>
        <v>UnitedStates::Settlement</v>
      </c>
      <c r="N16" s="29" t="b">
        <v>0</v>
      </c>
      <c r="O16" s="39">
        <f>'ql-USCorp'!$B$5</f>
        <v>1</v>
      </c>
      <c r="P16" s="29" t="b">
        <v>1</v>
      </c>
    </row>
    <row r="17" spans="1:16" x14ac:dyDescent="0.25">
      <c r="A17" s="31" t="str">
        <f>_xll.qlFixedRateBond(B17,C17,D17,E17,F17,G17,H17,I17,J17,K17,L17,M17,N17,O17,P17)</f>
        <v>obj_000df#0008</v>
      </c>
      <c r="C17" s="29" t="s">
        <v>294</v>
      </c>
      <c r="D17" s="29" t="str">
        <f>VLOOKUP(C17,ScheduleObj!$Q$2:$Z$109,5,FALSE)</f>
        <v>USD</v>
      </c>
      <c r="E17" s="29">
        <v>2</v>
      </c>
      <c r="F17" s="49">
        <f>VLOOKUP(C17,ScheduleObj!$Q$2:$Z$109,6,FALSE)</f>
        <v>5000000</v>
      </c>
      <c r="G17" s="31" t="str">
        <f>VLOOKUP(C17,ScheduleObj!$Q$2:$Z$109,10,FALSE)</f>
        <v>US92343VFL36Sch#0008</v>
      </c>
      <c r="H17" s="97">
        <f>VLOOKUP(C17,ScheduleObj!$Q$2:$Z$109,8,FALSE)/100</f>
        <v>1.4999999999999999E-2</v>
      </c>
      <c r="I17" s="29" t="str">
        <f>VLOOKUP(D17,Reference!$C$2:$E$6,3,FALSE)</f>
        <v>30/360</v>
      </c>
      <c r="J17" s="29" t="s">
        <v>91</v>
      </c>
      <c r="K17" s="29">
        <v>100</v>
      </c>
      <c r="L17" s="30">
        <f>VLOOKUP(C17,ScheduleObj!$Q$2:$Z$109,3,FALSE)</f>
        <v>44092</v>
      </c>
      <c r="M17" s="29" t="str">
        <f>VLOOKUP(D17,Reference!$C$2:$E$6,2,FALSE)</f>
        <v>UnitedStates::Settlement</v>
      </c>
      <c r="N17" s="29" t="b">
        <v>0</v>
      </c>
      <c r="O17" s="39">
        <f>'ql-USCorp'!$B$5</f>
        <v>1</v>
      </c>
      <c r="P17" s="29" t="b">
        <v>1</v>
      </c>
    </row>
    <row r="18" spans="1:16" x14ac:dyDescent="0.25">
      <c r="A18" s="31" t="str">
        <f>_xll.qlFixedRateBond(B18,C18,D18,E18,F18,G18,H18,I18,J18,K18,L18,M18,N18,O18,P18)</f>
        <v>obj_000d2#0008</v>
      </c>
      <c r="C18" s="29" t="s">
        <v>296</v>
      </c>
      <c r="D18" s="29" t="str">
        <f>VLOOKUP(C18,ScheduleObj!$Q$2:$Z$109,5,FALSE)</f>
        <v>USD</v>
      </c>
      <c r="E18" s="29">
        <v>2</v>
      </c>
      <c r="F18" s="49">
        <f>VLOOKUP(C18,ScheduleObj!$Q$2:$Z$109,6,FALSE)</f>
        <v>3000000</v>
      </c>
      <c r="G18" s="31" t="str">
        <f>VLOOKUP(C18,ScheduleObj!$Q$2:$Z$109,10,FALSE)</f>
        <v>USG91139AD00Sch#0008</v>
      </c>
      <c r="H18" s="97">
        <f>VLOOKUP(C18,ScheduleObj!$Q$2:$Z$109,8,FALSE)/100</f>
        <v>0.01</v>
      </c>
      <c r="I18" s="29" t="str">
        <f>VLOOKUP(D18,Reference!$C$2:$E$6,3,FALSE)</f>
        <v>30/360</v>
      </c>
      <c r="J18" s="29" t="s">
        <v>91</v>
      </c>
      <c r="K18" s="29">
        <v>100</v>
      </c>
      <c r="L18" s="30">
        <f>VLOOKUP(C18,ScheduleObj!$Q$2:$Z$109,3,FALSE)</f>
        <v>44102</v>
      </c>
      <c r="M18" s="29" t="str">
        <f>VLOOKUP(D18,Reference!$C$2:$E$6,2,FALSE)</f>
        <v>UnitedStates::Settlement</v>
      </c>
      <c r="N18" s="29" t="b">
        <v>0</v>
      </c>
      <c r="O18" s="39">
        <f>'ql-USCorp'!$B$5</f>
        <v>1</v>
      </c>
      <c r="P18" s="29" t="b">
        <v>1</v>
      </c>
    </row>
    <row r="19" spans="1:16" x14ac:dyDescent="0.25">
      <c r="A19" s="31" t="str">
        <f>_xll.qlFixedRateBond(B19,C19,D19,E19,F19,G19,H19,I19,J19,K19,L19,M19,N19,O19,P19)</f>
        <v>obj_000c2#0008</v>
      </c>
      <c r="C19" s="29" t="s">
        <v>297</v>
      </c>
      <c r="D19" s="29" t="str">
        <f>VLOOKUP(C19,ScheduleObj!$Q$2:$Z$109,5,FALSE)</f>
        <v>USD</v>
      </c>
      <c r="E19" s="29">
        <v>2</v>
      </c>
      <c r="F19" s="49">
        <f>VLOOKUP(C19,ScheduleObj!$Q$2:$Z$109,6,FALSE)</f>
        <v>7000000</v>
      </c>
      <c r="G19" s="31" t="str">
        <f>VLOOKUP(C19,ScheduleObj!$Q$2:$Z$109,10,FALSE)</f>
        <v>USG91139AE82Sch#0008</v>
      </c>
      <c r="H19" s="97">
        <f>VLOOKUP(C19,ScheduleObj!$Q$2:$Z$109,8,FALSE)/100</f>
        <v>1.375E-2</v>
      </c>
      <c r="I19" s="29" t="str">
        <f>VLOOKUP(D19,Reference!$C$2:$E$6,3,FALSE)</f>
        <v>30/360</v>
      </c>
      <c r="J19" s="29" t="s">
        <v>91</v>
      </c>
      <c r="K19" s="29">
        <v>100</v>
      </c>
      <c r="L19" s="30">
        <f>VLOOKUP(C19,ScheduleObj!$Q$2:$Z$109,3,FALSE)</f>
        <v>44102</v>
      </c>
      <c r="M19" s="29" t="str">
        <f>VLOOKUP(D19,Reference!$C$2:$E$6,2,FALSE)</f>
        <v>UnitedStates::Settlement</v>
      </c>
      <c r="N19" s="29" t="b">
        <v>0</v>
      </c>
      <c r="O19" s="39">
        <f>'ql-USCorp'!$B$5</f>
        <v>1</v>
      </c>
      <c r="P19" s="29" t="b">
        <v>1</v>
      </c>
    </row>
    <row r="20" spans="1:16" x14ac:dyDescent="0.25">
      <c r="A20" s="31" t="str">
        <f>_xll.qlFixedRateBond(B20,C20,D20,E20,F20,G20,H20,I20,J20,K20,L20,M20,N20,O20,P20)</f>
        <v>obj_000d6#0008</v>
      </c>
      <c r="C20" s="29" t="s">
        <v>298</v>
      </c>
      <c r="D20" s="29" t="str">
        <f>VLOOKUP(C20,ScheduleObj!$Q$2:$Z$109,5,FALSE)</f>
        <v>USD</v>
      </c>
      <c r="E20" s="29">
        <v>2</v>
      </c>
      <c r="F20" s="49">
        <f>VLOOKUP(C20,ScheduleObj!$Q$2:$Z$109,6,FALSE)</f>
        <v>3000000</v>
      </c>
      <c r="G20" s="31" t="str">
        <f>VLOOKUP(C20,ScheduleObj!$Q$2:$Z$109,10,FALSE)</f>
        <v>USG91139AF57Sch#0008</v>
      </c>
      <c r="H20" s="97">
        <f>VLOOKUP(C20,ScheduleObj!$Q$2:$Z$109,8,FALSE)/100</f>
        <v>1.2500000000000001E-2</v>
      </c>
      <c r="I20" s="29" t="str">
        <f>VLOOKUP(D20,Reference!$C$2:$E$6,3,FALSE)</f>
        <v>30/360</v>
      </c>
      <c r="J20" s="29" t="s">
        <v>91</v>
      </c>
      <c r="K20" s="29">
        <v>100</v>
      </c>
      <c r="L20" s="30">
        <f>VLOOKUP(C20,ScheduleObj!$Q$2:$Z$109,3,FALSE)</f>
        <v>44309</v>
      </c>
      <c r="M20" s="29" t="str">
        <f>VLOOKUP(D20,Reference!$C$2:$E$6,2,FALSE)</f>
        <v>UnitedStates::Settlement</v>
      </c>
      <c r="N20" s="29" t="b">
        <v>0</v>
      </c>
      <c r="O20" s="39">
        <f>'ql-USCorp'!$B$5</f>
        <v>1</v>
      </c>
      <c r="P20" s="29" t="b">
        <v>1</v>
      </c>
    </row>
    <row r="21" spans="1:16" x14ac:dyDescent="0.25">
      <c r="A21" s="31" t="str">
        <f>_xll.qlFixedRateBond(B21,C21,D21,E21,F21,G21,H21,I21,J21,K21,L21,M21,N21,O21,P21)</f>
        <v>obj_000c7#0008</v>
      </c>
      <c r="C21" s="29" t="s">
        <v>299</v>
      </c>
      <c r="D21" s="29" t="str">
        <f>VLOOKUP(C21,ScheduleObj!$Q$2:$Z$109,5,FALSE)</f>
        <v>USD</v>
      </c>
      <c r="E21" s="29">
        <v>2</v>
      </c>
      <c r="F21" s="49">
        <f>VLOOKUP(C21,ScheduleObj!$Q$2:$Z$109,6,FALSE)</f>
        <v>10000000</v>
      </c>
      <c r="G21" s="31" t="str">
        <f>VLOOKUP(C21,ScheduleObj!$Q$2:$Z$109,10,FALSE)</f>
        <v>USJ5S39RAC82Sch#0008</v>
      </c>
      <c r="H21" s="97">
        <f>VLOOKUP(C21,ScheduleObj!$Q$2:$Z$109,8,FALSE)/100</f>
        <v>1.1619999999999998E-2</v>
      </c>
      <c r="I21" s="29" t="str">
        <f>VLOOKUP(D21,Reference!$C$2:$E$6,3,FALSE)</f>
        <v>30/360</v>
      </c>
      <c r="J21" s="29" t="s">
        <v>91</v>
      </c>
      <c r="K21" s="29">
        <v>100</v>
      </c>
      <c r="L21" s="30">
        <f>VLOOKUP(C21,ScheduleObj!$Q$2:$Z$109,3,FALSE)</f>
        <v>44258</v>
      </c>
      <c r="M21" s="29" t="str">
        <f>VLOOKUP(D21,Reference!$C$2:$E$6,2,FALSE)</f>
        <v>UnitedStates::Settlement</v>
      </c>
      <c r="N21" s="29" t="b">
        <v>0</v>
      </c>
      <c r="O21" s="39">
        <f>'ql-USCorp'!$B$5</f>
        <v>1</v>
      </c>
      <c r="P21" s="29" t="b">
        <v>1</v>
      </c>
    </row>
    <row r="22" spans="1:16" x14ac:dyDescent="0.25">
      <c r="A22" s="31" t="str">
        <f>_xll.qlFixedRateBond(B22,C22,D22,E22,F22,G22,H22,I22,J22,K22,L22,M22,N22,O22,P22)</f>
        <v>obj_000d0#0008</v>
      </c>
      <c r="C22" s="29" t="s">
        <v>301</v>
      </c>
      <c r="D22" s="29" t="str">
        <f>VLOOKUP(C22,ScheduleObj!$Q$2:$Z$109,5,FALSE)</f>
        <v>USD</v>
      </c>
      <c r="E22" s="29">
        <v>2</v>
      </c>
      <c r="F22" s="49">
        <f>VLOOKUP(C22,ScheduleObj!$Q$2:$Z$109,6,FALSE)</f>
        <v>5000000</v>
      </c>
      <c r="G22" s="31" t="str">
        <f>VLOOKUP(C22,ScheduleObj!$Q$2:$Z$109,10,FALSE)</f>
        <v>USU9273ADF94Sch#0008</v>
      </c>
      <c r="H22" s="97">
        <f>VLOOKUP(C22,ScheduleObj!$Q$2:$Z$109,8,FALSE)/100</f>
        <v>1.6250000000000001E-2</v>
      </c>
      <c r="I22" s="29" t="str">
        <f>VLOOKUP(D22,Reference!$C$2:$E$6,3,FALSE)</f>
        <v>30/360</v>
      </c>
      <c r="J22" s="29" t="s">
        <v>91</v>
      </c>
      <c r="K22" s="29">
        <v>100</v>
      </c>
      <c r="L22" s="30">
        <f>VLOOKUP(C22,ScheduleObj!$Q$2:$Z$109,3,FALSE)</f>
        <v>44159</v>
      </c>
      <c r="M22" s="29" t="str">
        <f>VLOOKUP(D22,Reference!$C$2:$E$6,2,FALSE)</f>
        <v>UnitedStates::Settlement</v>
      </c>
      <c r="N22" s="29" t="b">
        <v>0</v>
      </c>
      <c r="O22" s="39">
        <f>'ql-USCorp'!$B$5</f>
        <v>1</v>
      </c>
      <c r="P22" s="29" t="b">
        <v>1</v>
      </c>
    </row>
    <row r="23" spans="1:16" x14ac:dyDescent="0.25">
      <c r="A23" s="31" t="str">
        <f>_xll.qlFixedRateBond(B23,C23,D23,E23,F23,G23,H23,I23,J23,K23,L23,M23,N23,O23,P23)</f>
        <v>obj_000c8#0008</v>
      </c>
      <c r="C23" s="29" t="s">
        <v>302</v>
      </c>
      <c r="D23" s="29" t="str">
        <f>VLOOKUP(C23,ScheduleObj!$Q$2:$Z$109,5,FALSE)</f>
        <v>USD</v>
      </c>
      <c r="E23" s="29">
        <v>2</v>
      </c>
      <c r="F23" s="49">
        <f>VLOOKUP(C23,ScheduleObj!$Q$2:$Z$109,6,FALSE)</f>
        <v>6500000</v>
      </c>
      <c r="G23" s="31" t="str">
        <f>VLOOKUP(C23,ScheduleObj!$Q$2:$Z$109,10,FALSE)</f>
        <v>USY4949FAF28Sch#0008</v>
      </c>
      <c r="H23" s="97">
        <f>VLOOKUP(C23,ScheduleObj!$Q$2:$Z$109,8,FALSE)/100</f>
        <v>7.4999999999999997E-3</v>
      </c>
      <c r="I23" s="29" t="str">
        <f>VLOOKUP(D23,Reference!$C$2:$E$6,3,FALSE)</f>
        <v>30/360</v>
      </c>
      <c r="J23" s="29" t="s">
        <v>91</v>
      </c>
      <c r="K23" s="29">
        <v>100</v>
      </c>
      <c r="L23" s="30">
        <f>VLOOKUP(C23,ScheduleObj!$Q$2:$Z$109,3,FALSE)</f>
        <v>44223</v>
      </c>
      <c r="M23" s="29" t="str">
        <f>VLOOKUP(D23,Reference!$C$2:$E$6,2,FALSE)</f>
        <v>UnitedStates::Settlement</v>
      </c>
      <c r="N23" s="29" t="b">
        <v>0</v>
      </c>
      <c r="O23" s="39">
        <f>'ql-USCorp'!$B$5</f>
        <v>1</v>
      </c>
      <c r="P23" s="29" t="b">
        <v>1</v>
      </c>
    </row>
    <row r="24" spans="1:16" x14ac:dyDescent="0.25">
      <c r="A24" s="31" t="str">
        <f>_xll.qlFixedRateBond(B24,C24,D24,E24,F24,G24,H24,I24,J24,K24,L24,M24,N24,O24,P24)</f>
        <v>obj_000e3#0008</v>
      </c>
      <c r="C24" s="29" t="s">
        <v>316</v>
      </c>
      <c r="D24" s="29" t="str">
        <f>VLOOKUP(C24,ScheduleObj!$Q$2:$Z$109,5,FALSE)</f>
        <v>USD</v>
      </c>
      <c r="E24" s="29">
        <v>2</v>
      </c>
      <c r="F24" s="49">
        <f>VLOOKUP(C24,ScheduleObj!$Q$2:$Z$109,6,FALSE)</f>
        <v>3000000</v>
      </c>
      <c r="G24" s="31" t="str">
        <f>VLOOKUP(C24,ScheduleObj!$Q$2:$Z$109,10,FALSE)</f>
        <v>XS2190999834Sch#0008</v>
      </c>
      <c r="H24" s="97">
        <f>VLOOKUP(C24,ScheduleObj!$Q$2:$Z$109,8,FALSE)/100</f>
        <v>1.2500000000000001E-2</v>
      </c>
      <c r="I24" s="29" t="str">
        <f>VLOOKUP(D24,Reference!$C$2:$E$6,3,FALSE)</f>
        <v>30/360</v>
      </c>
      <c r="J24" s="29" t="s">
        <v>91</v>
      </c>
      <c r="K24" s="29">
        <v>100</v>
      </c>
      <c r="L24" s="30">
        <f>VLOOKUP(C24,ScheduleObj!$Q$2:$Z$109,3,FALSE)</f>
        <v>44006</v>
      </c>
      <c r="M24" s="29" t="str">
        <f>VLOOKUP(D24,Reference!$C$2:$E$6,2,FALSE)</f>
        <v>UnitedStates::Settlement</v>
      </c>
      <c r="N24" s="29" t="b">
        <v>0</v>
      </c>
      <c r="O24" s="39">
        <f>'ql-USCorp'!$B$5</f>
        <v>1</v>
      </c>
      <c r="P24" s="29" t="b">
        <v>1</v>
      </c>
    </row>
    <row r="25" spans="1:16" x14ac:dyDescent="0.25">
      <c r="A25" s="31" t="str">
        <f>_xll.qlFixedRateBond(B25,C25,D25,E25,F25,G25,H25,I25,J25,K25,L25,M25,N25,O25,P25)</f>
        <v>obj_000e5#0008</v>
      </c>
      <c r="C25" s="29" t="s">
        <v>317</v>
      </c>
      <c r="D25" s="29" t="str">
        <f>VLOOKUP(C25,ScheduleObj!$Q$2:$Z$109,5,FALSE)</f>
        <v>USD</v>
      </c>
      <c r="E25" s="29">
        <v>2</v>
      </c>
      <c r="F25" s="49">
        <f>VLOOKUP(C25,ScheduleObj!$Q$2:$Z$109,6,FALSE)</f>
        <v>500000</v>
      </c>
      <c r="G25" s="31" t="str">
        <f>VLOOKUP(C25,ScheduleObj!$Q$2:$Z$109,10,FALSE)</f>
        <v>XS2208843503Sch#0008</v>
      </c>
      <c r="H25" s="97">
        <f>VLOOKUP(C25,ScheduleObj!$Q$2:$Z$109,8,FALSE)/100</f>
        <v>0.01</v>
      </c>
      <c r="I25" s="29" t="str">
        <f>VLOOKUP(D25,Reference!$C$2:$E$6,3,FALSE)</f>
        <v>30/360</v>
      </c>
      <c r="J25" s="29" t="s">
        <v>91</v>
      </c>
      <c r="K25" s="29">
        <v>100</v>
      </c>
      <c r="L25" s="30">
        <f>VLOOKUP(C25,ScheduleObj!$Q$2:$Z$109,3,FALSE)</f>
        <v>44047</v>
      </c>
      <c r="M25" s="29" t="str">
        <f>VLOOKUP(D25,Reference!$C$2:$E$6,2,FALSE)</f>
        <v>UnitedStates::Settlement</v>
      </c>
      <c r="N25" s="29" t="b">
        <v>0</v>
      </c>
      <c r="O25" s="39">
        <f>'ql-USCorp'!$B$5</f>
        <v>1</v>
      </c>
      <c r="P25" s="29" t="b">
        <v>1</v>
      </c>
    </row>
    <row r="26" spans="1:16" x14ac:dyDescent="0.25">
      <c r="A26" s="31" t="str">
        <f>_xll.qlFixedRateBond(B26,C26,D26,E26,F26,G26,H26,I26,J26,K26,L26,M26,N26,O26,P26)</f>
        <v>obj_000cb#0008</v>
      </c>
      <c r="C26" s="29" t="s">
        <v>318</v>
      </c>
      <c r="D26" s="29" t="str">
        <f>VLOOKUP(C26,ScheduleObj!$Q$2:$Z$109,5,FALSE)</f>
        <v>USD</v>
      </c>
      <c r="E26" s="29">
        <v>2</v>
      </c>
      <c r="F26" s="49">
        <f>VLOOKUP(C26,ScheduleObj!$Q$2:$Z$109,6,FALSE)</f>
        <v>4000000</v>
      </c>
      <c r="G26" s="31" t="str">
        <f>VLOOKUP(C26,ScheduleObj!$Q$2:$Z$109,10,FALSE)</f>
        <v>XS2208844493Sch#0008</v>
      </c>
      <c r="H26" s="97">
        <f>VLOOKUP(C26,ScheduleObj!$Q$2:$Z$109,8,FALSE)/100</f>
        <v>1.2500000000000001E-2</v>
      </c>
      <c r="I26" s="29" t="str">
        <f>VLOOKUP(D26,Reference!$C$2:$E$6,3,FALSE)</f>
        <v>30/360</v>
      </c>
      <c r="J26" s="29" t="s">
        <v>91</v>
      </c>
      <c r="K26" s="29">
        <v>100</v>
      </c>
      <c r="L26" s="30">
        <f>VLOOKUP(C26,ScheduleObj!$Q$2:$Z$109,3,FALSE)</f>
        <v>44047</v>
      </c>
      <c r="M26" s="29" t="str">
        <f>VLOOKUP(D26,Reference!$C$2:$E$6,2,FALSE)</f>
        <v>UnitedStates::Settlement</v>
      </c>
      <c r="N26" s="29" t="b">
        <v>0</v>
      </c>
      <c r="O26" s="39">
        <f>'ql-USCorp'!$B$5</f>
        <v>1</v>
      </c>
      <c r="P26" s="29" t="b">
        <v>1</v>
      </c>
    </row>
    <row r="27" spans="1:16" x14ac:dyDescent="0.25">
      <c r="A27" s="31" t="str">
        <f>_xll.qlFixedRateBond(B27,C27,D27,E27,F27,G27,H27,I27,J27,K27,L27,M27,N27,O27,P27)</f>
        <v>obj_000da#0008</v>
      </c>
      <c r="C27" s="29" t="s">
        <v>319</v>
      </c>
      <c r="D27" s="29" t="str">
        <f>VLOOKUP(C27,ScheduleObj!$Q$2:$Z$109,5,FALSE)</f>
        <v>USD</v>
      </c>
      <c r="E27" s="29">
        <v>2</v>
      </c>
      <c r="F27" s="49">
        <f>VLOOKUP(C27,ScheduleObj!$Q$2:$Z$109,6,FALSE)</f>
        <v>10000000</v>
      </c>
      <c r="G27" s="31" t="str">
        <f>VLOOKUP(C27,ScheduleObj!$Q$2:$Z$109,10,FALSE)</f>
        <v>XS2218281942Sch#0008</v>
      </c>
      <c r="H27" s="97">
        <f>VLOOKUP(C27,ScheduleObj!$Q$2:$Z$109,8,FALSE)/100</f>
        <v>0.01</v>
      </c>
      <c r="I27" s="29" t="str">
        <f>VLOOKUP(D27,Reference!$C$2:$E$6,3,FALSE)</f>
        <v>30/360</v>
      </c>
      <c r="J27" s="29" t="s">
        <v>91</v>
      </c>
      <c r="K27" s="29">
        <v>100</v>
      </c>
      <c r="L27" s="30">
        <f>VLOOKUP(C27,ScheduleObj!$Q$2:$Z$109,3,FALSE)</f>
        <v>44075</v>
      </c>
      <c r="M27" s="29" t="str">
        <f>VLOOKUP(D27,Reference!$C$2:$E$6,2,FALSE)</f>
        <v>UnitedStates::Settlement</v>
      </c>
      <c r="N27" s="29" t="b">
        <v>0</v>
      </c>
      <c r="O27" s="39">
        <f>'ql-USCorp'!$B$5</f>
        <v>1</v>
      </c>
      <c r="P27" s="29" t="b">
        <v>1</v>
      </c>
    </row>
    <row r="28" spans="1:16" x14ac:dyDescent="0.25">
      <c r="A28" s="31" t="str">
        <f>_xll.qlFixedRateBond(B28,C28,D28,E28,F28,G28,H28,I28,J28,K28,L28,M28,N28,O28,P28)</f>
        <v>obj_000dc#0008</v>
      </c>
      <c r="C28" s="29" t="s">
        <v>320</v>
      </c>
      <c r="D28" s="29" t="str">
        <f>VLOOKUP(C28,ScheduleObj!$Q$2:$Z$109,5,FALSE)</f>
        <v>USD</v>
      </c>
      <c r="E28" s="29">
        <v>2</v>
      </c>
      <c r="F28" s="49">
        <f>VLOOKUP(C28,ScheduleObj!$Q$2:$Z$109,6,FALSE)</f>
        <v>11000000</v>
      </c>
      <c r="G28" s="31" t="str">
        <f>VLOOKUP(C28,ScheduleObj!$Q$2:$Z$109,10,FALSE)</f>
        <v>XS2236363227Sch#0008</v>
      </c>
      <c r="H28" s="97">
        <f>VLOOKUP(C28,ScheduleObj!$Q$2:$Z$109,8,FALSE)/100</f>
        <v>2.5000000000000001E-2</v>
      </c>
      <c r="I28" s="29" t="str">
        <f>VLOOKUP(D28,Reference!$C$2:$E$6,3,FALSE)</f>
        <v>30/360</v>
      </c>
      <c r="J28" s="29" t="s">
        <v>91</v>
      </c>
      <c r="K28" s="29">
        <v>100</v>
      </c>
      <c r="L28" s="30">
        <f>VLOOKUP(C28,ScheduleObj!$Q$2:$Z$109,3,FALSE)</f>
        <v>44132</v>
      </c>
      <c r="M28" s="29" t="str">
        <f>VLOOKUP(D28,Reference!$C$2:$E$6,2,FALSE)</f>
        <v>UnitedStates::Settlement</v>
      </c>
      <c r="N28" s="29" t="b">
        <v>0</v>
      </c>
      <c r="O28" s="39">
        <f>'ql-USCorp'!$B$5</f>
        <v>1</v>
      </c>
      <c r="P28" s="29" t="b">
        <v>1</v>
      </c>
    </row>
    <row r="29" spans="1:16" x14ac:dyDescent="0.25">
      <c r="A29" s="31" t="str">
        <f>_xll.qlFixedRateBond(B29,C29,D29,E29,F29,G29,H29,I29,J29,K29,L29,M29,N29,O29,P29)</f>
        <v>obj_000d3#0008</v>
      </c>
      <c r="C29" s="29" t="s">
        <v>321</v>
      </c>
      <c r="D29" s="29" t="str">
        <f>VLOOKUP(C29,ScheduleObj!$Q$2:$Z$109,5,FALSE)</f>
        <v>USD</v>
      </c>
      <c r="E29" s="29">
        <v>2</v>
      </c>
      <c r="F29" s="49">
        <f>VLOOKUP(C29,ScheduleObj!$Q$2:$Z$109,6,FALSE)</f>
        <v>5000000</v>
      </c>
      <c r="G29" s="31" t="str">
        <f>VLOOKUP(C29,ScheduleObj!$Q$2:$Z$109,10,FALSE)</f>
        <v>XS2262853265Sch#0008</v>
      </c>
      <c r="H29" s="97">
        <f>VLOOKUP(C29,ScheduleObj!$Q$2:$Z$109,8,FALSE)/100</f>
        <v>2.2499999999999999E-2</v>
      </c>
      <c r="I29" s="29" t="str">
        <f>VLOOKUP(D29,Reference!$C$2:$E$6,3,FALSE)</f>
        <v>30/360</v>
      </c>
      <c r="J29" s="29" t="s">
        <v>91</v>
      </c>
      <c r="K29" s="29">
        <v>100</v>
      </c>
      <c r="L29" s="30">
        <f>VLOOKUP(C29,ScheduleObj!$Q$2:$Z$109,3,FALSE)</f>
        <v>44159</v>
      </c>
      <c r="M29" s="29" t="str">
        <f>VLOOKUP(D29,Reference!$C$2:$E$6,2,FALSE)</f>
        <v>UnitedStates::Settlement</v>
      </c>
      <c r="N29" s="29" t="b">
        <v>0</v>
      </c>
      <c r="O29" s="39">
        <f>'ql-USCorp'!$B$5</f>
        <v>1</v>
      </c>
      <c r="P29" s="29" t="b">
        <v>1</v>
      </c>
    </row>
    <row r="30" spans="1:16" x14ac:dyDescent="0.25">
      <c r="A30" s="31" t="str">
        <f>_xll.qlFixedRateBond(B30,C30,D30,E30,F30,G30,H30,I30,J30,K30,L30,M30,N30,O30,P30)</f>
        <v>obj_000d4#0008</v>
      </c>
      <c r="C30" s="29" t="s">
        <v>322</v>
      </c>
      <c r="D30" s="29" t="str">
        <f>VLOOKUP(C30,ScheduleObj!$Q$2:$Z$109,5,FALSE)</f>
        <v>USD</v>
      </c>
      <c r="E30" s="29">
        <v>2</v>
      </c>
      <c r="F30" s="49">
        <f>VLOOKUP(C30,ScheduleObj!$Q$2:$Z$109,6,FALSE)</f>
        <v>1500000</v>
      </c>
      <c r="G30" s="31" t="str">
        <f>VLOOKUP(C30,ScheduleObj!$Q$2:$Z$109,10,FALSE)</f>
        <v>XS2265238639Sch#0008</v>
      </c>
      <c r="H30" s="97">
        <f>VLOOKUP(C30,ScheduleObj!$Q$2:$Z$109,8,FALSE)/100</f>
        <v>8.94E-3</v>
      </c>
      <c r="I30" s="29" t="str">
        <f>VLOOKUP(D30,Reference!$C$2:$E$6,3,FALSE)</f>
        <v>30/360</v>
      </c>
      <c r="J30" s="29" t="s">
        <v>91</v>
      </c>
      <c r="K30" s="29">
        <v>100</v>
      </c>
      <c r="L30" s="30">
        <f>VLOOKUP(C30,ScheduleObj!$Q$2:$Z$109,3,FALSE)</f>
        <v>44175</v>
      </c>
      <c r="M30" s="29" t="str">
        <f>VLOOKUP(D30,Reference!$C$2:$E$6,2,FALSE)</f>
        <v>UnitedStates::Settlement</v>
      </c>
      <c r="N30" s="29" t="b">
        <v>0</v>
      </c>
      <c r="O30" s="39">
        <f>'ql-USCorp'!$B$5</f>
        <v>1</v>
      </c>
      <c r="P30" s="29" t="b">
        <v>1</v>
      </c>
    </row>
    <row r="31" spans="1:16" x14ac:dyDescent="0.25">
      <c r="A31" s="31" t="str">
        <f>_xll.qlFixedRateBond(B31,C31,D31,E31,F31,G31,H31,I31,J31,K31,L31,M31,N31,O31,P31)</f>
        <v>obj_000ce#0008</v>
      </c>
      <c r="C31" s="29" t="s">
        <v>323</v>
      </c>
      <c r="D31" s="29" t="str">
        <f>VLOOKUP(C31,ScheduleObj!$Q$2:$Z$109,5,FALSE)</f>
        <v>USD</v>
      </c>
      <c r="E31" s="29">
        <v>2</v>
      </c>
      <c r="F31" s="49">
        <f>VLOOKUP(C31,ScheduleObj!$Q$2:$Z$109,6,FALSE)</f>
        <v>5000000</v>
      </c>
      <c r="G31" s="31" t="str">
        <f>VLOOKUP(C31,ScheduleObj!$Q$2:$Z$109,10,FALSE)</f>
        <v>XS2294493544Sch#0008</v>
      </c>
      <c r="H31" s="97">
        <f>VLOOKUP(C31,ScheduleObj!$Q$2:$Z$109,8,FALSE)/100</f>
        <v>1.26E-2</v>
      </c>
      <c r="I31" s="29" t="str">
        <f>VLOOKUP(D31,Reference!$C$2:$E$6,3,FALSE)</f>
        <v>30/360</v>
      </c>
      <c r="J31" s="29" t="s">
        <v>91</v>
      </c>
      <c r="K31" s="29">
        <v>100</v>
      </c>
      <c r="L31" s="30">
        <f>VLOOKUP(C31,ScheduleObj!$Q$2:$Z$109,3,FALSE)</f>
        <v>44237</v>
      </c>
      <c r="M31" s="29" t="str">
        <f>VLOOKUP(D31,Reference!$C$2:$E$6,2,FALSE)</f>
        <v>UnitedStates::Settlement</v>
      </c>
      <c r="N31" s="29" t="b">
        <v>0</v>
      </c>
      <c r="O31" s="39">
        <f>'ql-USCorp'!$B$5</f>
        <v>1</v>
      </c>
      <c r="P31" s="29" t="b">
        <v>1</v>
      </c>
    </row>
    <row r="32" spans="1:16" x14ac:dyDescent="0.25">
      <c r="A32" s="31" t="str">
        <f>_xll.qlFixedRateBond(B32,C32,D32,E32,F32,G32,H32,I32,J32,K32,L32,M32,N32,O32,P32)</f>
        <v>obj_000cf#0008</v>
      </c>
      <c r="C32" s="29" t="s">
        <v>324</v>
      </c>
      <c r="D32" s="29" t="str">
        <f>VLOOKUP(C32,ScheduleObj!$Q$2:$Z$109,5,FALSE)</f>
        <v>USD</v>
      </c>
      <c r="E32" s="29">
        <v>2</v>
      </c>
      <c r="F32" s="49">
        <f>VLOOKUP(C32,ScheduleObj!$Q$2:$Z$109,6,FALSE)</f>
        <v>5000000</v>
      </c>
      <c r="G32" s="31" t="str">
        <f>VLOOKUP(C32,ScheduleObj!$Q$2:$Z$109,10,FALSE)</f>
        <v>XS2315827209Sch#0008</v>
      </c>
      <c r="H32" s="97">
        <f>VLOOKUP(C32,ScheduleObj!$Q$2:$Z$109,8,FALSE)/100</f>
        <v>1.5640000000000001E-2</v>
      </c>
      <c r="I32" s="29" t="str">
        <f>VLOOKUP(D32,Reference!$C$2:$E$6,3,FALSE)</f>
        <v>30/360</v>
      </c>
      <c r="J32" s="29" t="s">
        <v>91</v>
      </c>
      <c r="K32" s="29">
        <v>100</v>
      </c>
      <c r="L32" s="30">
        <f>VLOOKUP(C32,ScheduleObj!$Q$2:$Z$109,3,FALSE)</f>
        <v>44285</v>
      </c>
      <c r="M32" s="29" t="str">
        <f>VLOOKUP(D32,Reference!$C$2:$E$6,2,FALSE)</f>
        <v>UnitedStates::Settlement</v>
      </c>
      <c r="N32" s="29" t="b">
        <v>0</v>
      </c>
      <c r="O32" s="39">
        <f>'ql-USCorp'!$B$5</f>
        <v>1</v>
      </c>
      <c r="P32" s="29" t="b">
        <v>1</v>
      </c>
    </row>
    <row r="33" spans="1:16" x14ac:dyDescent="0.25">
      <c r="A33" s="31" t="str">
        <f>_xll.qlFixedRateBond(B33,C33,D33,E33,F33,G33,H33,I33,J33,K33,L33,M33,N33,O33,P33)</f>
        <v>obj_000c4#0008</v>
      </c>
      <c r="C33" s="29" t="s">
        <v>325</v>
      </c>
      <c r="D33" s="29" t="str">
        <f>VLOOKUP(C33,ScheduleObj!$Q$2:$Z$109,5,FALSE)</f>
        <v>USD</v>
      </c>
      <c r="E33" s="29">
        <v>2</v>
      </c>
      <c r="F33" s="49">
        <f>VLOOKUP(C33,ScheduleObj!$Q$2:$Z$109,6,FALSE)</f>
        <v>5000000</v>
      </c>
      <c r="G33" s="31" t="str">
        <f>VLOOKUP(C33,ScheduleObj!$Q$2:$Z$109,10,FALSE)</f>
        <v>XS2315967989Sch#0008</v>
      </c>
      <c r="H33" s="97">
        <f>VLOOKUP(C33,ScheduleObj!$Q$2:$Z$109,8,FALSE)/100</f>
        <v>1.4999999999999999E-2</v>
      </c>
      <c r="I33" s="29" t="str">
        <f>VLOOKUP(D33,Reference!$C$2:$E$6,3,FALSE)</f>
        <v>30/360</v>
      </c>
      <c r="J33" s="29" t="s">
        <v>91</v>
      </c>
      <c r="K33" s="29">
        <v>100</v>
      </c>
      <c r="L33" s="30">
        <f>VLOOKUP(C33,ScheduleObj!$Q$2:$Z$109,3,FALSE)</f>
        <v>44284</v>
      </c>
      <c r="M33" s="29" t="str">
        <f>VLOOKUP(D33,Reference!$C$2:$E$6,2,FALSE)</f>
        <v>UnitedStates::Settlement</v>
      </c>
      <c r="N33" s="29" t="b">
        <v>0</v>
      </c>
      <c r="O33" s="39">
        <f>'ql-USCorp'!$B$5</f>
        <v>1</v>
      </c>
      <c r="P33" s="29" t="b">
        <v>1</v>
      </c>
    </row>
    <row r="34" spans="1:16" x14ac:dyDescent="0.25">
      <c r="A34" s="31" t="str">
        <f>_xll.qlFixedRateBond(B34,C34,D34,E34,F34,G34,H34,I34,J34,K34,L34,M34,N34,O34,P34)</f>
        <v>obj_000c6#0008</v>
      </c>
      <c r="C34" s="29" t="s">
        <v>326</v>
      </c>
      <c r="D34" s="29" t="str">
        <f>VLOOKUP(C34,ScheduleObj!$Q$2:$Z$109,5,FALSE)</f>
        <v>USD</v>
      </c>
      <c r="E34" s="29">
        <v>2</v>
      </c>
      <c r="F34" s="49">
        <f>VLOOKUP(C34,ScheduleObj!$Q$2:$Z$109,6,FALSE)</f>
        <v>5000000</v>
      </c>
      <c r="G34" s="31" t="str">
        <f>VLOOKUP(C34,ScheduleObj!$Q$2:$Z$109,10,FALSE)</f>
        <v>XS2341140932Sch#0008</v>
      </c>
      <c r="H34" s="97">
        <f>VLOOKUP(C34,ScheduleObj!$Q$2:$Z$109,8,FALSE)/100</f>
        <v>1.375E-2</v>
      </c>
      <c r="I34" s="29" t="str">
        <f>VLOOKUP(D34,Reference!$C$2:$E$6,3,FALSE)</f>
        <v>30/360</v>
      </c>
      <c r="J34" s="29" t="s">
        <v>91</v>
      </c>
      <c r="K34" s="29">
        <v>100</v>
      </c>
      <c r="L34" s="30">
        <f>VLOOKUP(C34,ScheduleObj!$Q$2:$Z$109,3,FALSE)</f>
        <v>44370</v>
      </c>
      <c r="M34" s="29" t="str">
        <f>VLOOKUP(D34,Reference!$C$2:$E$6,2,FALSE)</f>
        <v>UnitedStates::Settlement</v>
      </c>
      <c r="N34" s="29" t="b">
        <v>0</v>
      </c>
      <c r="O34" s="39">
        <f>'ql-USCorp'!$B$5</f>
        <v>1</v>
      </c>
      <c r="P34" s="29" t="b">
        <v>1</v>
      </c>
    </row>
    <row r="35" spans="1:16" x14ac:dyDescent="0.25">
      <c r="A35" s="31" t="str">
        <f>_xll.qlFixedRateBond(B35,C35,D35,E35,F35,G35,H35,I35,J35,K35,L35,M35,N35,O35,P35)</f>
        <v>obj_000d9#0008</v>
      </c>
      <c r="C35" s="29" t="s">
        <v>327</v>
      </c>
      <c r="D35" s="29" t="str">
        <f>VLOOKUP(C35,ScheduleObj!$Q$2:$Z$109,5,FALSE)</f>
        <v>USD</v>
      </c>
      <c r="E35" s="29">
        <v>2</v>
      </c>
      <c r="F35" s="49">
        <f>VLOOKUP(C35,ScheduleObj!$Q$2:$Z$109,6,FALSE)</f>
        <v>7000000</v>
      </c>
      <c r="G35" s="31" t="str">
        <f>VLOOKUP(C35,ScheduleObj!$Q$2:$Z$109,10,FALSE)</f>
        <v>XS2364514708Sch#0008</v>
      </c>
      <c r="H35" s="97">
        <f>VLOOKUP(C35,ScheduleObj!$Q$2:$Z$109,8,FALSE)/100</f>
        <v>1.7100000000000001E-2</v>
      </c>
      <c r="I35" s="29" t="str">
        <f>VLOOKUP(D35,Reference!$C$2:$E$6,3,FALSE)</f>
        <v>30/360</v>
      </c>
      <c r="J35" s="29" t="s">
        <v>91</v>
      </c>
      <c r="K35" s="29">
        <v>100</v>
      </c>
      <c r="L35" s="30">
        <f>VLOOKUP(C35,ScheduleObj!$Q$2:$Z$109,3,FALSE)</f>
        <v>44398</v>
      </c>
      <c r="M35" s="29" t="str">
        <f>VLOOKUP(D35,Reference!$C$2:$E$6,2,FALSE)</f>
        <v>UnitedStates::Settlement</v>
      </c>
      <c r="N35" s="29" t="b">
        <v>0</v>
      </c>
      <c r="O35" s="39">
        <f>'ql-USCorp'!$B$5</f>
        <v>1</v>
      </c>
      <c r="P35" s="29" t="b">
        <v>1</v>
      </c>
    </row>
    <row r="36" spans="1:16" x14ac:dyDescent="0.25">
      <c r="A36" s="31" t="str">
        <f>_xll.qlFixedRateBond(B36,C36,D36,E36,F36,G36,H36,I36,J36,K36,L36,M36,N36,O36,P36)</f>
        <v>obj_000cc#0008</v>
      </c>
      <c r="C36" s="29" t="s">
        <v>328</v>
      </c>
      <c r="D36" s="29" t="str">
        <f>VLOOKUP(C36,ScheduleObj!$Q$2:$Z$109,5,FALSE)</f>
        <v>USD</v>
      </c>
      <c r="E36" s="29">
        <v>2</v>
      </c>
      <c r="F36" s="49">
        <f>VLOOKUP(C36,ScheduleObj!$Q$2:$Z$109,6,FALSE)</f>
        <v>3000000</v>
      </c>
      <c r="G36" s="31" t="str">
        <f>VLOOKUP(C36,ScheduleObj!$Q$2:$Z$109,10,FALSE)</f>
        <v>XS2384719667Sch#0008</v>
      </c>
      <c r="H36" s="97">
        <f>VLOOKUP(C36,ScheduleObj!$Q$2:$Z$109,8,FALSE)/100</f>
        <v>1.8849999999999999E-2</v>
      </c>
      <c r="I36" s="29" t="str">
        <f>VLOOKUP(D36,Reference!$C$2:$E$6,3,FALSE)</f>
        <v>30/360</v>
      </c>
      <c r="J36" s="29" t="s">
        <v>91</v>
      </c>
      <c r="K36" s="29">
        <v>100</v>
      </c>
      <c r="L36" s="30">
        <f>VLOOKUP(C36,ScheduleObj!$Q$2:$Z$109,3,FALSE)</f>
        <v>44463</v>
      </c>
      <c r="M36" s="29" t="str">
        <f>VLOOKUP(D36,Reference!$C$2:$E$6,2,FALSE)</f>
        <v>UnitedStates::Settlement</v>
      </c>
      <c r="N36" s="29" t="b">
        <v>0</v>
      </c>
      <c r="O36" s="39">
        <f>'ql-USCorp'!$B$5</f>
        <v>1</v>
      </c>
      <c r="P36" s="29" t="b">
        <v>1</v>
      </c>
    </row>
    <row r="37" spans="1:16" x14ac:dyDescent="0.25">
      <c r="A37" s="31" t="str">
        <f>_xll.qlFixedRateBond(B37,C37,D37,E37,F37,G37,H37,I37,J37,K37,L37,M37,N37,O37,P37)</f>
        <v>obj_000c1#0008</v>
      </c>
      <c r="C37" s="29" t="s">
        <v>329</v>
      </c>
      <c r="D37" s="29" t="str">
        <f>VLOOKUP(C37,ScheduleObj!$Q$2:$Z$109,5,FALSE)</f>
        <v>USD</v>
      </c>
      <c r="E37" s="29">
        <v>2</v>
      </c>
      <c r="F37" s="49">
        <f>VLOOKUP(C37,ScheduleObj!$Q$2:$Z$109,6,FALSE)</f>
        <v>5000000</v>
      </c>
      <c r="G37" s="31" t="str">
        <f>VLOOKUP(C37,ScheduleObj!$Q$2:$Z$109,10,FALSE)</f>
        <v>US00131MAH60Sch#0008</v>
      </c>
      <c r="H37" s="97">
        <f>VLOOKUP(C37,ScheduleObj!$Q$2:$Z$109,8,FALSE)/100</f>
        <v>0</v>
      </c>
      <c r="I37" s="29" t="str">
        <f>VLOOKUP(D37,Reference!$C$2:$E$6,3,FALSE)</f>
        <v>30/360</v>
      </c>
      <c r="J37" s="29" t="s">
        <v>91</v>
      </c>
      <c r="K37" s="29">
        <v>100</v>
      </c>
      <c r="L37" s="30">
        <f>VLOOKUP(C37,ScheduleObj!$Q$2:$Z$109,3,FALSE)</f>
        <v>43564</v>
      </c>
      <c r="M37" s="29" t="str">
        <f>VLOOKUP(D37,Reference!$C$2:$E$6,2,FALSE)</f>
        <v>UnitedStates::Settlement</v>
      </c>
      <c r="N37" s="29" t="b">
        <v>0</v>
      </c>
      <c r="O37" s="39">
        <f>'ql-USCorp'!$B$5</f>
        <v>1</v>
      </c>
      <c r="P37" s="29" t="b">
        <v>1</v>
      </c>
    </row>
    <row r="38" spans="1:16" x14ac:dyDescent="0.25">
      <c r="A38" s="31" t="str">
        <f>_xll.qlFixedRateBond(B38,C38,D38,E38,F38,G38,H38,I38,J38,K38,L38,M38,N38,O38,P38)</f>
        <v>obj_000e1#0008</v>
      </c>
      <c r="C38" s="29" t="s">
        <v>284</v>
      </c>
      <c r="D38" s="29" t="str">
        <f>VLOOKUP(C38,ScheduleObj!$Q$2:$Z$109,5,FALSE)</f>
        <v>USD</v>
      </c>
      <c r="E38" s="29">
        <v>2</v>
      </c>
      <c r="F38" s="49">
        <f>VLOOKUP(C38,ScheduleObj!$Q$2:$Z$109,6,FALSE)</f>
        <v>3000000</v>
      </c>
      <c r="G38" s="31" t="str">
        <f>VLOOKUP(C38,ScheduleObj!$Q$2:$Z$109,10,FALSE)</f>
        <v>US06407F2C54Sch#0008</v>
      </c>
      <c r="H38" s="97">
        <f>VLOOKUP(C38,ScheduleObj!$Q$2:$Z$109,8,FALSE)/100</f>
        <v>0.01</v>
      </c>
      <c r="I38" s="29" t="str">
        <f>VLOOKUP(D38,Reference!$C$2:$E$6,3,FALSE)</f>
        <v>30/360</v>
      </c>
      <c r="J38" s="29" t="s">
        <v>91</v>
      </c>
      <c r="K38" s="29">
        <v>100</v>
      </c>
      <c r="L38" s="30">
        <f>VLOOKUP(C38,ScheduleObj!$Q$2:$Z$109,3,FALSE)</f>
        <v>44258</v>
      </c>
      <c r="M38" s="29" t="str">
        <f>VLOOKUP(D38,Reference!$C$2:$E$6,2,FALSE)</f>
        <v>UnitedStates::Settlement</v>
      </c>
      <c r="N38" s="29" t="b">
        <v>0</v>
      </c>
      <c r="O38" s="39">
        <f>'ql-USCorp'!$B$5</f>
        <v>1</v>
      </c>
      <c r="P38" s="29" t="b">
        <v>1</v>
      </c>
    </row>
    <row r="39" spans="1:16" x14ac:dyDescent="0.25">
      <c r="A39" s="31" t="str">
        <f>_xll.qlFixedRateBond(B39,C39,D39,E39,F39,G39,H39,I39,J39,K39,L39,M39,N39,O39,P39)</f>
        <v>obj_000c5#0008</v>
      </c>
      <c r="C39" s="29" t="s">
        <v>332</v>
      </c>
      <c r="D39" s="29" t="str">
        <f>VLOOKUP(C39,ScheduleObj!$Q$2:$Z$109,5,FALSE)</f>
        <v>USD</v>
      </c>
      <c r="E39" s="29">
        <v>2</v>
      </c>
      <c r="F39" s="49">
        <f>VLOOKUP(C39,ScheduleObj!$Q$2:$Z$109,6,FALSE)</f>
        <v>5000000</v>
      </c>
      <c r="G39" s="31" t="str">
        <f>VLOOKUP(C39,ScheduleObj!$Q$2:$Z$109,10,FALSE)</f>
        <v>US10373QBM15Sch#0008</v>
      </c>
      <c r="H39" s="97">
        <f>VLOOKUP(C39,ScheduleObj!$Q$2:$Z$109,8,FALSE)/100</f>
        <v>1.0914999999999999E-2</v>
      </c>
      <c r="I39" s="29" t="str">
        <f>VLOOKUP(D39,Reference!$C$2:$E$6,3,FALSE)</f>
        <v>30/360</v>
      </c>
      <c r="J39" s="29" t="s">
        <v>91</v>
      </c>
      <c r="K39" s="29">
        <v>100</v>
      </c>
      <c r="L39" s="30">
        <f>VLOOKUP(C39,ScheduleObj!$Q$2:$Z$109,3,FALSE)</f>
        <v>44053</v>
      </c>
      <c r="M39" s="29" t="str">
        <f>VLOOKUP(D39,Reference!$C$2:$E$6,2,FALSE)</f>
        <v>UnitedStates::Settlement</v>
      </c>
      <c r="N39" s="29" t="b">
        <v>0</v>
      </c>
      <c r="O39" s="39">
        <f>'ql-USCorp'!$B$5</f>
        <v>1</v>
      </c>
      <c r="P39" s="29" t="b">
        <v>1</v>
      </c>
    </row>
    <row r="40" spans="1:16" x14ac:dyDescent="0.25">
      <c r="A40" s="31" t="str">
        <f>_xll.qlFixedRateBond(B40,C40,D40,E40,F40,G40,H40,I40,J40,K40,L40,M40,N40,O40,P40)</f>
        <v>obj_000d5#0008</v>
      </c>
      <c r="C40" s="29" t="s">
        <v>338</v>
      </c>
      <c r="D40" s="29" t="str">
        <f>VLOOKUP(C40,ScheduleObj!$Q$2:$Z$109,5,FALSE)</f>
        <v>USD</v>
      </c>
      <c r="E40" s="29">
        <v>2</v>
      </c>
      <c r="F40" s="49">
        <f>VLOOKUP(C40,ScheduleObj!$Q$2:$Z$109,6,FALSE)</f>
        <v>3000000</v>
      </c>
      <c r="G40" s="31" t="str">
        <f>VLOOKUP(C40,ScheduleObj!$Q$2:$Z$109,10,FALSE)</f>
        <v>USY00284AW20Sch#0008</v>
      </c>
      <c r="H40" s="97">
        <f>VLOOKUP(C40,ScheduleObj!$Q$2:$Z$109,8,FALSE)/100</f>
        <v>1.8238799999999999E-2</v>
      </c>
      <c r="I40" s="29" t="str">
        <f>VLOOKUP(D40,Reference!$C$2:$E$6,3,FALSE)</f>
        <v>30/360</v>
      </c>
      <c r="J40" s="29" t="s">
        <v>91</v>
      </c>
      <c r="K40" s="29">
        <v>100</v>
      </c>
      <c r="L40" s="30">
        <f>VLOOKUP(C40,ScheduleObj!$Q$2:$Z$109,3,FALSE)</f>
        <v>44231</v>
      </c>
      <c r="M40" s="29" t="str">
        <f>VLOOKUP(D40,Reference!$C$2:$E$6,2,FALSE)</f>
        <v>UnitedStates::Settlement</v>
      </c>
      <c r="N40" s="29" t="b">
        <v>0</v>
      </c>
      <c r="O40" s="39">
        <f>'ql-USCorp'!$B$5</f>
        <v>1</v>
      </c>
      <c r="P40" s="29" t="b">
        <v>1</v>
      </c>
    </row>
    <row r="41" spans="1:16" x14ac:dyDescent="0.25">
      <c r="A41" s="31" t="str">
        <f>_xll.qlFixedRateBond(B41,C41,D41,E41,F41,G41,H41,I41,J41,K41,L41,M41,N41,O41,P41)</f>
        <v>obj_000d7#0008</v>
      </c>
      <c r="C41" s="29" t="s">
        <v>339</v>
      </c>
      <c r="D41" s="29" t="str">
        <f>VLOOKUP(C41,ScheduleObj!$Q$2:$Z$109,5,FALSE)</f>
        <v>USD</v>
      </c>
      <c r="E41" s="29">
        <v>2</v>
      </c>
      <c r="F41" s="49">
        <f>VLOOKUP(C41,ScheduleObj!$Q$2:$Z$109,6,FALSE)</f>
        <v>10000000</v>
      </c>
      <c r="G41" s="31" t="str">
        <f>VLOOKUP(C41,ScheduleObj!$Q$2:$Z$109,10,FALSE)</f>
        <v>USY3422VCS52Sch#0008</v>
      </c>
      <c r="H41" s="97">
        <f>VLOOKUP(C41,ScheduleObj!$Q$2:$Z$109,8,FALSE)/100</f>
        <v>1.6250000000000001E-2</v>
      </c>
      <c r="I41" s="29" t="str">
        <f>VLOOKUP(D41,Reference!$C$2:$E$6,3,FALSE)</f>
        <v>30/360</v>
      </c>
      <c r="J41" s="29" t="s">
        <v>91</v>
      </c>
      <c r="K41" s="29">
        <v>100</v>
      </c>
      <c r="L41" s="30">
        <f>VLOOKUP(C41,ScheduleObj!$Q$2:$Z$109,3,FALSE)</f>
        <v>44229</v>
      </c>
      <c r="M41" s="29" t="str">
        <f>VLOOKUP(D41,Reference!$C$2:$E$6,2,FALSE)</f>
        <v>UnitedStates::Settlement</v>
      </c>
      <c r="N41" s="29" t="b">
        <v>0</v>
      </c>
      <c r="O41" s="39">
        <f>'ql-USCorp'!$B$5</f>
        <v>1</v>
      </c>
      <c r="P41" s="29" t="b">
        <v>1</v>
      </c>
    </row>
    <row r="42" spans="1:16" x14ac:dyDescent="0.25">
      <c r="A42" s="31" t="str">
        <f>_xll.qlFixedRateBond(B42,C42,D42,E42,F42,G42,H42,I42,J42,K42,L42,M42,N42,O42,P42)</f>
        <v>obj_000d1#0008</v>
      </c>
      <c r="C42" s="29" t="s">
        <v>350</v>
      </c>
      <c r="D42" s="29" t="str">
        <f>VLOOKUP(C42,ScheduleObj!$Q$2:$Z$109,5,FALSE)</f>
        <v>USD</v>
      </c>
      <c r="E42" s="29">
        <v>2</v>
      </c>
      <c r="F42" s="49">
        <f>VLOOKUP(C42,ScheduleObj!$Q$2:$Z$109,6,FALSE)</f>
        <v>10000000</v>
      </c>
      <c r="G42" s="31" t="str">
        <f>VLOOKUP(C42,ScheduleObj!$Q$2:$Z$109,10,FALSE)</f>
        <v>XS2181902789Sch#0008</v>
      </c>
      <c r="H42" s="97">
        <f>VLOOKUP(C42,ScheduleObj!$Q$2:$Z$109,8,FALSE)/100</f>
        <v>9.5499999999999995E-3</v>
      </c>
      <c r="I42" s="29" t="str">
        <f>VLOOKUP(D42,Reference!$C$2:$E$6,3,FALSE)</f>
        <v>30/360</v>
      </c>
      <c r="J42" s="29" t="s">
        <v>91</v>
      </c>
      <c r="K42" s="29">
        <v>100</v>
      </c>
      <c r="L42" s="30">
        <f>VLOOKUP(C42,ScheduleObj!$Q$2:$Z$109,3,FALSE)</f>
        <v>43991</v>
      </c>
      <c r="M42" s="29" t="str">
        <f>VLOOKUP(D42,Reference!$C$2:$E$6,2,FALSE)</f>
        <v>UnitedStates::Settlement</v>
      </c>
      <c r="N42" s="29" t="b">
        <v>0</v>
      </c>
      <c r="O42" s="39">
        <f>'ql-USCorp'!$B$5</f>
        <v>1</v>
      </c>
      <c r="P42" s="29" t="b">
        <v>1</v>
      </c>
    </row>
    <row r="43" spans="1:16" x14ac:dyDescent="0.25">
      <c r="A43" s="31" t="str">
        <f>_xll.qlFixedRateBond(B43,C43,D43,E43,F43,G43,H43,I43,J43,K43,L43,M43,N43,O43,P43)</f>
        <v>obj_000e2#0008</v>
      </c>
      <c r="C43" s="29" t="s">
        <v>316</v>
      </c>
      <c r="D43" s="29" t="str">
        <f>VLOOKUP(C43,ScheduleObj!$Q$2:$Z$109,5,FALSE)</f>
        <v>USD</v>
      </c>
      <c r="E43" s="29">
        <v>2</v>
      </c>
      <c r="F43" s="49">
        <f>VLOOKUP(C43,ScheduleObj!$Q$2:$Z$109,6,FALSE)</f>
        <v>3000000</v>
      </c>
      <c r="G43" s="31" t="str">
        <f>VLOOKUP(C43,ScheduleObj!$Q$2:$Z$109,10,FALSE)</f>
        <v>XS2190999834Sch#0008</v>
      </c>
      <c r="H43" s="97">
        <f>VLOOKUP(C43,ScheduleObj!$Q$2:$Z$109,8,FALSE)/100</f>
        <v>1.2500000000000001E-2</v>
      </c>
      <c r="I43" s="29" t="str">
        <f>VLOOKUP(D43,Reference!$C$2:$E$6,3,FALSE)</f>
        <v>30/360</v>
      </c>
      <c r="J43" s="29" t="s">
        <v>91</v>
      </c>
      <c r="K43" s="29">
        <v>100</v>
      </c>
      <c r="L43" s="30">
        <f>VLOOKUP(C43,ScheduleObj!$Q$2:$Z$109,3,FALSE)</f>
        <v>44006</v>
      </c>
      <c r="M43" s="29" t="str">
        <f>VLOOKUP(D43,Reference!$C$2:$E$6,2,FALSE)</f>
        <v>UnitedStates::Settlement</v>
      </c>
      <c r="N43" s="29" t="b">
        <v>0</v>
      </c>
      <c r="O43" s="39">
        <f>'ql-USCorp'!$B$5</f>
        <v>1</v>
      </c>
      <c r="P43" s="29" t="b">
        <v>1</v>
      </c>
    </row>
    <row r="44" spans="1:16" x14ac:dyDescent="0.25">
      <c r="A44" s="31" t="str">
        <f>_xll.qlFixedRateBond(B44,C44,D44,E44,F44,G44,H44,I44,J44,K44,L44,M44,N44,O44,P44)</f>
        <v>obj_000d8#0008</v>
      </c>
      <c r="C44" s="29" t="s">
        <v>351</v>
      </c>
      <c r="D44" s="29" t="str">
        <f>VLOOKUP(C44,ScheduleObj!$Q$2:$Z$109,5,FALSE)</f>
        <v>USD</v>
      </c>
      <c r="E44" s="29">
        <v>2</v>
      </c>
      <c r="F44" s="49">
        <f>VLOOKUP(C44,ScheduleObj!$Q$2:$Z$109,6,FALSE)</f>
        <v>10000000</v>
      </c>
      <c r="G44" s="31" t="str">
        <f>VLOOKUP(C44,ScheduleObj!$Q$2:$Z$109,10,FALSE)</f>
        <v>XS2193950354Sch#0008</v>
      </c>
      <c r="H44" s="97">
        <f>VLOOKUP(C44,ScheduleObj!$Q$2:$Z$109,8,FALSE)/100</f>
        <v>1.2500000000000001E-2</v>
      </c>
      <c r="I44" s="29" t="str">
        <f>VLOOKUP(D44,Reference!$C$2:$E$6,3,FALSE)</f>
        <v>30/360</v>
      </c>
      <c r="J44" s="29" t="s">
        <v>91</v>
      </c>
      <c r="K44" s="29">
        <v>100</v>
      </c>
      <c r="L44" s="30">
        <f>VLOOKUP(C44,ScheduleObj!$Q$2:$Z$109,3,FALSE)</f>
        <v>44012</v>
      </c>
      <c r="M44" s="29" t="str">
        <f>VLOOKUP(D44,Reference!$C$2:$E$6,2,FALSE)</f>
        <v>UnitedStates::Settlement</v>
      </c>
      <c r="N44" s="29" t="b">
        <v>0</v>
      </c>
      <c r="O44" s="39">
        <f>'ql-USCorp'!$B$5</f>
        <v>1</v>
      </c>
      <c r="P44" s="29" t="b">
        <v>1</v>
      </c>
    </row>
    <row r="45" spans="1:16" x14ac:dyDescent="0.25">
      <c r="A45" s="31" t="str">
        <f>_xll.qlFixedRateBond(B45,C45,D45,E45,F45,G45,H45,I45,J45,K45,L45,M45,N45,O45,P45)</f>
        <v>obj_000c9#0008</v>
      </c>
      <c r="C45" s="29" t="s">
        <v>352</v>
      </c>
      <c r="D45" s="29" t="str">
        <f>VLOOKUP(C45,ScheduleObj!$Q$2:$Z$109,5,FALSE)</f>
        <v>USD</v>
      </c>
      <c r="E45" s="29">
        <v>2</v>
      </c>
      <c r="F45" s="49">
        <f>VLOOKUP(C45,ScheduleObj!$Q$2:$Z$109,6,FALSE)</f>
        <v>2000000</v>
      </c>
      <c r="G45" s="31" t="str">
        <f>VLOOKUP(C45,ScheduleObj!$Q$2:$Z$109,10,FALSE)</f>
        <v>XS2201843740Sch#0008</v>
      </c>
      <c r="H45" s="97">
        <f>VLOOKUP(C45,ScheduleObj!$Q$2:$Z$109,8,FALSE)/100</f>
        <v>2.1250000000000002E-2</v>
      </c>
      <c r="I45" s="29" t="str">
        <f>VLOOKUP(D45,Reference!$C$2:$E$6,3,FALSE)</f>
        <v>30/360</v>
      </c>
      <c r="J45" s="29" t="s">
        <v>91</v>
      </c>
      <c r="K45" s="29">
        <v>100</v>
      </c>
      <c r="L45" s="30">
        <f>VLOOKUP(C45,ScheduleObj!$Q$2:$Z$109,3,FALSE)</f>
        <v>44032</v>
      </c>
      <c r="M45" s="29" t="str">
        <f>VLOOKUP(D45,Reference!$C$2:$E$6,2,FALSE)</f>
        <v>UnitedStates::Settlement</v>
      </c>
      <c r="N45" s="29" t="b">
        <v>0</v>
      </c>
      <c r="O45" s="39">
        <f>'ql-USCorp'!$B$5</f>
        <v>1</v>
      </c>
      <c r="P45" s="29" t="b">
        <v>1</v>
      </c>
    </row>
    <row r="46" spans="1:16" x14ac:dyDescent="0.25">
      <c r="A46" s="31" t="str">
        <f>_xll.qlFixedRateBond(B46,C46,D46,E46,F46,G46,H46,I46,J46,K46,L46,M46,N46,O46,P46)</f>
        <v>obj_000e4#0008</v>
      </c>
      <c r="C46" s="29" t="s">
        <v>317</v>
      </c>
      <c r="D46" s="29" t="str">
        <f>VLOOKUP(C46,ScheduleObj!$Q$2:$Z$109,5,FALSE)</f>
        <v>USD</v>
      </c>
      <c r="E46" s="29">
        <v>2</v>
      </c>
      <c r="F46" s="49">
        <f>VLOOKUP(C46,ScheduleObj!$Q$2:$Z$109,6,FALSE)</f>
        <v>500000</v>
      </c>
      <c r="G46" s="31" t="str">
        <f>VLOOKUP(C46,ScheduleObj!$Q$2:$Z$109,10,FALSE)</f>
        <v>XS2208843503Sch#0008</v>
      </c>
      <c r="H46" s="97">
        <f>VLOOKUP(C46,ScheduleObj!$Q$2:$Z$109,8,FALSE)/100</f>
        <v>0.01</v>
      </c>
      <c r="I46" s="29" t="str">
        <f>VLOOKUP(D46,Reference!$C$2:$E$6,3,FALSE)</f>
        <v>30/360</v>
      </c>
      <c r="J46" s="29" t="s">
        <v>91</v>
      </c>
      <c r="K46" s="29">
        <v>100</v>
      </c>
      <c r="L46" s="30">
        <f>VLOOKUP(C46,ScheduleObj!$Q$2:$Z$109,3,FALSE)</f>
        <v>44047</v>
      </c>
      <c r="M46" s="29" t="str">
        <f>VLOOKUP(D46,Reference!$C$2:$E$6,2,FALSE)</f>
        <v>UnitedStates::Settlement</v>
      </c>
      <c r="N46" s="29" t="b">
        <v>0</v>
      </c>
      <c r="O46" s="39">
        <f>'ql-USCorp'!$B$5</f>
        <v>1</v>
      </c>
      <c r="P46" s="29" t="b">
        <v>1</v>
      </c>
    </row>
    <row r="47" spans="1:16" x14ac:dyDescent="0.25">
      <c r="A47" s="31" t="str">
        <f>_xll.qlFixedRateBond(B47,C47,D47,E47,F47,G47,H47,I47,J47,K47,L47,M47,N47,O47,P47)</f>
        <v>obj_000de#0008</v>
      </c>
      <c r="C47" s="29" t="s">
        <v>353</v>
      </c>
      <c r="D47" s="29" t="str">
        <f>VLOOKUP(C47,ScheduleObj!$Q$2:$Z$109,5,FALSE)</f>
        <v>USD</v>
      </c>
      <c r="E47" s="29">
        <v>2</v>
      </c>
      <c r="F47" s="49">
        <f>VLOOKUP(C47,ScheduleObj!$Q$2:$Z$109,6,FALSE)</f>
        <v>10000000</v>
      </c>
      <c r="G47" s="31" t="str">
        <f>VLOOKUP(C47,ScheduleObj!$Q$2:$Z$109,10,FALSE)</f>
        <v>XS2213668085Sch#0008</v>
      </c>
      <c r="H47" s="97">
        <f>VLOOKUP(C47,ScheduleObj!$Q$2:$Z$109,8,FALSE)/100</f>
        <v>0.01</v>
      </c>
      <c r="I47" s="29" t="str">
        <f>VLOOKUP(D47,Reference!$C$2:$E$6,3,FALSE)</f>
        <v>30/360</v>
      </c>
      <c r="J47" s="29" t="s">
        <v>91</v>
      </c>
      <c r="K47" s="29">
        <v>100</v>
      </c>
      <c r="L47" s="30">
        <f>VLOOKUP(C47,ScheduleObj!$Q$2:$Z$109,3,FALSE)</f>
        <v>44062</v>
      </c>
      <c r="M47" s="29" t="str">
        <f>VLOOKUP(D47,Reference!$C$2:$E$6,2,FALSE)</f>
        <v>UnitedStates::Settlement</v>
      </c>
      <c r="N47" s="29" t="b">
        <v>0</v>
      </c>
      <c r="O47" s="39">
        <f>'ql-USCorp'!$B$5</f>
        <v>1</v>
      </c>
      <c r="P47" s="29" t="b">
        <v>1</v>
      </c>
    </row>
    <row r="48" spans="1:16" x14ac:dyDescent="0.25">
      <c r="A48" s="31" t="str">
        <f>_xll.qlFixedRateBond(B48,C48,D48,E48,F48,G48,H48,I48,J48,K48,L48,M48,N48,O48,P48)</f>
        <v>obj_000dd#0008</v>
      </c>
      <c r="C48" s="29" t="s">
        <v>354</v>
      </c>
      <c r="D48" s="29" t="str">
        <f>VLOOKUP(C48,ScheduleObj!$Q$2:$Z$109,5,FALSE)</f>
        <v>USD</v>
      </c>
      <c r="E48" s="29">
        <v>2</v>
      </c>
      <c r="F48" s="49">
        <f>VLOOKUP(C48,ScheduleObj!$Q$2:$Z$109,6,FALSE)</f>
        <v>2000000</v>
      </c>
      <c r="G48" s="31" t="str">
        <f>VLOOKUP(C48,ScheduleObj!$Q$2:$Z$109,10,FALSE)</f>
        <v>XS2305450657Sch#0008</v>
      </c>
      <c r="H48" s="97">
        <f>VLOOKUP(C48,ScheduleObj!$Q$2:$Z$109,8,FALSE)/100</f>
        <v>1.6250000000000001E-2</v>
      </c>
      <c r="I48" s="29" t="str">
        <f>VLOOKUP(D48,Reference!$C$2:$E$6,3,FALSE)</f>
        <v>30/360</v>
      </c>
      <c r="J48" s="29" t="s">
        <v>91</v>
      </c>
      <c r="K48" s="29">
        <v>100</v>
      </c>
      <c r="L48" s="30">
        <f>VLOOKUP(C48,ScheduleObj!$Q$2:$Z$109,3,FALSE)</f>
        <v>44257</v>
      </c>
      <c r="M48" s="29" t="str">
        <f>VLOOKUP(D48,Reference!$C$2:$E$6,2,FALSE)</f>
        <v>UnitedStates::Settlement</v>
      </c>
      <c r="N48" s="29" t="b">
        <v>0</v>
      </c>
      <c r="O48" s="39">
        <f>'ql-USCorp'!$B$5</f>
        <v>1</v>
      </c>
      <c r="P48" s="29" t="b">
        <v>1</v>
      </c>
    </row>
    <row r="49" spans="1:16" x14ac:dyDescent="0.25">
      <c r="A49" s="31" t="str">
        <f>_xll.qlFixedRateBond(B49,C49,D49,E49,F49,G49,H49,I49,J49,K49,L49,M49,N49,O49,P49)</f>
        <v>obj_000c3#0008</v>
      </c>
      <c r="C49" s="29" t="s">
        <v>355</v>
      </c>
      <c r="D49" s="29" t="str">
        <f>VLOOKUP(C49,ScheduleObj!$Q$2:$Z$109,5,FALSE)</f>
        <v>USD</v>
      </c>
      <c r="E49" s="29">
        <v>2</v>
      </c>
      <c r="F49" s="49">
        <f>VLOOKUP(C49,ScheduleObj!$Q$2:$Z$109,6,FALSE)</f>
        <v>2000000</v>
      </c>
      <c r="G49" s="31" t="str">
        <f>VLOOKUP(C49,ScheduleObj!$Q$2:$Z$109,10,FALSE)</f>
        <v>XS2334572562Sch#0008</v>
      </c>
      <c r="H49" s="97">
        <f>VLOOKUP(C49,ScheduleObj!$Q$2:$Z$109,8,FALSE)/100</f>
        <v>1.2500000000000001E-2</v>
      </c>
      <c r="I49" s="29" t="str">
        <f>VLOOKUP(D49,Reference!$C$2:$E$6,3,FALSE)</f>
        <v>30/360</v>
      </c>
      <c r="J49" s="29" t="s">
        <v>91</v>
      </c>
      <c r="K49" s="29">
        <v>100</v>
      </c>
      <c r="L49" s="30">
        <f>VLOOKUP(C49,ScheduleObj!$Q$2:$Z$109,3,FALSE)</f>
        <v>44314</v>
      </c>
      <c r="M49" s="29" t="str">
        <f>VLOOKUP(D49,Reference!$C$2:$E$6,2,FALSE)</f>
        <v>UnitedStates::Settlement</v>
      </c>
      <c r="N49" s="29" t="b">
        <v>0</v>
      </c>
      <c r="O49" s="39">
        <f>'ql-USCorp'!$B$5</f>
        <v>1</v>
      </c>
      <c r="P49" s="29" t="b">
        <v>1</v>
      </c>
    </row>
    <row r="50" spans="1:16" x14ac:dyDescent="0.25">
      <c r="G50" s="31"/>
    </row>
    <row r="51" spans="1:16" x14ac:dyDescent="0.25">
      <c r="G51" s="31"/>
    </row>
    <row r="52" spans="1:16" x14ac:dyDescent="0.25">
      <c r="G52" s="31"/>
    </row>
    <row r="53" spans="1:16" x14ac:dyDescent="0.25">
      <c r="G53" s="31"/>
    </row>
    <row r="54" spans="1:16" x14ac:dyDescent="0.25">
      <c r="G54" s="31"/>
    </row>
    <row r="55" spans="1:16" x14ac:dyDescent="0.25">
      <c r="G55" s="31"/>
    </row>
    <row r="56" spans="1:16" x14ac:dyDescent="0.25">
      <c r="G56" s="31"/>
    </row>
    <row r="57" spans="1:16" x14ac:dyDescent="0.25">
      <c r="G57" s="31"/>
    </row>
    <row r="58" spans="1:16" x14ac:dyDescent="0.25">
      <c r="G58" s="31"/>
    </row>
    <row r="59" spans="1:16" x14ac:dyDescent="0.25">
      <c r="G59" s="31"/>
    </row>
    <row r="60" spans="1:16" x14ac:dyDescent="0.25">
      <c r="G60" s="31"/>
    </row>
    <row r="61" spans="1:16" x14ac:dyDescent="0.25">
      <c r="G61" s="31"/>
    </row>
    <row r="62" spans="1:16" x14ac:dyDescent="0.25">
      <c r="G62" s="31"/>
    </row>
    <row r="63" spans="1:16" x14ac:dyDescent="0.25">
      <c r="G63" s="31"/>
    </row>
    <row r="64" spans="1:16" x14ac:dyDescent="0.25">
      <c r="G64" s="31"/>
    </row>
    <row r="65" spans="7:7" x14ac:dyDescent="0.25">
      <c r="G65" s="31"/>
    </row>
    <row r="66" spans="7:7" x14ac:dyDescent="0.25">
      <c r="G66" s="31"/>
    </row>
    <row r="67" spans="7:7" x14ac:dyDescent="0.25">
      <c r="G67" s="31"/>
    </row>
    <row r="68" spans="7:7" x14ac:dyDescent="0.25">
      <c r="G68" s="31"/>
    </row>
    <row r="69" spans="7:7" x14ac:dyDescent="0.25">
      <c r="G69" s="31"/>
    </row>
    <row r="70" spans="7:7" x14ac:dyDescent="0.25">
      <c r="G70" s="31"/>
    </row>
    <row r="71" spans="7:7" x14ac:dyDescent="0.25">
      <c r="G71" s="31"/>
    </row>
    <row r="72" spans="7:7" x14ac:dyDescent="0.25">
      <c r="G72" s="31"/>
    </row>
    <row r="73" spans="7:7" x14ac:dyDescent="0.25">
      <c r="G73" s="31"/>
    </row>
    <row r="74" spans="7:7" x14ac:dyDescent="0.25">
      <c r="G74" s="31"/>
    </row>
    <row r="75" spans="7:7" x14ac:dyDescent="0.25">
      <c r="G75" s="31"/>
    </row>
    <row r="76" spans="7:7" x14ac:dyDescent="0.25">
      <c r="G76" s="31"/>
    </row>
    <row r="77" spans="7:7" x14ac:dyDescent="0.25">
      <c r="G77" s="31"/>
    </row>
    <row r="78" spans="7:7" x14ac:dyDescent="0.25">
      <c r="G78" s="31"/>
    </row>
    <row r="79" spans="7:7" x14ac:dyDescent="0.25">
      <c r="G79" s="31"/>
    </row>
    <row r="80" spans="7:7" x14ac:dyDescent="0.25">
      <c r="G80" s="31"/>
    </row>
    <row r="81" spans="7:7" x14ac:dyDescent="0.25">
      <c r="G81" s="31"/>
    </row>
    <row r="82" spans="7:7" x14ac:dyDescent="0.25">
      <c r="G82" s="31"/>
    </row>
    <row r="83" spans="7:7" x14ac:dyDescent="0.25">
      <c r="G83" s="31"/>
    </row>
    <row r="84" spans="7:7" x14ac:dyDescent="0.25">
      <c r="G84" s="31"/>
    </row>
    <row r="85" spans="7:7" x14ac:dyDescent="0.25">
      <c r="G85" s="31"/>
    </row>
    <row r="86" spans="7:7" x14ac:dyDescent="0.25">
      <c r="G86" s="31"/>
    </row>
    <row r="87" spans="7:7" x14ac:dyDescent="0.25">
      <c r="G87" s="31"/>
    </row>
    <row r="88" spans="7:7" x14ac:dyDescent="0.25">
      <c r="G88" s="31"/>
    </row>
    <row r="89" spans="7:7" x14ac:dyDescent="0.25">
      <c r="G89" s="31"/>
    </row>
    <row r="90" spans="7:7" x14ac:dyDescent="0.25">
      <c r="G90" s="31"/>
    </row>
    <row r="91" spans="7:7" x14ac:dyDescent="0.25">
      <c r="G91" s="31"/>
    </row>
    <row r="92" spans="7:7" x14ac:dyDescent="0.25">
      <c r="G92" s="31"/>
    </row>
    <row r="93" spans="7:7" x14ac:dyDescent="0.25">
      <c r="G93" s="31"/>
    </row>
    <row r="94" spans="7:7" x14ac:dyDescent="0.25">
      <c r="G94" s="31"/>
    </row>
    <row r="95" spans="7:7" x14ac:dyDescent="0.25">
      <c r="G95" s="31"/>
    </row>
    <row r="96" spans="7:7" x14ac:dyDescent="0.25">
      <c r="G96" s="31"/>
    </row>
    <row r="97" spans="7:7" x14ac:dyDescent="0.25">
      <c r="G97" s="31"/>
    </row>
    <row r="98" spans="7:7" x14ac:dyDescent="0.25">
      <c r="G98" s="31"/>
    </row>
    <row r="99" spans="7:7" x14ac:dyDescent="0.25">
      <c r="G99" s="31"/>
    </row>
    <row r="100" spans="7:7" x14ac:dyDescent="0.25">
      <c r="G100" s="31"/>
    </row>
    <row r="101" spans="7:7" x14ac:dyDescent="0.25">
      <c r="G101" s="31"/>
    </row>
    <row r="102" spans="7:7" x14ac:dyDescent="0.25">
      <c r="G102" s="31"/>
    </row>
    <row r="103" spans="7:7" x14ac:dyDescent="0.25">
      <c r="G103" s="31"/>
    </row>
    <row r="104" spans="7:7" x14ac:dyDescent="0.25">
      <c r="G104" s="31"/>
    </row>
    <row r="105" spans="7:7" x14ac:dyDescent="0.25">
      <c r="G105" s="31"/>
    </row>
    <row r="106" spans="7:7" x14ac:dyDescent="0.25">
      <c r="G106" s="31"/>
    </row>
    <row r="107" spans="7:7" x14ac:dyDescent="0.25">
      <c r="G107" s="31"/>
    </row>
    <row r="108" spans="7:7" x14ac:dyDescent="0.25">
      <c r="G108" s="31"/>
    </row>
    <row r="109" spans="7:7" x14ac:dyDescent="0.25">
      <c r="G109" s="31"/>
    </row>
    <row r="110" spans="7:7" x14ac:dyDescent="0.25">
      <c r="G110" s="31"/>
    </row>
    <row r="111" spans="7:7" x14ac:dyDescent="0.25">
      <c r="G111" s="31"/>
    </row>
    <row r="112" spans="7:7" x14ac:dyDescent="0.25">
      <c r="G112" s="31"/>
    </row>
    <row r="113" spans="7:7" x14ac:dyDescent="0.25">
      <c r="G113" s="31"/>
    </row>
    <row r="114" spans="7:7" x14ac:dyDescent="0.25">
      <c r="G114" s="31"/>
    </row>
    <row r="115" spans="7:7" x14ac:dyDescent="0.25">
      <c r="G115" s="31"/>
    </row>
    <row r="116" spans="7:7" x14ac:dyDescent="0.25">
      <c r="G116" s="31"/>
    </row>
    <row r="117" spans="7:7" x14ac:dyDescent="0.25">
      <c r="G117" s="31"/>
    </row>
    <row r="118" spans="7:7" x14ac:dyDescent="0.25">
      <c r="G118" s="31"/>
    </row>
    <row r="119" spans="7:7" x14ac:dyDescent="0.25">
      <c r="G119" s="31"/>
    </row>
    <row r="120" spans="7:7" x14ac:dyDescent="0.25">
      <c r="G120" s="31"/>
    </row>
    <row r="121" spans="7:7" x14ac:dyDescent="0.25">
      <c r="G121" s="31"/>
    </row>
    <row r="122" spans="7:7" x14ac:dyDescent="0.25">
      <c r="G122" s="31"/>
    </row>
    <row r="123" spans="7:7" x14ac:dyDescent="0.25">
      <c r="G123" s="31"/>
    </row>
    <row r="124" spans="7:7" x14ac:dyDescent="0.25">
      <c r="G124" s="31"/>
    </row>
    <row r="125" spans="7:7" x14ac:dyDescent="0.25">
      <c r="G125" s="31"/>
    </row>
    <row r="126" spans="7:7" x14ac:dyDescent="0.25">
      <c r="G126" s="31"/>
    </row>
    <row r="127" spans="7:7" x14ac:dyDescent="0.25">
      <c r="G127" s="31"/>
    </row>
    <row r="128" spans="7:7" x14ac:dyDescent="0.25">
      <c r="G128" s="31"/>
    </row>
    <row r="129" spans="7:7" x14ac:dyDescent="0.25">
      <c r="G129" s="31"/>
    </row>
    <row r="130" spans="7:7" x14ac:dyDescent="0.25">
      <c r="G130" s="31"/>
    </row>
    <row r="131" spans="7:7" x14ac:dyDescent="0.25">
      <c r="G131" s="31"/>
    </row>
    <row r="132" spans="7:7" x14ac:dyDescent="0.25">
      <c r="G132" s="31"/>
    </row>
    <row r="133" spans="7:7" x14ac:dyDescent="0.25">
      <c r="G133" s="31"/>
    </row>
    <row r="134" spans="7:7" x14ac:dyDescent="0.25">
      <c r="G134" s="31"/>
    </row>
    <row r="135" spans="7:7" x14ac:dyDescent="0.25">
      <c r="G135" s="31"/>
    </row>
    <row r="136" spans="7:7" x14ac:dyDescent="0.25">
      <c r="G136" s="31"/>
    </row>
    <row r="137" spans="7:7" x14ac:dyDescent="0.25">
      <c r="G137" s="31"/>
    </row>
    <row r="138" spans="7:7" x14ac:dyDescent="0.25">
      <c r="G138" s="31"/>
    </row>
    <row r="139" spans="7:7" x14ac:dyDescent="0.25">
      <c r="G139" s="31"/>
    </row>
    <row r="140" spans="7:7" x14ac:dyDescent="0.25">
      <c r="G140" s="31"/>
    </row>
    <row r="141" spans="7:7" x14ac:dyDescent="0.25">
      <c r="G141" s="31"/>
    </row>
    <row r="142" spans="7:7" x14ac:dyDescent="0.25">
      <c r="G142" s="31"/>
    </row>
    <row r="143" spans="7:7" x14ac:dyDescent="0.25">
      <c r="G143" s="31"/>
    </row>
    <row r="144" spans="7:7" x14ac:dyDescent="0.25">
      <c r="G144" s="31"/>
    </row>
    <row r="145" spans="7:7" x14ac:dyDescent="0.25">
      <c r="G145" s="31"/>
    </row>
    <row r="146" spans="7:7" x14ac:dyDescent="0.25">
      <c r="G146" s="3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X146"/>
  <sheetViews>
    <sheetView topLeftCell="I1" workbookViewId="0">
      <selection activeCell="T2" sqref="T2"/>
    </sheetView>
  </sheetViews>
  <sheetFormatPr defaultRowHeight="15.75" x14ac:dyDescent="0.25"/>
  <cols>
    <col min="1" max="3" width="15.75" style="29" customWidth="1"/>
    <col min="4" max="4" width="11.625" style="29" customWidth="1"/>
    <col min="5" max="5" width="7" style="29" customWidth="1"/>
    <col min="6" max="6" width="13.5" style="29" customWidth="1"/>
    <col min="7" max="7" width="15.75" style="29" customWidth="1"/>
    <col min="8" max="8" width="11.625" style="29" customWidth="1"/>
    <col min="9" max="9" width="10" style="29" customWidth="1"/>
    <col min="10" max="10" width="15.75" style="29" customWidth="1"/>
    <col min="11" max="11" width="8.625" style="29" customWidth="1"/>
    <col min="12" max="12" width="12.25" style="30" customWidth="1"/>
    <col min="13" max="14" width="15.75" style="29" customWidth="1"/>
    <col min="15" max="15" width="10.5" style="29" customWidth="1"/>
    <col min="16" max="16" width="10.25" style="29" customWidth="1"/>
    <col min="17" max="17" width="9" style="29"/>
    <col min="18" max="18" width="10" style="29" bestFit="1" customWidth="1"/>
    <col min="19" max="27" width="9" style="29"/>
    <col min="28" max="28" width="12.125" style="29" customWidth="1"/>
    <col min="29" max="30" width="9" style="29"/>
    <col min="31" max="31" width="13.5" style="29" customWidth="1"/>
    <col min="32" max="16384" width="9" style="29"/>
  </cols>
  <sheetData>
    <row r="1" spans="1:24" x14ac:dyDescent="0.25">
      <c r="A1" s="35" t="s">
        <v>102</v>
      </c>
      <c r="B1" s="73" t="s">
        <v>104</v>
      </c>
      <c r="C1" s="73" t="s">
        <v>460</v>
      </c>
      <c r="D1" s="73" t="s">
        <v>258</v>
      </c>
      <c r="E1" s="73" t="s">
        <v>461</v>
      </c>
      <c r="F1" s="73" t="s">
        <v>462</v>
      </c>
      <c r="G1" s="73" t="s">
        <v>463</v>
      </c>
      <c r="H1" s="73" t="s">
        <v>464</v>
      </c>
      <c r="I1" s="73" t="s">
        <v>465</v>
      </c>
      <c r="J1" s="73" t="s">
        <v>466</v>
      </c>
      <c r="K1" s="73" t="s">
        <v>39</v>
      </c>
      <c r="L1" s="22" t="s">
        <v>467</v>
      </c>
      <c r="M1" s="73" t="s">
        <v>468</v>
      </c>
      <c r="N1" s="73" t="s">
        <v>469</v>
      </c>
      <c r="O1" s="73" t="s">
        <v>470</v>
      </c>
      <c r="P1" s="73" t="s">
        <v>471</v>
      </c>
      <c r="Q1" s="104" t="s">
        <v>472</v>
      </c>
      <c r="R1" s="104" t="s">
        <v>473</v>
      </c>
      <c r="S1" s="104" t="s">
        <v>45</v>
      </c>
      <c r="T1" s="104" t="s">
        <v>46</v>
      </c>
      <c r="U1" s="104" t="s">
        <v>47</v>
      </c>
    </row>
    <row r="2" spans="1:24" x14ac:dyDescent="0.25">
      <c r="A2" s="31" t="str">
        <f>_xll.qlFloatingRateBond(B2,C2,D2,E2,F2,G2,H2,I2,J2,K2,L2,M2,N2,O2,P2,Q2,R2,S2,T2,U2)</f>
        <v>obj_001bd#0012</v>
      </c>
      <c r="C2" s="29" t="s">
        <v>263</v>
      </c>
      <c r="D2" s="29" t="s">
        <v>458</v>
      </c>
      <c r="E2" s="29">
        <v>2</v>
      </c>
      <c r="F2" s="29" t="s">
        <v>91</v>
      </c>
      <c r="G2" s="107">
        <f>VLOOKUP(C2,ScheduleObj!$Q$2:$Z$109,6,FALSE)</f>
        <v>15000000</v>
      </c>
      <c r="H2" s="31" t="str">
        <f>VLOOKUP(C2,ScheduleObj!$Q$2:$Z$109,10,FALSE)</f>
        <v>AU3FN0050142Sch#0008</v>
      </c>
      <c r="I2" s="29">
        <v>2</v>
      </c>
      <c r="J2" s="29" t="b">
        <v>0</v>
      </c>
      <c r="K2" s="29" t="str">
        <f>VLOOKUP(D2,Reference!$C$2:$E$6,3,FALSE)</f>
        <v>30/360</v>
      </c>
      <c r="N2" s="31" t="str">
        <f>'ql-US-ZC'!$B$52</f>
        <v>USLIBOR3M#0012</v>
      </c>
      <c r="O2" s="39">
        <f>VLOOKUP(C2,ScheduleObj!$Q$2:$Z$109,9,FALSE)/100</f>
        <v>1.0500000000000001E-2</v>
      </c>
      <c r="Q2" s="29">
        <v>100</v>
      </c>
      <c r="R2" s="30">
        <f>VLOOKUP(C2,ScheduleObj!$Q$2:$Z$109,3,FALSE)</f>
        <v>43719</v>
      </c>
      <c r="S2" s="29" t="b">
        <v>0</v>
      </c>
      <c r="T2" s="39">
        <f>'ql-USCorp'!$B$5</f>
        <v>1</v>
      </c>
      <c r="U2" s="29" t="b">
        <v>1</v>
      </c>
    </row>
    <row r="3" spans="1:24" x14ac:dyDescent="0.25">
      <c r="A3" s="31" t="str">
        <f>_xll.qlFloatingRateBond(B3,C3,D3,E3,F3,G3,H3,I3,J3,K3,L3,M3,N3,O3,P3,Q3,R3,S3,T3,U3)</f>
        <v>obj_00207#0012</v>
      </c>
      <c r="C3" s="29" t="s">
        <v>264</v>
      </c>
      <c r="D3" s="29" t="s">
        <v>458</v>
      </c>
      <c r="E3" s="29">
        <v>2</v>
      </c>
      <c r="F3" s="29" t="s">
        <v>91</v>
      </c>
      <c r="G3" s="107">
        <f>VLOOKUP(C3,ScheduleObj!$Q$2:$Z$109,6,FALSE)</f>
        <v>8000000</v>
      </c>
      <c r="H3" s="31" t="str">
        <f>VLOOKUP(C3,ScheduleObj!$Q$2:$Z$109,10,FALSE)</f>
        <v>AU3FN0052908Sch#0008</v>
      </c>
      <c r="I3" s="29">
        <v>2</v>
      </c>
      <c r="J3" s="29" t="b">
        <v>0</v>
      </c>
      <c r="K3" s="29" t="str">
        <f>VLOOKUP(D3,Reference!$C$2:$E$6,3,FALSE)</f>
        <v>30/360</v>
      </c>
      <c r="N3" s="31" t="str">
        <f>'ql-US-ZC'!$B$52</f>
        <v>USLIBOR3M#0012</v>
      </c>
      <c r="O3" s="39">
        <f>VLOOKUP(C3,ScheduleObj!$Q$2:$Z$109,9,FALSE)/100</f>
        <v>8.3999999999999995E-3</v>
      </c>
      <c r="Q3" s="29">
        <v>100</v>
      </c>
      <c r="R3" s="30">
        <f>VLOOKUP(C3,ScheduleObj!$Q$2:$Z$109,3,FALSE)</f>
        <v>43873</v>
      </c>
      <c r="S3" s="29" t="b">
        <v>0</v>
      </c>
      <c r="T3" s="39">
        <f>'ql-USCorp'!$B$5</f>
        <v>1</v>
      </c>
      <c r="U3" s="29" t="b">
        <v>1</v>
      </c>
      <c r="W3" s="30"/>
      <c r="X3" s="30"/>
    </row>
    <row r="4" spans="1:24" x14ac:dyDescent="0.25">
      <c r="A4" s="31" t="str">
        <f>_xll.qlFloatingRateBond(B4,C4,D4,E4,F4,G4,H4,I4,J4,K4,L4,M4,N4,O4,P4,Q4,R4,S4,T4,U4)</f>
        <v>obj_00205#0012</v>
      </c>
      <c r="C4" s="29" t="s">
        <v>265</v>
      </c>
      <c r="D4" s="29" t="s">
        <v>458</v>
      </c>
      <c r="E4" s="29">
        <v>2</v>
      </c>
      <c r="F4" s="29" t="s">
        <v>91</v>
      </c>
      <c r="G4" s="107">
        <f>VLOOKUP(C4,ScheduleObj!$Q$2:$Z$109,6,FALSE)</f>
        <v>2000000</v>
      </c>
      <c r="H4" s="31" t="str">
        <f>VLOOKUP(C4,ScheduleObj!$Q$2:$Z$109,10,FALSE)</f>
        <v>AU3FN0054151Sch#0008</v>
      </c>
      <c r="I4" s="29">
        <v>2</v>
      </c>
      <c r="J4" s="29" t="b">
        <v>0</v>
      </c>
      <c r="K4" s="29" t="str">
        <f>VLOOKUP(D4,Reference!$C$2:$E$6,3,FALSE)</f>
        <v>30/360</v>
      </c>
      <c r="N4" s="31" t="str">
        <f>'ql-US-ZC'!$B$52</f>
        <v>USLIBOR3M#0012</v>
      </c>
      <c r="O4" s="39">
        <f>VLOOKUP(C4,ScheduleObj!$Q$2:$Z$109,9,FALSE)/100</f>
        <v>1.0500000000000001E-2</v>
      </c>
      <c r="Q4" s="29">
        <v>100</v>
      </c>
      <c r="R4" s="30">
        <f>VLOOKUP(C4,ScheduleObj!$Q$2:$Z$109,3,FALSE)</f>
        <v>43972</v>
      </c>
      <c r="S4" s="29" t="b">
        <v>0</v>
      </c>
      <c r="T4" s="39">
        <f>'ql-USCorp'!$B$5</f>
        <v>1</v>
      </c>
      <c r="U4" s="29" t="b">
        <v>1</v>
      </c>
      <c r="W4" s="30"/>
      <c r="X4" s="30"/>
    </row>
    <row r="5" spans="1:24" x14ac:dyDescent="0.25">
      <c r="A5" s="31" t="str">
        <f>_xll.qlFloatingRateBond(B5,C5,D5,E5,F5,G5,H5,I5,J5,K5,L5,M5,N5,O5,P5,Q5,R5,S5,T5,U5)</f>
        <v>obj_00211#0012</v>
      </c>
      <c r="C5" s="29" t="s">
        <v>266</v>
      </c>
      <c r="D5" s="29" t="s">
        <v>458</v>
      </c>
      <c r="E5" s="29">
        <v>2</v>
      </c>
      <c r="F5" s="29" t="s">
        <v>91</v>
      </c>
      <c r="G5" s="107">
        <f>VLOOKUP(C5,ScheduleObj!$Q$2:$Z$109,6,FALSE)</f>
        <v>15000000</v>
      </c>
      <c r="H5" s="31" t="str">
        <f>VLOOKUP(C5,ScheduleObj!$Q$2:$Z$109,10,FALSE)</f>
        <v>AU3FN0054425Sch#0008</v>
      </c>
      <c r="I5" s="29">
        <v>2</v>
      </c>
      <c r="J5" s="29" t="b">
        <v>0</v>
      </c>
      <c r="K5" s="29" t="str">
        <f>VLOOKUP(D5,Reference!$C$2:$E$6,3,FALSE)</f>
        <v>30/360</v>
      </c>
      <c r="N5" s="31" t="str">
        <f>'ql-US-ZC'!$B$52</f>
        <v>USLIBOR3M#0012</v>
      </c>
      <c r="O5" s="39">
        <f>VLOOKUP(C5,ScheduleObj!$Q$2:$Z$109,9,FALSE)/100</f>
        <v>1.15E-2</v>
      </c>
      <c r="Q5" s="29">
        <v>100</v>
      </c>
      <c r="R5" s="30">
        <f>VLOOKUP(C5,ScheduleObj!$Q$2:$Z$109,3,FALSE)</f>
        <v>43987</v>
      </c>
      <c r="S5" s="29" t="b">
        <v>0</v>
      </c>
      <c r="T5" s="39">
        <f>'ql-USCorp'!$B$5</f>
        <v>1</v>
      </c>
      <c r="U5" s="29" t="b">
        <v>1</v>
      </c>
      <c r="W5" s="30"/>
      <c r="X5" s="30"/>
    </row>
    <row r="6" spans="1:24" x14ac:dyDescent="0.25">
      <c r="A6" s="31" t="str">
        <f>_xll.qlFloatingRateBond(B6,C6,D6,E6,F6,G6,H6,I6,J6,K6,L6,M6,N6,O6,P6,Q6,R6,S6,T6,U6)</f>
        <v>obj_0020e#0012</v>
      </c>
      <c r="C6" s="29" t="s">
        <v>267</v>
      </c>
      <c r="D6" s="29" t="s">
        <v>458</v>
      </c>
      <c r="E6" s="29">
        <v>2</v>
      </c>
      <c r="F6" s="29" t="s">
        <v>91</v>
      </c>
      <c r="G6" s="107">
        <f>VLOOKUP(C6,ScheduleObj!$Q$2:$Z$109,6,FALSE)</f>
        <v>4000000</v>
      </c>
      <c r="H6" s="31" t="str">
        <f>VLOOKUP(C6,ScheduleObj!$Q$2:$Z$109,10,FALSE)</f>
        <v>AU3FN0055216Sch#0008</v>
      </c>
      <c r="I6" s="29">
        <v>2</v>
      </c>
      <c r="J6" s="29" t="b">
        <v>0</v>
      </c>
      <c r="K6" s="29" t="str">
        <f>VLOOKUP(D6,Reference!$C$2:$E$6,3,FALSE)</f>
        <v>30/360</v>
      </c>
      <c r="N6" s="31" t="str">
        <f>'ql-US-ZC'!$B$52</f>
        <v>USLIBOR3M#0012</v>
      </c>
      <c r="O6" s="39">
        <f>VLOOKUP(C6,ScheduleObj!$Q$2:$Z$109,9,FALSE)/100</f>
        <v>9.300000000000001E-3</v>
      </c>
      <c r="Q6" s="29">
        <v>100</v>
      </c>
      <c r="R6" s="30">
        <f>VLOOKUP(C6,ScheduleObj!$Q$2:$Z$109,3,FALSE)</f>
        <v>44027</v>
      </c>
      <c r="S6" s="29" t="b">
        <v>0</v>
      </c>
      <c r="T6" s="39">
        <f>'ql-USCorp'!$B$5</f>
        <v>1</v>
      </c>
      <c r="U6" s="29" t="b">
        <v>1</v>
      </c>
      <c r="W6" s="30"/>
      <c r="X6" s="30"/>
    </row>
    <row r="7" spans="1:24" x14ac:dyDescent="0.25">
      <c r="A7" s="31" t="str">
        <f>_xll.qlFloatingRateBond(B7,C7,D7,E7,F7,G7,H7,I7,J7,K7,L7,M7,N7,O7,P7,Q7,R7,S7,T7,U7)</f>
        <v>obj_00206#0012</v>
      </c>
      <c r="C7" s="29" t="s">
        <v>268</v>
      </c>
      <c r="D7" s="29" t="s">
        <v>458</v>
      </c>
      <c r="E7" s="29">
        <v>2</v>
      </c>
      <c r="F7" s="29" t="s">
        <v>91</v>
      </c>
      <c r="G7" s="107">
        <f>VLOOKUP(C7,ScheduleObj!$Q$2:$Z$109,6,FALSE)</f>
        <v>4500000</v>
      </c>
      <c r="H7" s="31" t="str">
        <f>VLOOKUP(C7,ScheduleObj!$Q$2:$Z$109,10,FALSE)</f>
        <v>AU3FN0057121Sch#0008</v>
      </c>
      <c r="I7" s="29">
        <v>2</v>
      </c>
      <c r="J7" s="29" t="b">
        <v>0</v>
      </c>
      <c r="K7" s="29" t="str">
        <f>VLOOKUP(D7,Reference!$C$2:$E$6,3,FALSE)</f>
        <v>30/360</v>
      </c>
      <c r="N7" s="31" t="str">
        <f>'ql-US-ZC'!$B$52</f>
        <v>USLIBOR3M#0012</v>
      </c>
      <c r="O7" s="39">
        <f>VLOOKUP(C7,ScheduleObj!$Q$2:$Z$109,9,FALSE)/100</f>
        <v>7.1999999999999998E-3</v>
      </c>
      <c r="Q7" s="29">
        <v>100</v>
      </c>
      <c r="R7" s="30">
        <f>VLOOKUP(C7,ScheduleObj!$Q$2:$Z$109,3,FALSE)</f>
        <v>44127</v>
      </c>
      <c r="S7" s="29" t="b">
        <v>0</v>
      </c>
      <c r="T7" s="39">
        <f>'ql-USCorp'!$B$5</f>
        <v>1</v>
      </c>
      <c r="U7" s="29" t="b">
        <v>1</v>
      </c>
      <c r="W7" s="30"/>
      <c r="X7" s="30"/>
    </row>
    <row r="8" spans="1:24" x14ac:dyDescent="0.25">
      <c r="A8" s="31" t="str">
        <f>_xll.qlFloatingRateBond(B8,C8,D8,E8,F8,G8,H8,I8,J8,K8,L8,M8,N8,O8,P8,Q8,R8,S8,T8,U8)</f>
        <v>obj_00203#0012</v>
      </c>
      <c r="C8" s="29" t="s">
        <v>263</v>
      </c>
      <c r="D8" s="29" t="s">
        <v>458</v>
      </c>
      <c r="E8" s="29">
        <v>2</v>
      </c>
      <c r="F8" s="29" t="s">
        <v>91</v>
      </c>
      <c r="G8" s="107">
        <f>VLOOKUP(C8,ScheduleObj!$Q$2:$Z$109,6,FALSE)</f>
        <v>15000000</v>
      </c>
      <c r="H8" s="31" t="str">
        <f>VLOOKUP(C8,ScheduleObj!$Q$2:$Z$109,10,FALSE)</f>
        <v>AU3FN0050142Sch#0008</v>
      </c>
      <c r="I8" s="29">
        <v>2</v>
      </c>
      <c r="J8" s="29" t="b">
        <v>0</v>
      </c>
      <c r="K8" s="29" t="str">
        <f>VLOOKUP(D8,Reference!$C$2:$E$6,3,FALSE)</f>
        <v>30/360</v>
      </c>
      <c r="N8" s="31" t="str">
        <f>'ql-US-ZC'!$B$52</f>
        <v>USLIBOR3M#0012</v>
      </c>
      <c r="O8" s="39">
        <f>VLOOKUP(C8,ScheduleObj!$Q$2:$Z$109,9,FALSE)/100</f>
        <v>1.0500000000000001E-2</v>
      </c>
      <c r="Q8" s="29">
        <v>100</v>
      </c>
      <c r="R8" s="30">
        <f>VLOOKUP(C8,ScheduleObj!$Q$2:$Z$109,3,FALSE)</f>
        <v>43719</v>
      </c>
      <c r="S8" s="29" t="b">
        <v>0</v>
      </c>
      <c r="T8" s="39">
        <f>'ql-USCorp'!$B$5</f>
        <v>1</v>
      </c>
      <c r="U8" s="29" t="b">
        <v>1</v>
      </c>
    </row>
    <row r="9" spans="1:24" x14ac:dyDescent="0.25">
      <c r="A9" s="31" t="str">
        <f>_xll.qlFloatingRateBond(B9,C9,D9,E9,F9,G9,H9,I9,J9,K9,L9,M9,N9,O9,P9,Q9,R9,S9,T9,U9)</f>
        <v>obj_00204#0012</v>
      </c>
      <c r="C9" s="29" t="s">
        <v>264</v>
      </c>
      <c r="D9" s="29" t="s">
        <v>458</v>
      </c>
      <c r="E9" s="29">
        <v>2</v>
      </c>
      <c r="F9" s="29" t="s">
        <v>91</v>
      </c>
      <c r="G9" s="107">
        <f>VLOOKUP(C9,ScheduleObj!$Q$2:$Z$109,6,FALSE)</f>
        <v>8000000</v>
      </c>
      <c r="H9" s="31" t="str">
        <f>VLOOKUP(C9,ScheduleObj!$Q$2:$Z$109,10,FALSE)</f>
        <v>AU3FN0052908Sch#0008</v>
      </c>
      <c r="I9" s="29">
        <v>2</v>
      </c>
      <c r="J9" s="29" t="b">
        <v>0</v>
      </c>
      <c r="K9" s="29" t="str">
        <f>VLOOKUP(D9,Reference!$C$2:$E$6,3,FALSE)</f>
        <v>30/360</v>
      </c>
      <c r="N9" s="31" t="str">
        <f>'ql-US-ZC'!$B$52</f>
        <v>USLIBOR3M#0012</v>
      </c>
      <c r="O9" s="39">
        <f>VLOOKUP(C9,ScheduleObj!$Q$2:$Z$109,9,FALSE)/100</f>
        <v>8.3999999999999995E-3</v>
      </c>
      <c r="Q9" s="29">
        <v>100</v>
      </c>
      <c r="R9" s="30">
        <f>VLOOKUP(C9,ScheduleObj!$Q$2:$Z$109,3,FALSE)</f>
        <v>43873</v>
      </c>
      <c r="S9" s="29" t="b">
        <v>0</v>
      </c>
      <c r="T9" s="39">
        <f>'ql-USCorp'!$B$5</f>
        <v>1</v>
      </c>
      <c r="U9" s="29" t="b">
        <v>1</v>
      </c>
    </row>
    <row r="10" spans="1:24" x14ac:dyDescent="0.25">
      <c r="A10" s="31" t="str">
        <f>_xll.qlFloatingRateBond(B10,C10,D10,E10,F10,G10,H10,I10,J10,K10,L10,M10,N10,O10,P10,Q10,R10,S10,T10,U10)</f>
        <v>obj_00208#0012</v>
      </c>
      <c r="C10" s="29" t="s">
        <v>271</v>
      </c>
      <c r="D10" s="29" t="s">
        <v>458</v>
      </c>
      <c r="E10" s="29">
        <v>2</v>
      </c>
      <c r="F10" s="29" t="s">
        <v>91</v>
      </c>
      <c r="G10" s="107">
        <f>VLOOKUP(C10,ScheduleObj!$Q$2:$Z$109,6,FALSE)</f>
        <v>15950000</v>
      </c>
      <c r="H10" s="31" t="str">
        <f>VLOOKUP(C10,ScheduleObj!$Q$2:$Z$109,10,FALSE)</f>
        <v>AU3FN0053096Sch#0008</v>
      </c>
      <c r="I10" s="29">
        <v>2</v>
      </c>
      <c r="J10" s="29" t="b">
        <v>0</v>
      </c>
      <c r="K10" s="29" t="str">
        <f>VLOOKUP(D10,Reference!$C$2:$E$6,3,FALSE)</f>
        <v>30/360</v>
      </c>
      <c r="N10" s="31" t="str">
        <f>'ql-US-ZC'!$B$52</f>
        <v>USLIBOR3M#0012</v>
      </c>
      <c r="O10" s="39">
        <f>VLOOKUP(C10,ScheduleObj!$Q$2:$Z$109,9,FALSE)/100</f>
        <v>6.6E-3</v>
      </c>
      <c r="Q10" s="29">
        <v>100</v>
      </c>
      <c r="R10" s="30">
        <f>VLOOKUP(C10,ScheduleObj!$Q$2:$Z$109,3,FALSE)</f>
        <v>43879</v>
      </c>
      <c r="S10" s="29" t="b">
        <v>0</v>
      </c>
      <c r="T10" s="39">
        <f>'ql-USCorp'!$B$5</f>
        <v>1</v>
      </c>
      <c r="U10" s="29" t="b">
        <v>1</v>
      </c>
    </row>
    <row r="11" spans="1:24" x14ac:dyDescent="0.25">
      <c r="A11" s="31" t="str">
        <f>_xll.qlFloatingRateBond(B11,C11,D11,E11,F11,G11,H11,I11,J11,K11,L11,M11,N11,O11,P11,Q11,R11,S11,T11,U11)</f>
        <v>obj_0020a#0012</v>
      </c>
      <c r="C11" s="29" t="s">
        <v>265</v>
      </c>
      <c r="D11" s="29" t="s">
        <v>458</v>
      </c>
      <c r="E11" s="29">
        <v>2</v>
      </c>
      <c r="F11" s="29" t="s">
        <v>91</v>
      </c>
      <c r="G11" s="107">
        <f>VLOOKUP(C11,ScheduleObj!$Q$2:$Z$109,6,FALSE)</f>
        <v>2000000</v>
      </c>
      <c r="H11" s="31" t="str">
        <f>VLOOKUP(C11,ScheduleObj!$Q$2:$Z$109,10,FALSE)</f>
        <v>AU3FN0054151Sch#0008</v>
      </c>
      <c r="I11" s="29">
        <v>2</v>
      </c>
      <c r="J11" s="29" t="b">
        <v>0</v>
      </c>
      <c r="K11" s="29" t="str">
        <f>VLOOKUP(D11,Reference!$C$2:$E$6,3,FALSE)</f>
        <v>30/360</v>
      </c>
      <c r="N11" s="31" t="str">
        <f>'ql-US-ZC'!$B$52</f>
        <v>USLIBOR3M#0012</v>
      </c>
      <c r="O11" s="39">
        <f>VLOOKUP(C11,ScheduleObj!$Q$2:$Z$109,9,FALSE)/100</f>
        <v>1.0500000000000001E-2</v>
      </c>
      <c r="Q11" s="29">
        <v>100</v>
      </c>
      <c r="R11" s="30">
        <f>VLOOKUP(C11,ScheduleObj!$Q$2:$Z$109,3,FALSE)</f>
        <v>43972</v>
      </c>
      <c r="S11" s="29" t="b">
        <v>0</v>
      </c>
      <c r="T11" s="39">
        <f>'ql-USCorp'!$B$5</f>
        <v>1</v>
      </c>
      <c r="U11" s="29" t="b">
        <v>1</v>
      </c>
    </row>
    <row r="12" spans="1:24" x14ac:dyDescent="0.25">
      <c r="A12" s="31" t="str">
        <f>_xll.qlFloatingRateBond(B12,C12,D12,E12,F12,G12,H12,I12,J12,K12,L12,M12,N12,O12,P12,Q12,R12,S12,T12,U12)</f>
        <v>obj_00209#0012</v>
      </c>
      <c r="C12" s="29" t="s">
        <v>272</v>
      </c>
      <c r="D12" s="29" t="s">
        <v>458</v>
      </c>
      <c r="E12" s="29">
        <v>2</v>
      </c>
      <c r="F12" s="29" t="s">
        <v>91</v>
      </c>
      <c r="G12" s="107">
        <f>VLOOKUP(C12,ScheduleObj!$Q$2:$Z$109,6,FALSE)</f>
        <v>4000000</v>
      </c>
      <c r="H12" s="31" t="str">
        <f>VLOOKUP(C12,ScheduleObj!$Q$2:$Z$109,10,FALSE)</f>
        <v>AU3FN0054177Sch#0008</v>
      </c>
      <c r="I12" s="29">
        <v>2</v>
      </c>
      <c r="J12" s="29" t="b">
        <v>0</v>
      </c>
      <c r="K12" s="29" t="str">
        <f>VLOOKUP(D12,Reference!$C$2:$E$6,3,FALSE)</f>
        <v>30/360</v>
      </c>
      <c r="N12" s="31" t="str">
        <f>'ql-US-ZC'!$B$52</f>
        <v>USLIBOR3M#0012</v>
      </c>
      <c r="O12" s="39">
        <f>VLOOKUP(C12,ScheduleObj!$Q$2:$Z$109,9,FALSE)/100</f>
        <v>1.15E-2</v>
      </c>
      <c r="Q12" s="29">
        <v>100</v>
      </c>
      <c r="R12" s="30">
        <f>VLOOKUP(C12,ScheduleObj!$Q$2:$Z$109,3,FALSE)</f>
        <v>43977</v>
      </c>
      <c r="S12" s="29" t="b">
        <v>0</v>
      </c>
      <c r="T12" s="39">
        <f>'ql-USCorp'!$B$5</f>
        <v>1</v>
      </c>
      <c r="U12" s="29" t="b">
        <v>1</v>
      </c>
    </row>
    <row r="13" spans="1:24" x14ac:dyDescent="0.25">
      <c r="A13" s="31" t="str">
        <f>_xll.qlFloatingRateBond(B13,C13,D13,E13,F13,G13,H13,I13,J13,K13,L13,M13,N13,O13,P13,Q13,R13,S13,T13,U13)</f>
        <v>obj_0020b#0012</v>
      </c>
      <c r="C13" s="29" t="s">
        <v>267</v>
      </c>
      <c r="D13" s="29" t="s">
        <v>458</v>
      </c>
      <c r="E13" s="29">
        <v>2</v>
      </c>
      <c r="F13" s="29" t="s">
        <v>91</v>
      </c>
      <c r="G13" s="107">
        <f>VLOOKUP(C13,ScheduleObj!$Q$2:$Z$109,6,FALSE)</f>
        <v>4000000</v>
      </c>
      <c r="H13" s="31" t="str">
        <f>VLOOKUP(C13,ScheduleObj!$Q$2:$Z$109,10,FALSE)</f>
        <v>AU3FN0055216Sch#0008</v>
      </c>
      <c r="I13" s="29">
        <v>2</v>
      </c>
      <c r="J13" s="29" t="b">
        <v>0</v>
      </c>
      <c r="K13" s="29" t="str">
        <f>VLOOKUP(D13,Reference!$C$2:$E$6,3,FALSE)</f>
        <v>30/360</v>
      </c>
      <c r="N13" s="31" t="str">
        <f>'ql-US-ZC'!$B$52</f>
        <v>USLIBOR3M#0012</v>
      </c>
      <c r="O13" s="39">
        <f>VLOOKUP(C13,ScheduleObj!$Q$2:$Z$109,9,FALSE)/100</f>
        <v>9.300000000000001E-3</v>
      </c>
      <c r="Q13" s="29">
        <v>100</v>
      </c>
      <c r="R13" s="30">
        <f>VLOOKUP(C13,ScheduleObj!$Q$2:$Z$109,3,FALSE)</f>
        <v>44027</v>
      </c>
      <c r="S13" s="29" t="b">
        <v>0</v>
      </c>
      <c r="T13" s="39">
        <f>'ql-USCorp'!$B$5</f>
        <v>1</v>
      </c>
      <c r="U13" s="29" t="b">
        <v>1</v>
      </c>
    </row>
    <row r="14" spans="1:24" x14ac:dyDescent="0.25">
      <c r="A14" s="31" t="str">
        <f>_xll.qlFloatingRateBond(B14,C14,D14,E14,F14,G14,H14,I14,J14,K14,L14,M14,N14,O14,P14,Q14,R14,S14,T14,U14)</f>
        <v>obj_0020f#0012</v>
      </c>
      <c r="C14" s="29" t="s">
        <v>273</v>
      </c>
      <c r="D14" s="29" t="s">
        <v>458</v>
      </c>
      <c r="E14" s="29">
        <v>2</v>
      </c>
      <c r="F14" s="29" t="s">
        <v>91</v>
      </c>
      <c r="G14" s="107">
        <f>VLOOKUP(C14,ScheduleObj!$Q$2:$Z$109,6,FALSE)</f>
        <v>4000000</v>
      </c>
      <c r="H14" s="31" t="str">
        <f>VLOOKUP(C14,ScheduleObj!$Q$2:$Z$109,10,FALSE)</f>
        <v>AU3FN0055307Sch#0008</v>
      </c>
      <c r="I14" s="29">
        <v>2</v>
      </c>
      <c r="J14" s="29" t="b">
        <v>0</v>
      </c>
      <c r="K14" s="29" t="str">
        <f>VLOOKUP(D14,Reference!$C$2:$E$6,3,FALSE)</f>
        <v>30/360</v>
      </c>
      <c r="N14" s="31" t="str">
        <f>'ql-US-ZC'!$B$52</f>
        <v>USLIBOR3M#0012</v>
      </c>
      <c r="O14" s="39">
        <f>VLOOKUP(C14,ScheduleObj!$Q$2:$Z$109,9,FALSE)/100</f>
        <v>8.6999999999999994E-3</v>
      </c>
      <c r="Q14" s="29">
        <v>100</v>
      </c>
      <c r="R14" s="30">
        <f>VLOOKUP(C14,ScheduleObj!$Q$2:$Z$109,3,FALSE)</f>
        <v>44042</v>
      </c>
      <c r="S14" s="29" t="b">
        <v>0</v>
      </c>
      <c r="T14" s="39">
        <f>'ql-USCorp'!$B$5</f>
        <v>1</v>
      </c>
      <c r="U14" s="29" t="b">
        <v>1</v>
      </c>
    </row>
    <row r="15" spans="1:24" x14ac:dyDescent="0.25">
      <c r="A15" s="31" t="str">
        <f>_xll.qlFloatingRateBond(B15,C15,D15,E15,F15,G15,H15,I15,J15,K15,L15,M15,N15,O15,P15,Q15,R15,S15,T15,U15)</f>
        <v>obj_0020c#0012</v>
      </c>
      <c r="C15" s="29" t="s">
        <v>274</v>
      </c>
      <c r="D15" s="29" t="s">
        <v>458</v>
      </c>
      <c r="E15" s="29">
        <v>2</v>
      </c>
      <c r="F15" s="29" t="s">
        <v>91</v>
      </c>
      <c r="G15" s="107">
        <f>VLOOKUP(C15,ScheduleObj!$Q$2:$Z$109,6,FALSE)</f>
        <v>3000000</v>
      </c>
      <c r="H15" s="31" t="str">
        <f>VLOOKUP(C15,ScheduleObj!$Q$2:$Z$109,10,FALSE)</f>
        <v>AU3FN0055695Sch#0008</v>
      </c>
      <c r="I15" s="29">
        <v>2</v>
      </c>
      <c r="J15" s="29" t="b">
        <v>0</v>
      </c>
      <c r="K15" s="29" t="str">
        <f>VLOOKUP(D15,Reference!$C$2:$E$6,3,FALSE)</f>
        <v>30/360</v>
      </c>
      <c r="N15" s="31" t="str">
        <f>'ql-US-ZC'!$B$52</f>
        <v>USLIBOR3M#0012</v>
      </c>
      <c r="O15" s="39">
        <f>VLOOKUP(C15,ScheduleObj!$Q$2:$Z$109,9,FALSE)/100</f>
        <v>9.7000000000000003E-3</v>
      </c>
      <c r="Q15" s="29">
        <v>100</v>
      </c>
      <c r="R15" s="30">
        <f>VLOOKUP(C15,ScheduleObj!$Q$2:$Z$109,3,FALSE)</f>
        <v>44070</v>
      </c>
      <c r="S15" s="29" t="b">
        <v>0</v>
      </c>
      <c r="T15" s="39">
        <f>'ql-USCorp'!$B$5</f>
        <v>1</v>
      </c>
      <c r="U15" s="29" t="b">
        <v>1</v>
      </c>
    </row>
    <row r="16" spans="1:24" x14ac:dyDescent="0.25">
      <c r="A16" s="31" t="str">
        <f>_xll.qlFloatingRateBond(B16,C16,D16,E16,F16,G16,H16,I16,J16,K16,L16,M16,N16,O16,P16,Q16,R16,S16,T16,U16)</f>
        <v>obj_0020d#0012</v>
      </c>
      <c r="C16" s="29" t="s">
        <v>268</v>
      </c>
      <c r="D16" s="29" t="s">
        <v>458</v>
      </c>
      <c r="E16" s="29">
        <v>2</v>
      </c>
      <c r="F16" s="29" t="s">
        <v>91</v>
      </c>
      <c r="G16" s="107">
        <f>VLOOKUP(C16,ScheduleObj!$Q$2:$Z$109,6,FALSE)</f>
        <v>4500000</v>
      </c>
      <c r="H16" s="31" t="str">
        <f>VLOOKUP(C16,ScheduleObj!$Q$2:$Z$109,10,FALSE)</f>
        <v>AU3FN0057121Sch#0008</v>
      </c>
      <c r="I16" s="29">
        <v>2</v>
      </c>
      <c r="J16" s="29" t="b">
        <v>0</v>
      </c>
      <c r="K16" s="29" t="str">
        <f>VLOOKUP(D16,Reference!$C$2:$E$6,3,FALSE)</f>
        <v>30/360</v>
      </c>
      <c r="N16" s="31" t="str">
        <f>'ql-US-ZC'!$B$52</f>
        <v>USLIBOR3M#0012</v>
      </c>
      <c r="O16" s="39">
        <f>VLOOKUP(C16,ScheduleObj!$Q$2:$Z$109,9,FALSE)/100</f>
        <v>7.1999999999999998E-3</v>
      </c>
      <c r="Q16" s="29">
        <v>100</v>
      </c>
      <c r="R16" s="30">
        <f>VLOOKUP(C16,ScheduleObj!$Q$2:$Z$109,3,FALSE)</f>
        <v>44127</v>
      </c>
      <c r="S16" s="29" t="b">
        <v>0</v>
      </c>
      <c r="T16" s="39">
        <f>'ql-USCorp'!$B$5</f>
        <v>1</v>
      </c>
      <c r="U16" s="29" t="b">
        <v>1</v>
      </c>
    </row>
    <row r="17" spans="1:21" x14ac:dyDescent="0.25">
      <c r="A17" s="31" t="str">
        <f>_xll.qlFloatingRateBond(B17,C17,D17,E17,F17,G17,H17,I17,J17,K17,L17,M17,N17,O17,P17,Q17,R17,S17,T17,U17)</f>
        <v>obj_00210#0012</v>
      </c>
      <c r="C17" s="29" t="s">
        <v>275</v>
      </c>
      <c r="D17" s="29" t="s">
        <v>458</v>
      </c>
      <c r="E17" s="29">
        <v>2</v>
      </c>
      <c r="F17" s="29" t="s">
        <v>91</v>
      </c>
      <c r="G17" s="107">
        <f>VLOOKUP(C17,ScheduleObj!$Q$2:$Z$109,6,FALSE)</f>
        <v>3000000</v>
      </c>
      <c r="H17" s="31" t="str">
        <f>VLOOKUP(C17,ScheduleObj!$Q$2:$Z$109,10,FALSE)</f>
        <v>AU3FN0058814Sch#0008</v>
      </c>
      <c r="I17" s="29">
        <v>2</v>
      </c>
      <c r="J17" s="29" t="b">
        <v>0</v>
      </c>
      <c r="K17" s="29" t="str">
        <f>VLOOKUP(D17,Reference!$C$2:$E$6,3,FALSE)</f>
        <v>30/360</v>
      </c>
      <c r="N17" s="31" t="str">
        <f>'ql-US-ZC'!$B$52</f>
        <v>USLIBOR3M#0012</v>
      </c>
      <c r="O17" s="39">
        <f>VLOOKUP(C17,ScheduleObj!$Q$2:$Z$109,9,FALSE)/100</f>
        <v>5.7999999999999996E-3</v>
      </c>
      <c r="Q17" s="29">
        <v>100</v>
      </c>
      <c r="R17" s="30">
        <f>VLOOKUP(C17,ScheduleObj!$Q$2:$Z$109,3,FALSE)</f>
        <v>44266</v>
      </c>
      <c r="S17" s="29" t="b">
        <v>0</v>
      </c>
      <c r="T17" s="39">
        <f>'ql-USCorp'!$B$5</f>
        <v>1</v>
      </c>
      <c r="U17" s="29" t="b">
        <v>1</v>
      </c>
    </row>
    <row r="18" spans="1:21" x14ac:dyDescent="0.25">
      <c r="A18" s="31" t="str">
        <f>_xll.qlFloatingRateBond(B18,C18,D18,E18,F18,G18,H18,I18,J18,K18,L18,M18,N18,O18,P18,Q18,R18,S18,T18,U18)</f>
        <v>obj_001c4#0012</v>
      </c>
      <c r="C18" s="29" t="s">
        <v>278</v>
      </c>
      <c r="D18" s="29" t="s">
        <v>459</v>
      </c>
      <c r="E18" s="29">
        <v>2</v>
      </c>
      <c r="F18" s="29" t="s">
        <v>91</v>
      </c>
      <c r="G18" s="107">
        <f>VLOOKUP(C18,ScheduleObj!$Q$2:$Z$109,6,FALSE)</f>
        <v>5000000</v>
      </c>
      <c r="H18" s="31" t="str">
        <f>VLOOKUP(C18,ScheduleObj!$Q$2:$Z$109,10,FALSE)</f>
        <v>US00206RGD89Sch#0008</v>
      </c>
      <c r="I18" s="29">
        <v>2</v>
      </c>
      <c r="J18" s="29" t="b">
        <v>0</v>
      </c>
      <c r="K18" s="29" t="str">
        <f>VLOOKUP(D18,Reference!$C$2:$E$6,3,FALSE)</f>
        <v>30/360</v>
      </c>
      <c r="N18" s="31" t="str">
        <f>'ql-US-ZC'!$B$52</f>
        <v>USLIBOR3M#0012</v>
      </c>
      <c r="O18" s="39">
        <f>VLOOKUP(C18,ScheduleObj!$Q$2:$Z$109,9,FALSE)/100</f>
        <v>1.18E-2</v>
      </c>
      <c r="Q18" s="29">
        <v>100</v>
      </c>
      <c r="R18" s="30">
        <f>VLOOKUP(C18,ScheduleObj!$Q$2:$Z$109,3,FALSE)</f>
        <v>43334</v>
      </c>
      <c r="S18" s="29" t="b">
        <v>0</v>
      </c>
      <c r="T18" s="39">
        <f>'ql-USCorp'!$B$5</f>
        <v>1</v>
      </c>
      <c r="U18" s="29" t="b">
        <v>1</v>
      </c>
    </row>
    <row r="19" spans="1:21" x14ac:dyDescent="0.25">
      <c r="A19" s="31" t="str">
        <f>_xll.qlFloatingRateBond(B19,C19,D19,E19,F19,G19,H19,I19,J19,K19,L19,M19,N19,O19,P19,Q19,R19,S19,T19,U19)</f>
        <v>obj_001c5#0012</v>
      </c>
      <c r="C19" s="29" t="s">
        <v>279</v>
      </c>
      <c r="D19" s="29" t="s">
        <v>459</v>
      </c>
      <c r="E19" s="29">
        <v>2</v>
      </c>
      <c r="F19" s="29" t="s">
        <v>91</v>
      </c>
      <c r="G19" s="107">
        <f>VLOOKUP(C19,ScheduleObj!$Q$2:$Z$109,6,FALSE)</f>
        <v>3375000</v>
      </c>
      <c r="H19" s="31" t="str">
        <f>VLOOKUP(C19,ScheduleObj!$Q$2:$Z$109,10,FALSE)</f>
        <v>US00216NAB55Sch#0008</v>
      </c>
      <c r="I19" s="29">
        <v>2</v>
      </c>
      <c r="J19" s="29" t="b">
        <v>0</v>
      </c>
      <c r="K19" s="29" t="str">
        <f>VLOOKUP(D19,Reference!$C$2:$E$6,3,FALSE)</f>
        <v>30/360</v>
      </c>
      <c r="N19" s="31" t="str">
        <f>'ql-US-ZC'!$B$52</f>
        <v>USLIBOR3M#0012</v>
      </c>
      <c r="O19" s="39">
        <f>VLOOKUP(C19,ScheduleObj!$Q$2:$Z$109,9,FALSE)/100</f>
        <v>9.7000000000000003E-3</v>
      </c>
      <c r="Q19" s="29">
        <v>100</v>
      </c>
      <c r="R19" s="30">
        <f>VLOOKUP(C19,ScheduleObj!$Q$2:$Z$109,3,FALSE)</f>
        <v>43265</v>
      </c>
      <c r="S19" s="29" t="b">
        <v>0</v>
      </c>
      <c r="T19" s="39">
        <f>'ql-USCorp'!$B$5</f>
        <v>1</v>
      </c>
      <c r="U19" s="29" t="b">
        <v>1</v>
      </c>
    </row>
    <row r="20" spans="1:21" x14ac:dyDescent="0.25">
      <c r="A20" s="31" t="str">
        <f>_xll.qlFloatingRateBond(B20,C20,D20,E20,F20,G20,H20,I20,J20,K20,L20,M20,N20,O20,P20,Q20,R20,S20,T20,U20)</f>
        <v>obj_001c6#0012</v>
      </c>
      <c r="C20" s="29" t="s">
        <v>283</v>
      </c>
      <c r="D20" s="29" t="s">
        <v>459</v>
      </c>
      <c r="E20" s="29">
        <v>2</v>
      </c>
      <c r="F20" s="29" t="s">
        <v>91</v>
      </c>
      <c r="G20" s="107">
        <f>VLOOKUP(C20,ScheduleObj!$Q$2:$Z$109,6,FALSE)</f>
        <v>2300000</v>
      </c>
      <c r="H20" s="31" t="str">
        <f>VLOOKUP(C20,ScheduleObj!$Q$2:$Z$109,10,FALSE)</f>
        <v>US05252BCZ04Sch#0008</v>
      </c>
      <c r="I20" s="29">
        <v>2</v>
      </c>
      <c r="J20" s="29" t="b">
        <v>0</v>
      </c>
      <c r="K20" s="29" t="str">
        <f>VLOOKUP(D20,Reference!$C$2:$E$6,3,FALSE)</f>
        <v>30/360</v>
      </c>
      <c r="N20" s="31" t="str">
        <f>'ql-US-ZC'!$B$52</f>
        <v>USLIBOR3M#0012</v>
      </c>
      <c r="O20" s="39">
        <f>VLOOKUP(C20,ScheduleObj!$Q$2:$Z$109,9,FALSE)/100</f>
        <v>5.7999999999999996E-3</v>
      </c>
      <c r="Q20" s="29">
        <v>100</v>
      </c>
      <c r="R20" s="30">
        <f>VLOOKUP(C20,ScheduleObj!$Q$2:$Z$109,3,FALSE)</f>
        <v>43048</v>
      </c>
      <c r="S20" s="29" t="b">
        <v>0</v>
      </c>
      <c r="T20" s="39">
        <f>'ql-USCorp'!$B$5</f>
        <v>1</v>
      </c>
      <c r="U20" s="29" t="b">
        <v>1</v>
      </c>
    </row>
    <row r="21" spans="1:21" x14ac:dyDescent="0.25">
      <c r="A21" s="31" t="str">
        <f>_xll.qlFloatingRateBond(B21,C21,D21,E21,F21,G21,H21,I21,J21,K21,L21,M21,N21,O21,P21,Q21,R21,S21,T21,U21)</f>
        <v>obj_001c7#0012</v>
      </c>
      <c r="C21" s="29" t="s">
        <v>285</v>
      </c>
      <c r="D21" s="29" t="s">
        <v>459</v>
      </c>
      <c r="E21" s="29">
        <v>2</v>
      </c>
      <c r="F21" s="29" t="s">
        <v>91</v>
      </c>
      <c r="G21" s="107">
        <f>VLOOKUP(C21,ScheduleObj!$Q$2:$Z$109,6,FALSE)</f>
        <v>5000000</v>
      </c>
      <c r="H21" s="31" t="str">
        <f>VLOOKUP(C21,ScheduleObj!$Q$2:$Z$109,10,FALSE)</f>
        <v>US064159JF41Sch#0008</v>
      </c>
      <c r="I21" s="29">
        <v>2</v>
      </c>
      <c r="J21" s="29" t="b">
        <v>0</v>
      </c>
      <c r="K21" s="29" t="str">
        <f>VLOOKUP(D21,Reference!$C$2:$E$6,3,FALSE)</f>
        <v>30/360</v>
      </c>
      <c r="N21" s="31" t="str">
        <f>'ql-US-ZC'!$B$52</f>
        <v>USLIBOR3M#0012</v>
      </c>
      <c r="O21" s="39">
        <f>VLOOKUP(C21,ScheduleObj!$Q$2:$Z$109,9,FALSE)/100</f>
        <v>6.4000000000000003E-3</v>
      </c>
      <c r="Q21" s="29">
        <v>100</v>
      </c>
      <c r="R21" s="30">
        <f>VLOOKUP(C21,ScheduleObj!$Q$2:$Z$109,3,FALSE)</f>
        <v>42801</v>
      </c>
      <c r="S21" s="29" t="b">
        <v>0</v>
      </c>
      <c r="T21" s="39">
        <f>'ql-USCorp'!$B$5</f>
        <v>1</v>
      </c>
      <c r="U21" s="29" t="b">
        <v>1</v>
      </c>
    </row>
    <row r="22" spans="1:21" x14ac:dyDescent="0.25">
      <c r="A22" s="31" t="str">
        <f>_xll.qlFloatingRateBond(B22,C22,D22,E22,F22,G22,H22,I22,J22,K22,L22,M22,N22,O22,P22,Q22,R22,S22,T22,U22)</f>
        <v>obj_001c8#0012</v>
      </c>
      <c r="C22" s="29" t="s">
        <v>286</v>
      </c>
      <c r="D22" s="29" t="s">
        <v>459</v>
      </c>
      <c r="E22" s="29">
        <v>2</v>
      </c>
      <c r="F22" s="29" t="s">
        <v>91</v>
      </c>
      <c r="G22" s="107">
        <f>VLOOKUP(C22,ScheduleObj!$Q$2:$Z$109,6,FALSE)</f>
        <v>4000000</v>
      </c>
      <c r="H22" s="31" t="str">
        <f>VLOOKUP(C22,ScheduleObj!$Q$2:$Z$109,10,FALSE)</f>
        <v>US136069TZ40Sch#0008</v>
      </c>
      <c r="I22" s="29">
        <v>2</v>
      </c>
      <c r="J22" s="29" t="b">
        <v>0</v>
      </c>
      <c r="K22" s="29" t="str">
        <f>VLOOKUP(D22,Reference!$C$2:$E$6,3,FALSE)</f>
        <v>30/360</v>
      </c>
      <c r="N22" s="31" t="str">
        <f>'ql-US-ZC'!$B$52</f>
        <v>USLIBOR3M#0012</v>
      </c>
      <c r="O22" s="39">
        <f>VLOOKUP(C22,ScheduleObj!$Q$2:$Z$109,9,FALSE)/100</f>
        <v>7.1999999999999998E-3</v>
      </c>
      <c r="Q22" s="29">
        <v>100</v>
      </c>
      <c r="R22" s="30">
        <f>VLOOKUP(C22,ScheduleObj!$Q$2:$Z$109,3,FALSE)</f>
        <v>42902</v>
      </c>
      <c r="S22" s="29" t="b">
        <v>0</v>
      </c>
      <c r="T22" s="39">
        <f>'ql-USCorp'!$B$5</f>
        <v>1</v>
      </c>
      <c r="U22" s="29" t="b">
        <v>1</v>
      </c>
    </row>
    <row r="23" spans="1:21" x14ac:dyDescent="0.25">
      <c r="A23" s="31" t="str">
        <f>_xll.qlFloatingRateBond(B23,C23,D23,E23,F23,G23,H23,I23,J23,K23,L23,M23,N23,O23,P23,Q23,R23,S23,T23,U23)</f>
        <v>obj_001c9#0012</v>
      </c>
      <c r="C23" s="29" t="s">
        <v>289</v>
      </c>
      <c r="D23" s="29" t="s">
        <v>459</v>
      </c>
      <c r="E23" s="29">
        <v>2</v>
      </c>
      <c r="F23" s="29" t="s">
        <v>91</v>
      </c>
      <c r="G23" s="107">
        <f>VLOOKUP(C23,ScheduleObj!$Q$2:$Z$109,6,FALSE)</f>
        <v>10000000</v>
      </c>
      <c r="H23" s="31" t="str">
        <f>VLOOKUP(C23,ScheduleObj!$Q$2:$Z$109,10,FALSE)</f>
        <v>US21688AAM45Sch#0008</v>
      </c>
      <c r="I23" s="29">
        <v>2</v>
      </c>
      <c r="J23" s="29" t="b">
        <v>0</v>
      </c>
      <c r="K23" s="29" t="str">
        <f>VLOOKUP(D23,Reference!$C$2:$E$6,3,FALSE)</f>
        <v>30/360</v>
      </c>
      <c r="N23" s="31" t="str">
        <f>'ql-US-ZC'!$B$52</f>
        <v>USLIBOR3M#0012</v>
      </c>
      <c r="O23" s="39">
        <f>VLOOKUP(C23,ScheduleObj!$Q$2:$Z$109,9,FALSE)/100</f>
        <v>4.7999999999999996E-3</v>
      </c>
      <c r="Q23" s="29">
        <v>100</v>
      </c>
      <c r="R23" s="30">
        <f>VLOOKUP(C23,ScheduleObj!$Q$2:$Z$109,3,FALSE)</f>
        <v>43110</v>
      </c>
      <c r="S23" s="29" t="b">
        <v>0</v>
      </c>
      <c r="T23" s="39">
        <f>'ql-USCorp'!$B$5</f>
        <v>1</v>
      </c>
      <c r="U23" s="29" t="b">
        <v>1</v>
      </c>
    </row>
    <row r="24" spans="1:21" x14ac:dyDescent="0.25">
      <c r="A24" s="31" t="str">
        <f>_xll.qlFloatingRateBond(B24,C24,D24,E24,F24,G24,H24,I24,J24,K24,L24,M24,N24,O24,P24,Q24,R24,S24,T24,U24)</f>
        <v>obj_001ca#0012</v>
      </c>
      <c r="C24" s="29" t="s">
        <v>295</v>
      </c>
      <c r="D24" s="29" t="s">
        <v>459</v>
      </c>
      <c r="E24" s="29">
        <v>2</v>
      </c>
      <c r="F24" s="29" t="s">
        <v>91</v>
      </c>
      <c r="G24" s="107">
        <f>VLOOKUP(C24,ScheduleObj!$Q$2:$Z$109,6,FALSE)</f>
        <v>5000000</v>
      </c>
      <c r="H24" s="31" t="str">
        <f>VLOOKUP(C24,ScheduleObj!$Q$2:$Z$109,10,FALSE)</f>
        <v>US961214DT74Sch#0008</v>
      </c>
      <c r="I24" s="29">
        <v>2</v>
      </c>
      <c r="J24" s="29" t="b">
        <v>0</v>
      </c>
      <c r="K24" s="29" t="str">
        <f>VLOOKUP(D24,Reference!$C$2:$E$6,3,FALSE)</f>
        <v>30/360</v>
      </c>
      <c r="N24" s="31" t="str">
        <f>'ql-US-ZC'!$B$52</f>
        <v>USLIBOR3M#0012</v>
      </c>
      <c r="O24" s="39">
        <f>VLOOKUP(C24,ScheduleObj!$Q$2:$Z$109,9,FALSE)/100</f>
        <v>5.6999999999999993E-3</v>
      </c>
      <c r="Q24" s="29">
        <v>100</v>
      </c>
      <c r="R24" s="30">
        <f>VLOOKUP(C24,ScheduleObj!$Q$2:$Z$109,3,FALSE)</f>
        <v>43080</v>
      </c>
      <c r="S24" s="29" t="b">
        <v>0</v>
      </c>
      <c r="T24" s="39">
        <f>'ql-USCorp'!$B$5</f>
        <v>1</v>
      </c>
      <c r="U24" s="29" t="b">
        <v>1</v>
      </c>
    </row>
    <row r="25" spans="1:21" x14ac:dyDescent="0.25">
      <c r="A25" s="31" t="str">
        <f>_xll.qlFloatingRateBond(B25,C25,D25,E25,F25,G25,H25,I25,J25,K25,L25,M25,N25,O25,P25,Q25,R25,S25,T25,U25)</f>
        <v>obj_001cb#0012</v>
      </c>
      <c r="C25" s="29" t="s">
        <v>300</v>
      </c>
      <c r="D25" s="29" t="s">
        <v>459</v>
      </c>
      <c r="E25" s="29">
        <v>2</v>
      </c>
      <c r="F25" s="29" t="s">
        <v>91</v>
      </c>
      <c r="G25" s="107">
        <f>VLOOKUP(C25,ScheduleObj!$Q$2:$Z$109,6,FALSE)</f>
        <v>2000000</v>
      </c>
      <c r="H25" s="31" t="str">
        <f>VLOOKUP(C25,ScheduleObj!$Q$2:$Z$109,10,FALSE)</f>
        <v>USQ68009AA98Sch#0008</v>
      </c>
      <c r="I25" s="29">
        <v>2</v>
      </c>
      <c r="J25" s="29" t="b">
        <v>0</v>
      </c>
      <c r="K25" s="29" t="str">
        <f>VLOOKUP(D25,Reference!$C$2:$E$6,3,FALSE)</f>
        <v>30/360</v>
      </c>
      <c r="N25" s="31" t="str">
        <f>'ql-US-ZC'!$B$52</f>
        <v>USLIBOR3M#0012</v>
      </c>
      <c r="O25" s="39">
        <f>VLOOKUP(C25,ScheduleObj!$Q$2:$Z$109,9,FALSE)/100</f>
        <v>4.0999999999999995E-3</v>
      </c>
      <c r="Q25" s="29">
        <v>100</v>
      </c>
      <c r="R25" s="30">
        <f>VLOOKUP(C25,ScheduleObj!$Q$2:$Z$109,3,FALSE)</f>
        <v>43843</v>
      </c>
      <c r="S25" s="29" t="b">
        <v>0</v>
      </c>
      <c r="T25" s="39">
        <f>'ql-USCorp'!$B$5</f>
        <v>1</v>
      </c>
      <c r="U25" s="29" t="b">
        <v>1</v>
      </c>
    </row>
    <row r="26" spans="1:21" x14ac:dyDescent="0.25">
      <c r="A26" s="31" t="str">
        <f>_xll.qlFloatingRateBond(B26,C26,D26,E26,F26,G26,H26,I26,J26,K26,L26,M26,N26,O26,P26,Q26,R26,S26,T26,U26)</f>
        <v>obj_001cc#0012</v>
      </c>
      <c r="C26" s="29" t="s">
        <v>303</v>
      </c>
      <c r="D26" s="29" t="s">
        <v>459</v>
      </c>
      <c r="E26" s="29">
        <v>2</v>
      </c>
      <c r="F26" s="29" t="s">
        <v>91</v>
      </c>
      <c r="G26" s="107">
        <f>VLOOKUP(C26,ScheduleObj!$Q$2:$Z$109,6,FALSE)</f>
        <v>20000000</v>
      </c>
      <c r="H26" s="31" t="str">
        <f>VLOOKUP(C26,ScheduleObj!$Q$2:$Z$109,10,FALSE)</f>
        <v>XS1624141435Sch#0008</v>
      </c>
      <c r="I26" s="29">
        <v>2</v>
      </c>
      <c r="J26" s="29" t="b">
        <v>0</v>
      </c>
      <c r="K26" s="29" t="str">
        <f>VLOOKUP(D26,Reference!$C$2:$E$6,3,FALSE)</f>
        <v>30/360</v>
      </c>
      <c r="N26" s="31" t="str">
        <f>'ql-US-ZC'!$B$52</f>
        <v>USLIBOR3M#0012</v>
      </c>
      <c r="O26" s="39">
        <f>VLOOKUP(C26,ScheduleObj!$Q$2:$Z$109,9,FALSE)/100</f>
        <v>9.4999999999999998E-3</v>
      </c>
      <c r="Q26" s="29">
        <v>100</v>
      </c>
      <c r="R26" s="30">
        <f>VLOOKUP(C26,ScheduleObj!$Q$2:$Z$109,3,FALSE)</f>
        <v>42895</v>
      </c>
      <c r="S26" s="29" t="b">
        <v>0</v>
      </c>
      <c r="T26" s="39">
        <f>'ql-USCorp'!$B$5</f>
        <v>1</v>
      </c>
      <c r="U26" s="29" t="b">
        <v>1</v>
      </c>
    </row>
    <row r="27" spans="1:21" x14ac:dyDescent="0.25">
      <c r="A27" s="31" t="str">
        <f>_xll.qlFloatingRateBond(B27,C27,D27,E27,F27,G27,H27,I27,J27,K27,L27,M27,N27,O27,P27,Q27,R27,S27,T27,U27)</f>
        <v>obj_001cd#0012</v>
      </c>
      <c r="C27" s="29" t="s">
        <v>304</v>
      </c>
      <c r="D27" s="29" t="s">
        <v>459</v>
      </c>
      <c r="E27" s="29">
        <v>2</v>
      </c>
      <c r="F27" s="29" t="s">
        <v>91</v>
      </c>
      <c r="G27" s="107">
        <f>VLOOKUP(C27,ScheduleObj!$Q$2:$Z$109,6,FALSE)</f>
        <v>10000000</v>
      </c>
      <c r="H27" s="31" t="str">
        <f>VLOOKUP(C27,ScheduleObj!$Q$2:$Z$109,10,FALSE)</f>
        <v>XS1637362507Sch#0008</v>
      </c>
      <c r="I27" s="29">
        <v>2</v>
      </c>
      <c r="J27" s="29" t="b">
        <v>0</v>
      </c>
      <c r="K27" s="29" t="str">
        <f>VLOOKUP(D27,Reference!$C$2:$E$6,3,FALSE)</f>
        <v>30/360</v>
      </c>
      <c r="N27" s="31" t="str">
        <f>'ql-US-ZC'!$B$52</f>
        <v>USLIBOR3M#0012</v>
      </c>
      <c r="O27" s="39">
        <f>VLOOKUP(C27,ScheduleObj!$Q$2:$Z$109,9,FALSE)/100</f>
        <v>8.0000000000000002E-3</v>
      </c>
      <c r="Q27" s="29">
        <v>100</v>
      </c>
      <c r="R27" s="30">
        <f>VLOOKUP(C27,ScheduleObj!$Q$2:$Z$109,3,FALSE)</f>
        <v>42921</v>
      </c>
      <c r="S27" s="29" t="b">
        <v>0</v>
      </c>
      <c r="T27" s="39">
        <f>'ql-USCorp'!$B$5</f>
        <v>1</v>
      </c>
      <c r="U27" s="29" t="b">
        <v>1</v>
      </c>
    </row>
    <row r="28" spans="1:21" x14ac:dyDescent="0.25">
      <c r="A28" s="31" t="str">
        <f>_xll.qlFloatingRateBond(B28,C28,D28,E28,F28,G28,H28,I28,J28,K28,L28,M28,N28,O28,P28,Q28,R28,S28,T28,U28)</f>
        <v>obj_001ce#0012</v>
      </c>
      <c r="C28" s="29" t="s">
        <v>305</v>
      </c>
      <c r="D28" s="29" t="s">
        <v>459</v>
      </c>
      <c r="E28" s="29">
        <v>2</v>
      </c>
      <c r="F28" s="29" t="s">
        <v>91</v>
      </c>
      <c r="G28" s="107">
        <f>VLOOKUP(C28,ScheduleObj!$Q$2:$Z$109,6,FALSE)</f>
        <v>25000000</v>
      </c>
      <c r="H28" s="31" t="str">
        <f>VLOOKUP(C28,ScheduleObj!$Q$2:$Z$109,10,FALSE)</f>
        <v>XS1706085773Sch#0008</v>
      </c>
      <c r="I28" s="29">
        <v>2</v>
      </c>
      <c r="J28" s="29" t="b">
        <v>0</v>
      </c>
      <c r="K28" s="29" t="str">
        <f>VLOOKUP(D28,Reference!$C$2:$E$6,3,FALSE)</f>
        <v>30/360</v>
      </c>
      <c r="N28" s="31" t="str">
        <f>'ql-US-ZC'!$B$52</f>
        <v>USLIBOR3M#0012</v>
      </c>
      <c r="O28" s="39">
        <f>VLOOKUP(C28,ScheduleObj!$Q$2:$Z$109,9,FALSE)/100</f>
        <v>8.0000000000000002E-3</v>
      </c>
      <c r="Q28" s="29">
        <v>100</v>
      </c>
      <c r="R28" s="30">
        <f>VLOOKUP(C28,ScheduleObj!$Q$2:$Z$109,3,FALSE)</f>
        <v>43038</v>
      </c>
      <c r="S28" s="29" t="b">
        <v>0</v>
      </c>
      <c r="T28" s="39">
        <f>'ql-USCorp'!$B$5</f>
        <v>1</v>
      </c>
      <c r="U28" s="29" t="b">
        <v>1</v>
      </c>
    </row>
    <row r="29" spans="1:21" x14ac:dyDescent="0.25">
      <c r="A29" s="31" t="str">
        <f>_xll.qlFloatingRateBond(B29,C29,D29,E29,F29,G29,H29,I29,J29,K29,L29,M29,N29,O29,P29,Q29,R29,S29,T29,U29)</f>
        <v>obj_001d2#0012</v>
      </c>
      <c r="C29" s="29" t="s">
        <v>306</v>
      </c>
      <c r="D29" s="29" t="s">
        <v>459</v>
      </c>
      <c r="E29" s="29">
        <v>2</v>
      </c>
      <c r="F29" s="29" t="s">
        <v>91</v>
      </c>
      <c r="G29" s="107">
        <f>VLOOKUP(C29,ScheduleObj!$Q$2:$Z$109,6,FALSE)</f>
        <v>5000000</v>
      </c>
      <c r="H29" s="31" t="str">
        <f>VLOOKUP(C29,ScheduleObj!$Q$2:$Z$109,10,FALSE)</f>
        <v>XS1832452103Sch#0008</v>
      </c>
      <c r="I29" s="29">
        <v>2</v>
      </c>
      <c r="J29" s="29" t="b">
        <v>0</v>
      </c>
      <c r="K29" s="29" t="str">
        <f>VLOOKUP(D29,Reference!$C$2:$E$6,3,FALSE)</f>
        <v>30/360</v>
      </c>
      <c r="N29" s="31" t="str">
        <f>'ql-US-ZC'!$B$52</f>
        <v>USLIBOR3M#0012</v>
      </c>
      <c r="O29" s="39">
        <f>VLOOKUP(C29,ScheduleObj!$Q$2:$Z$109,9,FALSE)/100</f>
        <v>8.3000000000000001E-3</v>
      </c>
      <c r="Q29" s="29">
        <v>100</v>
      </c>
      <c r="R29" s="30">
        <f>VLOOKUP(C29,ScheduleObj!$Q$2:$Z$109,3,FALSE)</f>
        <v>43258</v>
      </c>
      <c r="S29" s="29" t="b">
        <v>0</v>
      </c>
      <c r="T29" s="39">
        <f>'ql-USCorp'!$B$5</f>
        <v>1</v>
      </c>
      <c r="U29" s="29" t="b">
        <v>1</v>
      </c>
    </row>
    <row r="30" spans="1:21" x14ac:dyDescent="0.25">
      <c r="A30" s="31" t="str">
        <f>_xll.qlFloatingRateBond(B30,C30,D30,E30,F30,G30,H30,I30,J30,K30,L30,M30,N30,O30,P30,Q30,R30,S30,T30,U30)</f>
        <v>obj_001d6#0012</v>
      </c>
      <c r="C30" s="29" t="s">
        <v>307</v>
      </c>
      <c r="D30" s="29" t="s">
        <v>459</v>
      </c>
      <c r="E30" s="29">
        <v>2</v>
      </c>
      <c r="F30" s="29" t="s">
        <v>91</v>
      </c>
      <c r="G30" s="107">
        <f>VLOOKUP(C30,ScheduleObj!$Q$2:$Z$109,6,FALSE)</f>
        <v>5000000</v>
      </c>
      <c r="H30" s="31" t="str">
        <f>VLOOKUP(C30,ScheduleObj!$Q$2:$Z$109,10,FALSE)</f>
        <v>XS1935188422Sch#0008</v>
      </c>
      <c r="I30" s="29">
        <v>2</v>
      </c>
      <c r="J30" s="29" t="b">
        <v>0</v>
      </c>
      <c r="K30" s="29" t="str">
        <f>VLOOKUP(D30,Reference!$C$2:$E$6,3,FALSE)</f>
        <v>30/360</v>
      </c>
      <c r="N30" s="31" t="str">
        <f>'ql-US-ZC'!$B$52</f>
        <v>USLIBOR3M#0012</v>
      </c>
      <c r="O30" s="39">
        <f>VLOOKUP(C30,ScheduleObj!$Q$2:$Z$109,9,FALSE)/100</f>
        <v>8.3000000000000001E-3</v>
      </c>
      <c r="Q30" s="29">
        <v>100</v>
      </c>
      <c r="R30" s="30">
        <f>VLOOKUP(C30,ScheduleObj!$Q$2:$Z$109,3,FALSE)</f>
        <v>43627</v>
      </c>
      <c r="S30" s="29" t="b">
        <v>0</v>
      </c>
      <c r="T30" s="39">
        <f>'ql-USCorp'!$B$5</f>
        <v>1</v>
      </c>
      <c r="U30" s="29" t="b">
        <v>1</v>
      </c>
    </row>
    <row r="31" spans="1:21" x14ac:dyDescent="0.25">
      <c r="A31" s="31" t="str">
        <f>_xll.qlFloatingRateBond(B31,C31,D31,E31,F31,G31,H31,I31,J31,K31,L31,M31,N31,O31,P31,Q31,R31,S31,T31,U31)</f>
        <v>obj_001d7#0012</v>
      </c>
      <c r="C31" s="29" t="s">
        <v>308</v>
      </c>
      <c r="D31" s="29" t="s">
        <v>459</v>
      </c>
      <c r="E31" s="29">
        <v>2</v>
      </c>
      <c r="F31" s="29" t="s">
        <v>91</v>
      </c>
      <c r="G31" s="107">
        <f>VLOOKUP(C31,ScheduleObj!$Q$2:$Z$109,6,FALSE)</f>
        <v>3000000</v>
      </c>
      <c r="H31" s="31" t="str">
        <f>VLOOKUP(C31,ScheduleObj!$Q$2:$Z$109,10,FALSE)</f>
        <v>XS1978205869Sch#0008</v>
      </c>
      <c r="I31" s="29">
        <v>2</v>
      </c>
      <c r="J31" s="29" t="b">
        <v>0</v>
      </c>
      <c r="K31" s="29" t="str">
        <f>VLOOKUP(D31,Reference!$C$2:$E$6,3,FALSE)</f>
        <v>30/360</v>
      </c>
      <c r="N31" s="31" t="str">
        <f>'ql-US-ZC'!$B$52</f>
        <v>USLIBOR3M#0012</v>
      </c>
      <c r="O31" s="39">
        <f>VLOOKUP(C31,ScheduleObj!$Q$2:$Z$109,9,FALSE)/100</f>
        <v>7.1999999999999998E-3</v>
      </c>
      <c r="Q31" s="29">
        <v>100</v>
      </c>
      <c r="R31" s="30">
        <f>VLOOKUP(C31,ScheduleObj!$Q$2:$Z$109,3,FALSE)</f>
        <v>43572</v>
      </c>
      <c r="S31" s="29" t="b">
        <v>0</v>
      </c>
      <c r="T31" s="39">
        <f>'ql-USCorp'!$B$5</f>
        <v>1</v>
      </c>
      <c r="U31" s="29" t="b">
        <v>1</v>
      </c>
    </row>
    <row r="32" spans="1:21" x14ac:dyDescent="0.25">
      <c r="A32" s="31" t="str">
        <f>_xll.qlFloatingRateBond(B32,C32,D32,E32,F32,G32,H32,I32,J32,K32,L32,M32,N32,O32,P32,Q32,R32,S32,T32,U32)</f>
        <v>obj_001d8#0012</v>
      </c>
      <c r="C32" s="29" t="s">
        <v>309</v>
      </c>
      <c r="D32" s="29" t="s">
        <v>459</v>
      </c>
      <c r="E32" s="29">
        <v>2</v>
      </c>
      <c r="F32" s="29" t="s">
        <v>91</v>
      </c>
      <c r="G32" s="107">
        <f>VLOOKUP(C32,ScheduleObj!$Q$2:$Z$109,6,FALSE)</f>
        <v>5000000</v>
      </c>
      <c r="H32" s="31" t="str">
        <f>VLOOKUP(C32,ScheduleObj!$Q$2:$Z$109,10,FALSE)</f>
        <v>XS2052134496Sch#0008</v>
      </c>
      <c r="I32" s="29">
        <v>2</v>
      </c>
      <c r="J32" s="29" t="b">
        <v>0</v>
      </c>
      <c r="K32" s="29" t="str">
        <f>VLOOKUP(D32,Reference!$C$2:$E$6,3,FALSE)</f>
        <v>30/360</v>
      </c>
      <c r="N32" s="31" t="str">
        <f>'ql-US-ZC'!$B$52</f>
        <v>USLIBOR3M#0012</v>
      </c>
      <c r="O32" s="39">
        <f>VLOOKUP(C32,ScheduleObj!$Q$2:$Z$109,9,FALSE)/100</f>
        <v>7.8000000000000005E-3</v>
      </c>
      <c r="Q32" s="29">
        <v>100</v>
      </c>
      <c r="R32" s="30">
        <f>VLOOKUP(C32,ScheduleObj!$Q$2:$Z$109,3,FALSE)</f>
        <v>43724</v>
      </c>
      <c r="S32" s="29" t="b">
        <v>0</v>
      </c>
      <c r="T32" s="39">
        <f>'ql-USCorp'!$B$5</f>
        <v>1</v>
      </c>
      <c r="U32" s="29" t="b">
        <v>1</v>
      </c>
    </row>
    <row r="33" spans="1:21" x14ac:dyDescent="0.25">
      <c r="A33" s="31" t="str">
        <f>_xll.qlFloatingRateBond(B33,C33,D33,E33,F33,G33,H33,I33,J33,K33,L33,M33,N33,O33,P33,Q33,R33,S33,T33,U33)</f>
        <v>obj_001d9#0012</v>
      </c>
      <c r="C33" s="29" t="s">
        <v>310</v>
      </c>
      <c r="D33" s="29" t="s">
        <v>459</v>
      </c>
      <c r="E33" s="29">
        <v>2</v>
      </c>
      <c r="F33" s="29" t="s">
        <v>91</v>
      </c>
      <c r="G33" s="107">
        <f>VLOOKUP(C33,ScheduleObj!$Q$2:$Z$109,6,FALSE)</f>
        <v>7500000</v>
      </c>
      <c r="H33" s="31" t="str">
        <f>VLOOKUP(C33,ScheduleObj!$Q$2:$Z$109,10,FALSE)</f>
        <v>XS2068969141Sch#0008</v>
      </c>
      <c r="I33" s="29">
        <v>2</v>
      </c>
      <c r="J33" s="29" t="b">
        <v>0</v>
      </c>
      <c r="K33" s="29" t="str">
        <f>VLOOKUP(D33,Reference!$C$2:$E$6,3,FALSE)</f>
        <v>30/360</v>
      </c>
      <c r="N33" s="31" t="str">
        <f>'ql-US-ZC'!$B$52</f>
        <v>USLIBOR3M#0012</v>
      </c>
      <c r="O33" s="39">
        <f>VLOOKUP(C33,ScheduleObj!$Q$2:$Z$109,9,FALSE)/100</f>
        <v>6.0999999999999995E-3</v>
      </c>
      <c r="Q33" s="29">
        <v>100</v>
      </c>
      <c r="R33" s="30">
        <f>VLOOKUP(C33,ScheduleObj!$Q$2:$Z$109,3,FALSE)</f>
        <v>43768</v>
      </c>
      <c r="S33" s="29" t="b">
        <v>0</v>
      </c>
      <c r="T33" s="39">
        <f>'ql-USCorp'!$B$5</f>
        <v>1</v>
      </c>
      <c r="U33" s="29" t="b">
        <v>1</v>
      </c>
    </row>
    <row r="34" spans="1:21" x14ac:dyDescent="0.25">
      <c r="A34" s="31" t="str">
        <f>_xll.qlFloatingRateBond(B34,C34,D34,E34,F34,G34,H34,I34,J34,K34,L34,M34,N34,O34,P34,Q34,R34,S34,T34,U34)</f>
        <v>obj_001da#0012</v>
      </c>
      <c r="C34" s="29" t="s">
        <v>311</v>
      </c>
      <c r="D34" s="29" t="s">
        <v>459</v>
      </c>
      <c r="E34" s="29">
        <v>2</v>
      </c>
      <c r="F34" s="29" t="s">
        <v>91</v>
      </c>
      <c r="G34" s="107">
        <f>VLOOKUP(C34,ScheduleObj!$Q$2:$Z$109,6,FALSE)</f>
        <v>7000000</v>
      </c>
      <c r="H34" s="31" t="str">
        <f>VLOOKUP(C34,ScheduleObj!$Q$2:$Z$109,10,FALSE)</f>
        <v>XS2079297946Sch#0008</v>
      </c>
      <c r="I34" s="29">
        <v>2</v>
      </c>
      <c r="J34" s="29" t="b">
        <v>0</v>
      </c>
      <c r="K34" s="29" t="str">
        <f>VLOOKUP(D34,Reference!$C$2:$E$6,3,FALSE)</f>
        <v>30/360</v>
      </c>
      <c r="N34" s="31" t="str">
        <f>'ql-US-ZC'!$B$52</f>
        <v>USLIBOR3M#0012</v>
      </c>
      <c r="O34" s="39">
        <f>VLOOKUP(C34,ScheduleObj!$Q$2:$Z$109,9,FALSE)/100</f>
        <v>6.0000000000000001E-3</v>
      </c>
      <c r="Q34" s="29">
        <v>100</v>
      </c>
      <c r="R34" s="30">
        <f>VLOOKUP(C34,ScheduleObj!$Q$2:$Z$109,3,FALSE)</f>
        <v>43794</v>
      </c>
      <c r="S34" s="29" t="b">
        <v>0</v>
      </c>
      <c r="T34" s="39">
        <f>'ql-USCorp'!$B$5</f>
        <v>1</v>
      </c>
      <c r="U34" s="29" t="b">
        <v>1</v>
      </c>
    </row>
    <row r="35" spans="1:21" x14ac:dyDescent="0.25">
      <c r="A35" s="31" t="str">
        <f>_xll.qlFloatingRateBond(B35,C35,D35,E35,F35,G35,H35,I35,J35,K35,L35,M35,N35,O35,P35,Q35,R35,S35,T35,U35)</f>
        <v>obj_001db#0012</v>
      </c>
      <c r="C35" s="29" t="s">
        <v>312</v>
      </c>
      <c r="D35" s="29" t="s">
        <v>459</v>
      </c>
      <c r="E35" s="29">
        <v>2</v>
      </c>
      <c r="F35" s="29" t="s">
        <v>91</v>
      </c>
      <c r="G35" s="107">
        <f>VLOOKUP(C35,ScheduleObj!$Q$2:$Z$109,6,FALSE)</f>
        <v>3000000</v>
      </c>
      <c r="H35" s="31" t="str">
        <f>VLOOKUP(C35,ScheduleObj!$Q$2:$Z$109,10,FALSE)</f>
        <v>XS2100405013Sch#0008</v>
      </c>
      <c r="I35" s="29">
        <v>2</v>
      </c>
      <c r="J35" s="29" t="b">
        <v>0</v>
      </c>
      <c r="K35" s="29" t="str">
        <f>VLOOKUP(D35,Reference!$C$2:$E$6,3,FALSE)</f>
        <v>30/360</v>
      </c>
      <c r="N35" s="31" t="str">
        <f>'ql-US-ZC'!$B$52</f>
        <v>USLIBOR3M#0012</v>
      </c>
      <c r="O35" s="39">
        <f>VLOOKUP(C35,ScheduleObj!$Q$2:$Z$109,9,FALSE)/100</f>
        <v>5.7999999999999996E-3</v>
      </c>
      <c r="Q35" s="29">
        <v>100</v>
      </c>
      <c r="R35" s="30">
        <f>VLOOKUP(C35,ScheduleObj!$Q$2:$Z$109,3,FALSE)</f>
        <v>43846</v>
      </c>
      <c r="S35" s="29" t="b">
        <v>0</v>
      </c>
      <c r="T35" s="39">
        <f>'ql-USCorp'!$B$5</f>
        <v>1</v>
      </c>
      <c r="U35" s="29" t="b">
        <v>1</v>
      </c>
    </row>
    <row r="36" spans="1:21" x14ac:dyDescent="0.25">
      <c r="A36" s="31" t="str">
        <f>_xll.qlFloatingRateBond(B36,C36,D36,E36,F36,G36,H36,I36,J36,K36,L36,M36,N36,O36,P36,Q36,R36,S36,T36,U36)</f>
        <v>obj_001dc#0012</v>
      </c>
      <c r="C36" s="29" t="s">
        <v>313</v>
      </c>
      <c r="D36" s="29" t="s">
        <v>459</v>
      </c>
      <c r="E36" s="29">
        <v>2</v>
      </c>
      <c r="F36" s="29" t="s">
        <v>91</v>
      </c>
      <c r="G36" s="107">
        <f>VLOOKUP(C36,ScheduleObj!$Q$2:$Z$109,6,FALSE)</f>
        <v>9000000</v>
      </c>
      <c r="H36" s="31" t="str">
        <f>VLOOKUP(C36,ScheduleObj!$Q$2:$Z$109,10,FALSE)</f>
        <v>XS2158696950Sch#0008</v>
      </c>
      <c r="I36" s="29">
        <v>2</v>
      </c>
      <c r="J36" s="29" t="b">
        <v>0</v>
      </c>
      <c r="K36" s="29" t="str">
        <f>VLOOKUP(D36,Reference!$C$2:$E$6,3,FALSE)</f>
        <v>30/360</v>
      </c>
      <c r="N36" s="31" t="str">
        <f>'ql-US-ZC'!$B$52</f>
        <v>USLIBOR3M#0012</v>
      </c>
      <c r="O36" s="39">
        <v>0</v>
      </c>
      <c r="Q36" s="29">
        <v>100</v>
      </c>
      <c r="R36" s="30">
        <f>VLOOKUP(C36,ScheduleObj!$Q$2:$Z$109,3,FALSE)</f>
        <v>43945</v>
      </c>
      <c r="S36" s="29" t="b">
        <v>0</v>
      </c>
      <c r="T36" s="39">
        <f>'ql-USCorp'!$B$5</f>
        <v>1</v>
      </c>
      <c r="U36" s="29" t="b">
        <v>1</v>
      </c>
    </row>
    <row r="37" spans="1:21" x14ac:dyDescent="0.25">
      <c r="A37" s="31" t="str">
        <f>_xll.qlFloatingRateBond(B37,C37,D37,E37,F37,G37,H37,I37,J37,K37,L37,M37,N37,O37,P37,Q37,R37,S37,T37,U37)</f>
        <v>obj_001dd#0012</v>
      </c>
      <c r="C37" s="29" t="s">
        <v>314</v>
      </c>
      <c r="D37" s="29" t="s">
        <v>459</v>
      </c>
      <c r="E37" s="29">
        <v>2</v>
      </c>
      <c r="F37" s="29" t="s">
        <v>91</v>
      </c>
      <c r="G37" s="107">
        <f>VLOOKUP(C37,ScheduleObj!$Q$2:$Z$109,6,FALSE)</f>
        <v>1000000</v>
      </c>
      <c r="H37" s="31" t="str">
        <f>VLOOKUP(C37,ScheduleObj!$Q$2:$Z$109,10,FALSE)</f>
        <v>XS2158820394Sch#0008</v>
      </c>
      <c r="I37" s="29">
        <v>2</v>
      </c>
      <c r="J37" s="29" t="b">
        <v>0</v>
      </c>
      <c r="K37" s="29" t="str">
        <f>VLOOKUP(D37,Reference!$C$2:$E$6,3,FALSE)</f>
        <v>30/360</v>
      </c>
      <c r="N37" s="31" t="str">
        <f>'ql-US-ZC'!$B$52</f>
        <v>USLIBOR3M#0012</v>
      </c>
      <c r="O37" s="39">
        <f>VLOOKUP(C37,ScheduleObj!$Q$2:$Z$109,9,FALSE)/100</f>
        <v>1.2E-2</v>
      </c>
      <c r="Q37" s="29">
        <v>100</v>
      </c>
      <c r="R37" s="30">
        <f>VLOOKUP(C37,ScheduleObj!$Q$2:$Z$109,3,FALSE)</f>
        <v>43948</v>
      </c>
      <c r="S37" s="29" t="b">
        <v>0</v>
      </c>
      <c r="T37" s="39">
        <f>'ql-USCorp'!$B$5</f>
        <v>1</v>
      </c>
      <c r="U37" s="29" t="b">
        <v>1</v>
      </c>
    </row>
    <row r="38" spans="1:21" x14ac:dyDescent="0.25">
      <c r="A38" s="31" t="str">
        <f>_xll.qlFloatingRateBond(B38,C38,D38,E38,F38,G38,H38,I38,J38,K38,L38,M38,N38,O38,P38,Q38,R38,S38,T38,U38)</f>
        <v>obj_001de#0012</v>
      </c>
      <c r="C38" s="29" t="s">
        <v>315</v>
      </c>
      <c r="D38" s="29" t="s">
        <v>459</v>
      </c>
      <c r="E38" s="29">
        <v>2</v>
      </c>
      <c r="F38" s="29" t="s">
        <v>91</v>
      </c>
      <c r="G38" s="107">
        <f>VLOOKUP(C38,ScheduleObj!$Q$2:$Z$109,6,FALSE)</f>
        <v>5000000</v>
      </c>
      <c r="H38" s="31" t="str">
        <f>VLOOKUP(C38,ScheduleObj!$Q$2:$Z$109,10,FALSE)</f>
        <v>XS2179959221Sch#0008</v>
      </c>
      <c r="I38" s="29">
        <v>2</v>
      </c>
      <c r="J38" s="29" t="b">
        <v>0</v>
      </c>
      <c r="K38" s="29" t="str">
        <f>VLOOKUP(D38,Reference!$C$2:$E$6,3,FALSE)</f>
        <v>30/360</v>
      </c>
      <c r="N38" s="31" t="str">
        <f>'ql-US-ZC'!$B$52</f>
        <v>USLIBOR3M#0012</v>
      </c>
      <c r="O38" s="39">
        <f>VLOOKUP(C38,ScheduleObj!$Q$2:$Z$109,9,FALSE)/100</f>
        <v>1.2E-2</v>
      </c>
      <c r="Q38" s="29">
        <v>100</v>
      </c>
      <c r="R38" s="30">
        <f>VLOOKUP(C38,ScheduleObj!$Q$2:$Z$109,3,FALSE)</f>
        <v>43984</v>
      </c>
      <c r="S38" s="29" t="b">
        <v>0</v>
      </c>
      <c r="T38" s="39">
        <f>'ql-USCorp'!$B$5</f>
        <v>1</v>
      </c>
      <c r="U38" s="29" t="b">
        <v>1</v>
      </c>
    </row>
    <row r="39" spans="1:21" x14ac:dyDescent="0.25">
      <c r="A39" s="31" t="str">
        <f>_xll.qlFloatingRateBond(B39,C39,D39,E39,F39,G39,H39,I39,J39,K39,L39,M39,N39,O39,P39,Q39,R39,S39,T39,U39)</f>
        <v>obj_001df#0012</v>
      </c>
      <c r="C39" s="29" t="s">
        <v>330</v>
      </c>
      <c r="D39" s="29" t="s">
        <v>459</v>
      </c>
      <c r="E39" s="29">
        <v>2</v>
      </c>
      <c r="F39" s="29" t="s">
        <v>91</v>
      </c>
      <c r="G39" s="107">
        <f>VLOOKUP(C39,ScheduleObj!$Q$2:$Z$109,6,FALSE)</f>
        <v>10000000</v>
      </c>
      <c r="H39" s="31" t="str">
        <f>VLOOKUP(C39,ScheduleObj!$Q$2:$Z$109,10,FALSE)</f>
        <v>US00182FBD78Sch#0008</v>
      </c>
      <c r="I39" s="29">
        <v>2</v>
      </c>
      <c r="J39" s="29" t="b">
        <v>0</v>
      </c>
      <c r="K39" s="29" t="str">
        <f>VLOOKUP(D39,Reference!$C$2:$E$6,3,FALSE)</f>
        <v>30/360</v>
      </c>
      <c r="N39" s="31" t="str">
        <f>'ql-US-ZC'!$B$52</f>
        <v>USLIBOR3M#0012</v>
      </c>
      <c r="O39" s="39">
        <v>0</v>
      </c>
      <c r="Q39" s="29">
        <v>100</v>
      </c>
      <c r="R39" s="30">
        <f>VLOOKUP(C39,ScheduleObj!$Q$2:$Z$109,3,FALSE)</f>
        <v>42760</v>
      </c>
      <c r="S39" s="29" t="b">
        <v>0</v>
      </c>
      <c r="T39" s="39">
        <f>'ql-USCorp'!$B$5</f>
        <v>1</v>
      </c>
      <c r="U39" s="29" t="b">
        <v>1</v>
      </c>
    </row>
    <row r="40" spans="1:21" x14ac:dyDescent="0.25">
      <c r="A40" s="31" t="str">
        <f>_xll.qlFloatingRateBond(B40,C40,D40,E40,F40,G40,H40,I40,J40,K40,L40,M40,N40,O40,P40,Q40,R40,S40,T40,U40)</f>
        <v>obj_001e0#0012</v>
      </c>
      <c r="C40" s="29" t="s">
        <v>279</v>
      </c>
      <c r="D40" s="29" t="s">
        <v>459</v>
      </c>
      <c r="E40" s="29">
        <v>2</v>
      </c>
      <c r="F40" s="29" t="s">
        <v>91</v>
      </c>
      <c r="G40" s="107">
        <f>VLOOKUP(C40,ScheduleObj!$Q$2:$Z$109,6,FALSE)</f>
        <v>3375000</v>
      </c>
      <c r="H40" s="31" t="str">
        <f>VLOOKUP(C40,ScheduleObj!$Q$2:$Z$109,10,FALSE)</f>
        <v>US00216NAB55Sch#0008</v>
      </c>
      <c r="I40" s="29">
        <v>2</v>
      </c>
      <c r="J40" s="29" t="b">
        <v>0</v>
      </c>
      <c r="K40" s="29" t="str">
        <f>VLOOKUP(D40,Reference!$C$2:$E$6,3,FALSE)</f>
        <v>30/360</v>
      </c>
      <c r="N40" s="31" t="str">
        <f>'ql-US-ZC'!$B$52</f>
        <v>USLIBOR3M#0012</v>
      </c>
      <c r="O40" s="39">
        <f>VLOOKUP(C40,ScheduleObj!$Q$2:$Z$109,9,FALSE)/100</f>
        <v>9.7000000000000003E-3</v>
      </c>
      <c r="Q40" s="29">
        <v>100</v>
      </c>
      <c r="R40" s="30">
        <f>VLOOKUP(C40,ScheduleObj!$Q$2:$Z$109,3,FALSE)</f>
        <v>43265</v>
      </c>
      <c r="S40" s="29" t="b">
        <v>0</v>
      </c>
      <c r="T40" s="39">
        <f>'ql-USCorp'!$B$5</f>
        <v>1</v>
      </c>
      <c r="U40" s="29" t="b">
        <v>1</v>
      </c>
    </row>
    <row r="41" spans="1:21" x14ac:dyDescent="0.25">
      <c r="A41" s="31" t="str">
        <f>_xll.qlFloatingRateBond(B41,C41,D41,E41,F41,G41,H41,I41,J41,K41,L41,M41,N41,O41,P41,Q41,R41,S41,T41,U41)</f>
        <v>obj_001e1#0012</v>
      </c>
      <c r="C41" s="29" t="s">
        <v>331</v>
      </c>
      <c r="D41" s="29" t="s">
        <v>459</v>
      </c>
      <c r="E41" s="29">
        <v>2</v>
      </c>
      <c r="F41" s="29" t="s">
        <v>91</v>
      </c>
      <c r="G41" s="107">
        <f>VLOOKUP(C41,ScheduleObj!$Q$2:$Z$109,6,FALSE)</f>
        <v>18000000</v>
      </c>
      <c r="H41" s="31" t="str">
        <f>VLOOKUP(C41,ScheduleObj!$Q$2:$Z$109,10,FALSE)</f>
        <v>US06675GAQ82Sch#0008</v>
      </c>
      <c r="I41" s="29">
        <v>2</v>
      </c>
      <c r="J41" s="29" t="b">
        <v>0</v>
      </c>
      <c r="K41" s="29" t="str">
        <f>VLOOKUP(D41,Reference!$C$2:$E$6,3,FALSE)</f>
        <v>30/360</v>
      </c>
      <c r="N41" s="31" t="str">
        <f>'ql-US-ZC'!$B$52</f>
        <v>USLIBOR3M#0012</v>
      </c>
      <c r="O41" s="39">
        <v>0</v>
      </c>
      <c r="Q41" s="29">
        <v>100</v>
      </c>
      <c r="R41" s="30">
        <f>VLOOKUP(C41,ScheduleObj!$Q$2:$Z$109,3,FALSE)</f>
        <v>43301</v>
      </c>
      <c r="S41" s="29" t="b">
        <v>0</v>
      </c>
      <c r="T41" s="39">
        <f>'ql-USCorp'!$B$5</f>
        <v>1</v>
      </c>
      <c r="U41" s="29" t="b">
        <v>1</v>
      </c>
    </row>
    <row r="42" spans="1:21" x14ac:dyDescent="0.25">
      <c r="A42" s="31" t="str">
        <f>_xll.qlFloatingRateBond(B42,C42,D42,E42,F42,G42,H42,I42,J42,K42,L42,M42,N42,O42,P42,Q42,R42,S42,T42,U42)</f>
        <v>obj_001e2#0012</v>
      </c>
      <c r="C42" s="29" t="s">
        <v>286</v>
      </c>
      <c r="D42" s="29" t="s">
        <v>459</v>
      </c>
      <c r="E42" s="29">
        <v>2</v>
      </c>
      <c r="F42" s="29" t="s">
        <v>91</v>
      </c>
      <c r="G42" s="107">
        <f>VLOOKUP(C42,ScheduleObj!$Q$2:$Z$109,6,FALSE)</f>
        <v>4000000</v>
      </c>
      <c r="H42" s="31" t="str">
        <f>VLOOKUP(C42,ScheduleObj!$Q$2:$Z$109,10,FALSE)</f>
        <v>US136069TZ40Sch#0008</v>
      </c>
      <c r="I42" s="29">
        <v>2</v>
      </c>
      <c r="J42" s="29" t="b">
        <v>0</v>
      </c>
      <c r="K42" s="29" t="str">
        <f>VLOOKUP(D42,Reference!$C$2:$E$6,3,FALSE)</f>
        <v>30/360</v>
      </c>
      <c r="N42" s="31" t="str">
        <f>'ql-US-ZC'!$B$52</f>
        <v>USLIBOR3M#0012</v>
      </c>
      <c r="O42" s="39">
        <f>VLOOKUP(C42,ScheduleObj!$Q$2:$Z$109,9,FALSE)/100</f>
        <v>7.1999999999999998E-3</v>
      </c>
      <c r="Q42" s="29">
        <v>100</v>
      </c>
      <c r="R42" s="30">
        <f>VLOOKUP(C42,ScheduleObj!$Q$2:$Z$109,3,FALSE)</f>
        <v>42902</v>
      </c>
      <c r="S42" s="29" t="b">
        <v>0</v>
      </c>
      <c r="T42" s="39">
        <f>'ql-USCorp'!$B$5</f>
        <v>1</v>
      </c>
      <c r="U42" s="29" t="b">
        <v>1</v>
      </c>
    </row>
    <row r="43" spans="1:21" x14ac:dyDescent="0.25">
      <c r="A43" s="31" t="str">
        <f>_xll.qlFloatingRateBond(B43,C43,D43,E43,F43,G43,H43,I43,J43,K43,L43,M43,N43,O43,P43,Q43,R43,S43,T43,U43)</f>
        <v>obj_001e3#0012</v>
      </c>
      <c r="C43" s="29" t="s">
        <v>333</v>
      </c>
      <c r="D43" s="29" t="s">
        <v>459</v>
      </c>
      <c r="E43" s="29">
        <v>2</v>
      </c>
      <c r="F43" s="29" t="s">
        <v>91</v>
      </c>
      <c r="G43" s="107">
        <f>VLOOKUP(C43,ScheduleObj!$Q$2:$Z$109,6,FALSE)</f>
        <v>1000000</v>
      </c>
      <c r="H43" s="31" t="str">
        <f>VLOOKUP(C43,ScheduleObj!$Q$2:$Z$109,10,FALSE)</f>
        <v>US2027A1JS79Sch#0008</v>
      </c>
      <c r="I43" s="29">
        <v>2</v>
      </c>
      <c r="J43" s="29" t="b">
        <v>0</v>
      </c>
      <c r="K43" s="29" t="str">
        <f>VLOOKUP(D43,Reference!$C$2:$E$6,3,FALSE)</f>
        <v>30/360</v>
      </c>
      <c r="N43" s="31" t="str">
        <f>'ql-US-ZC'!$B$52</f>
        <v>USLIBOR3M#0012</v>
      </c>
      <c r="O43" s="39">
        <f>VLOOKUP(C43,ScheduleObj!$Q$2:$Z$109,9,FALSE)/100</f>
        <v>7.1999999999999998E-3</v>
      </c>
      <c r="Q43" s="29">
        <v>100</v>
      </c>
      <c r="R43" s="30">
        <f>VLOOKUP(C43,ScheduleObj!$Q$2:$Z$109,3,FALSE)</f>
        <v>42996</v>
      </c>
      <c r="S43" s="29" t="b">
        <v>0</v>
      </c>
      <c r="T43" s="39">
        <f>'ql-USCorp'!$B$5</f>
        <v>1</v>
      </c>
      <c r="U43" s="29" t="b">
        <v>1</v>
      </c>
    </row>
    <row r="44" spans="1:21" x14ac:dyDescent="0.25">
      <c r="A44" s="31" t="str">
        <f>_xll.qlFloatingRateBond(B44,C44,D44,E44,F44,G44,H44,I44,J44,K44,L44,M44,N44,O44,P44,Q44,R44,S44,T44,U44)</f>
        <v>obj_001e4#0012</v>
      </c>
      <c r="C44" s="29" t="s">
        <v>289</v>
      </c>
      <c r="D44" s="29" t="s">
        <v>459</v>
      </c>
      <c r="E44" s="29">
        <v>2</v>
      </c>
      <c r="F44" s="29" t="s">
        <v>91</v>
      </c>
      <c r="G44" s="107">
        <f>VLOOKUP(C44,ScheduleObj!$Q$2:$Z$109,6,FALSE)</f>
        <v>10000000</v>
      </c>
      <c r="H44" s="31" t="str">
        <f>VLOOKUP(C44,ScheduleObj!$Q$2:$Z$109,10,FALSE)</f>
        <v>US21688AAM45Sch#0008</v>
      </c>
      <c r="I44" s="29">
        <v>2</v>
      </c>
      <c r="J44" s="29" t="b">
        <v>0</v>
      </c>
      <c r="K44" s="29" t="str">
        <f>VLOOKUP(D44,Reference!$C$2:$E$6,3,FALSE)</f>
        <v>30/360</v>
      </c>
      <c r="N44" s="31" t="str">
        <f>'ql-US-ZC'!$B$52</f>
        <v>USLIBOR3M#0012</v>
      </c>
      <c r="O44" s="39">
        <f>VLOOKUP(C44,ScheduleObj!$Q$2:$Z$109,9,FALSE)/100</f>
        <v>4.7999999999999996E-3</v>
      </c>
      <c r="Q44" s="29">
        <v>100</v>
      </c>
      <c r="R44" s="30">
        <f>VLOOKUP(C44,ScheduleObj!$Q$2:$Z$109,3,FALSE)</f>
        <v>43110</v>
      </c>
      <c r="S44" s="29" t="b">
        <v>0</v>
      </c>
      <c r="T44" s="39">
        <f>'ql-USCorp'!$B$5</f>
        <v>1</v>
      </c>
      <c r="U44" s="29" t="b">
        <v>1</v>
      </c>
    </row>
    <row r="45" spans="1:21" x14ac:dyDescent="0.25">
      <c r="A45" s="31" t="str">
        <f>_xll.qlFloatingRateBond(B45,C45,D45,E45,F45,G45,H45,I45,J45,K45,L45,M45,N45,O45,P45,Q45,R45,S45,T45,U45)</f>
        <v>obj_001e5#0012</v>
      </c>
      <c r="C45" s="29" t="s">
        <v>334</v>
      </c>
      <c r="D45" s="29" t="s">
        <v>459</v>
      </c>
      <c r="E45" s="29">
        <v>2</v>
      </c>
      <c r="F45" s="29" t="s">
        <v>91</v>
      </c>
      <c r="G45" s="107">
        <f>VLOOKUP(C45,ScheduleObj!$Q$2:$Z$109,6,FALSE)</f>
        <v>2000000</v>
      </c>
      <c r="H45" s="31" t="str">
        <f>VLOOKUP(C45,ScheduleObj!$Q$2:$Z$109,10,FALSE)</f>
        <v>US302154CU14Sch#0008</v>
      </c>
      <c r="I45" s="29">
        <v>2</v>
      </c>
      <c r="J45" s="29" t="b">
        <v>0</v>
      </c>
      <c r="K45" s="29" t="str">
        <f>VLOOKUP(D45,Reference!$C$2:$E$6,3,FALSE)</f>
        <v>30/360</v>
      </c>
      <c r="N45" s="31" t="str">
        <f>'ql-US-ZC'!$B$52</f>
        <v>USLIBOR3M#0012</v>
      </c>
      <c r="O45" s="39">
        <f>VLOOKUP(C45,ScheduleObj!$Q$2:$Z$109,9,FALSE)/100</f>
        <v>4.7999999999999996E-3</v>
      </c>
      <c r="Q45" s="29">
        <v>100</v>
      </c>
      <c r="R45" s="30">
        <f>VLOOKUP(C45,ScheduleObj!$Q$2:$Z$109,3,FALSE)</f>
        <v>43252</v>
      </c>
      <c r="S45" s="29" t="b">
        <v>0</v>
      </c>
      <c r="T45" s="39">
        <f>'ql-USCorp'!$B$5</f>
        <v>1</v>
      </c>
      <c r="U45" s="29" t="b">
        <v>1</v>
      </c>
    </row>
    <row r="46" spans="1:21" x14ac:dyDescent="0.25">
      <c r="A46" s="31" t="str">
        <f>_xll.qlFloatingRateBond(B46,C46,D46,E46,F46,G46,H46,I46,J46,K46,L46,M46,N46,O46,P46,Q46,R46,S46,T46,U46)</f>
        <v>obj_001e6#0012</v>
      </c>
      <c r="C46" s="29" t="s">
        <v>335</v>
      </c>
      <c r="D46" s="29" t="s">
        <v>459</v>
      </c>
      <c r="E46" s="29">
        <v>2</v>
      </c>
      <c r="F46" s="29" t="s">
        <v>91</v>
      </c>
      <c r="G46" s="107">
        <f>VLOOKUP(C46,ScheduleObj!$Q$2:$Z$109,6,FALSE)</f>
        <v>5000000</v>
      </c>
      <c r="H46" s="31" t="str">
        <f>VLOOKUP(C46,ScheduleObj!$Q$2:$Z$109,10,FALSE)</f>
        <v>US302154CX52Sch#0008</v>
      </c>
      <c r="I46" s="29">
        <v>2</v>
      </c>
      <c r="J46" s="29" t="b">
        <v>0</v>
      </c>
      <c r="K46" s="29" t="str">
        <f>VLOOKUP(D46,Reference!$C$2:$E$6,3,FALSE)</f>
        <v>30/360</v>
      </c>
      <c r="N46" s="31" t="str">
        <f>'ql-US-ZC'!$B$52</f>
        <v>USLIBOR3M#0012</v>
      </c>
      <c r="O46" s="39">
        <f>VLOOKUP(C46,ScheduleObj!$Q$2:$Z$109,9,FALSE)/100</f>
        <v>7.7499999999999999E-3</v>
      </c>
      <c r="Q46" s="29">
        <v>100</v>
      </c>
      <c r="R46" s="30">
        <f>VLOOKUP(C46,ScheduleObj!$Q$2:$Z$109,3,FALSE)</f>
        <v>43641</v>
      </c>
      <c r="S46" s="29" t="b">
        <v>0</v>
      </c>
      <c r="T46" s="39">
        <f>'ql-USCorp'!$B$5</f>
        <v>1</v>
      </c>
      <c r="U46" s="29" t="b">
        <v>1</v>
      </c>
    </row>
    <row r="47" spans="1:21" x14ac:dyDescent="0.25">
      <c r="A47" s="31" t="str">
        <f>_xll.qlFloatingRateBond(B47,C47,D47,E47,F47,G47,H47,I47,J47,K47,L47,M47,N47,O47,P47,Q47,R47,S47,T47,U47)</f>
        <v>obj_001e7#0012</v>
      </c>
      <c r="C47" s="29" t="s">
        <v>336</v>
      </c>
      <c r="D47" s="29" t="s">
        <v>459</v>
      </c>
      <c r="E47" s="29">
        <v>2</v>
      </c>
      <c r="F47" s="29" t="s">
        <v>91</v>
      </c>
      <c r="G47" s="107">
        <f>VLOOKUP(C47,ScheduleObj!$Q$2:$Z$109,6,FALSE)</f>
        <v>15000000</v>
      </c>
      <c r="H47" s="31" t="str">
        <f>VLOOKUP(C47,ScheduleObj!$Q$2:$Z$109,10,FALSE)</f>
        <v>US6325C1CK33Sch#0008</v>
      </c>
      <c r="I47" s="29">
        <v>2</v>
      </c>
      <c r="J47" s="29" t="b">
        <v>0</v>
      </c>
      <c r="K47" s="29" t="str">
        <f>VLOOKUP(D47,Reference!$C$2:$E$6,3,FALSE)</f>
        <v>30/360</v>
      </c>
      <c r="N47" s="31" t="str">
        <f>'ql-US-ZC'!$B$52</f>
        <v>USLIBOR3M#0012</v>
      </c>
      <c r="O47" s="39">
        <f>VLOOKUP(C47,ScheduleObj!$Q$2:$Z$109,9,FALSE)/100</f>
        <v>5.2500000000000003E-3</v>
      </c>
      <c r="Q47" s="29">
        <v>100</v>
      </c>
      <c r="R47" s="30">
        <f>VLOOKUP(C47,ScheduleObj!$Q$2:$Z$109,3,FALSE)</f>
        <v>42745</v>
      </c>
      <c r="S47" s="29" t="b">
        <v>0</v>
      </c>
      <c r="T47" s="39">
        <f>'ql-USCorp'!$B$5</f>
        <v>1</v>
      </c>
      <c r="U47" s="29" t="b">
        <v>1</v>
      </c>
    </row>
    <row r="48" spans="1:21" x14ac:dyDescent="0.25">
      <c r="A48" s="31" t="str">
        <f>_xll.qlFloatingRateBond(B48,C48,D48,E48,F48,G48,H48,I48,J48,K48,L48,M48,N48,O48,P48,Q48,R48,S48,T48,U48)</f>
        <v>obj_001e8#0012</v>
      </c>
      <c r="C48" s="29" t="s">
        <v>337</v>
      </c>
      <c r="D48" s="29" t="s">
        <v>459</v>
      </c>
      <c r="E48" s="29">
        <v>2</v>
      </c>
      <c r="F48" s="29" t="s">
        <v>91</v>
      </c>
      <c r="G48" s="107">
        <f>VLOOKUP(C48,ScheduleObj!$Q$2:$Z$109,6,FALSE)</f>
        <v>10000000</v>
      </c>
      <c r="H48" s="31" t="str">
        <f>VLOOKUP(C48,ScheduleObj!$Q$2:$Z$109,10,FALSE)</f>
        <v>US82460EAP51Sch#0008</v>
      </c>
      <c r="I48" s="29">
        <v>2</v>
      </c>
      <c r="J48" s="29" t="b">
        <v>0</v>
      </c>
      <c r="K48" s="29" t="str">
        <f>VLOOKUP(D48,Reference!$C$2:$E$6,3,FALSE)</f>
        <v>30/360</v>
      </c>
      <c r="N48" s="31" t="str">
        <f>'ql-US-ZC'!$B$52</f>
        <v>USLIBOR3M#0012</v>
      </c>
      <c r="O48" s="39">
        <f>VLOOKUP(C48,ScheduleObj!$Q$2:$Z$109,9,FALSE)/100</f>
        <v>8.8999999999999999E-3</v>
      </c>
      <c r="Q48" s="29">
        <v>100</v>
      </c>
      <c r="R48" s="30">
        <f>VLOOKUP(C48,ScheduleObj!$Q$2:$Z$109,3,FALSE)</f>
        <v>43945</v>
      </c>
      <c r="S48" s="29" t="b">
        <v>0</v>
      </c>
      <c r="T48" s="39">
        <f>'ql-USCorp'!$B$5</f>
        <v>1</v>
      </c>
      <c r="U48" s="29" t="b">
        <v>1</v>
      </c>
    </row>
    <row r="49" spans="1:21" x14ac:dyDescent="0.25">
      <c r="A49" s="31" t="str">
        <f>_xll.qlFloatingRateBond(B49,C49,D49,E49,F49,G49,H49,I49,J49,K49,L49,M49,N49,O49,P49,Q49,R49,S49,T49,U49)</f>
        <v>obj_001e9#0012</v>
      </c>
      <c r="C49" s="29" t="s">
        <v>303</v>
      </c>
      <c r="D49" s="29" t="s">
        <v>459</v>
      </c>
      <c r="E49" s="29">
        <v>2</v>
      </c>
      <c r="F49" s="29" t="s">
        <v>91</v>
      </c>
      <c r="G49" s="107">
        <f>VLOOKUP(C49,ScheduleObj!$Q$2:$Z$109,6,FALSE)</f>
        <v>20000000</v>
      </c>
      <c r="H49" s="31" t="str">
        <f>VLOOKUP(C49,ScheduleObj!$Q$2:$Z$109,10,FALSE)</f>
        <v>XS1624141435Sch#0008</v>
      </c>
      <c r="I49" s="29">
        <v>2</v>
      </c>
      <c r="J49" s="29" t="b">
        <v>0</v>
      </c>
      <c r="K49" s="29" t="str">
        <f>VLOOKUP(D49,Reference!$C$2:$E$6,3,FALSE)</f>
        <v>30/360</v>
      </c>
      <c r="N49" s="31" t="str">
        <f>'ql-US-ZC'!$B$52</f>
        <v>USLIBOR3M#0012</v>
      </c>
      <c r="O49" s="39">
        <f>VLOOKUP(C49,ScheduleObj!$Q$2:$Z$109,9,FALSE)/100</f>
        <v>9.4999999999999998E-3</v>
      </c>
      <c r="Q49" s="29">
        <v>100</v>
      </c>
      <c r="R49" s="30">
        <f>VLOOKUP(C49,ScheduleObj!$Q$2:$Z$109,3,FALSE)</f>
        <v>42895</v>
      </c>
      <c r="S49" s="29" t="b">
        <v>0</v>
      </c>
      <c r="T49" s="39">
        <f>'ql-USCorp'!$B$5</f>
        <v>1</v>
      </c>
      <c r="U49" s="29" t="b">
        <v>1</v>
      </c>
    </row>
    <row r="50" spans="1:21" x14ac:dyDescent="0.25">
      <c r="A50" s="31" t="str">
        <f>_xll.qlFloatingRateBond(B50,C50,D50,E50,F50,G50,H50,I50,J50,K50,L50,M50,N50,O50,P50,Q50,R50,S50,T50,U50)</f>
        <v>obj_001ea#0012</v>
      </c>
      <c r="C50" s="29" t="s">
        <v>304</v>
      </c>
      <c r="D50" s="29" t="s">
        <v>459</v>
      </c>
      <c r="E50" s="29">
        <v>2</v>
      </c>
      <c r="F50" s="29" t="s">
        <v>91</v>
      </c>
      <c r="G50" s="107">
        <f>VLOOKUP(C50,ScheduleObj!$Q$2:$Z$109,6,FALSE)</f>
        <v>10000000</v>
      </c>
      <c r="H50" s="31" t="str">
        <f>VLOOKUP(C50,ScheduleObj!$Q$2:$Z$109,10,FALSE)</f>
        <v>XS1637362507Sch#0008</v>
      </c>
      <c r="I50" s="29">
        <v>2</v>
      </c>
      <c r="J50" s="29" t="b">
        <v>0</v>
      </c>
      <c r="K50" s="29" t="str">
        <f>VLOOKUP(D50,Reference!$C$2:$E$6,3,FALSE)</f>
        <v>30/360</v>
      </c>
      <c r="N50" s="31" t="str">
        <f>'ql-US-ZC'!$B$52</f>
        <v>USLIBOR3M#0012</v>
      </c>
      <c r="O50" s="39">
        <f>VLOOKUP(C50,ScheduleObj!$Q$2:$Z$109,9,FALSE)/100</f>
        <v>8.0000000000000002E-3</v>
      </c>
      <c r="Q50" s="29">
        <v>100</v>
      </c>
      <c r="R50" s="30">
        <f>VLOOKUP(C50,ScheduleObj!$Q$2:$Z$109,3,FALSE)</f>
        <v>42921</v>
      </c>
      <c r="S50" s="29" t="b">
        <v>0</v>
      </c>
      <c r="T50" s="39">
        <f>'ql-USCorp'!$B$5</f>
        <v>1</v>
      </c>
      <c r="U50" s="29" t="b">
        <v>1</v>
      </c>
    </row>
    <row r="51" spans="1:21" x14ac:dyDescent="0.25">
      <c r="A51" s="31" t="str">
        <f>_xll.qlFloatingRateBond(B51,C51,D51,E51,F51,G51,H51,I51,J51,K51,L51,M51,N51,O51,P51,Q51,R51,S51,T51,U51)</f>
        <v>obj_001eb#0012</v>
      </c>
      <c r="C51" s="29" t="s">
        <v>340</v>
      </c>
      <c r="D51" s="29" t="s">
        <v>459</v>
      </c>
      <c r="E51" s="29">
        <v>2</v>
      </c>
      <c r="F51" s="29" t="s">
        <v>91</v>
      </c>
      <c r="G51" s="107">
        <f>VLOOKUP(C51,ScheduleObj!$Q$2:$Z$109,6,FALSE)</f>
        <v>25000000</v>
      </c>
      <c r="H51" s="31" t="str">
        <f>VLOOKUP(C51,ScheduleObj!$Q$2:$Z$109,10,FALSE)</f>
        <v>XS1645476125Sch#0008</v>
      </c>
      <c r="I51" s="29">
        <v>2</v>
      </c>
      <c r="J51" s="29" t="b">
        <v>0</v>
      </c>
      <c r="K51" s="29" t="str">
        <f>VLOOKUP(D51,Reference!$C$2:$E$6,3,FALSE)</f>
        <v>30/360</v>
      </c>
      <c r="N51" s="31" t="str">
        <f>'ql-US-ZC'!$B$52</f>
        <v>USLIBOR3M#0012</v>
      </c>
      <c r="O51" s="39">
        <f>VLOOKUP(C51,ScheduleObj!$Q$2:$Z$109,9,FALSE)/100</f>
        <v>8.0000000000000002E-3</v>
      </c>
      <c r="Q51" s="29">
        <v>100</v>
      </c>
      <c r="R51" s="30">
        <f>VLOOKUP(C51,ScheduleObj!$Q$2:$Z$109,3,FALSE)</f>
        <v>42935</v>
      </c>
      <c r="S51" s="29" t="b">
        <v>0</v>
      </c>
      <c r="T51" s="39">
        <f>'ql-USCorp'!$B$5</f>
        <v>1</v>
      </c>
      <c r="U51" s="29" t="b">
        <v>1</v>
      </c>
    </row>
    <row r="52" spans="1:21" x14ac:dyDescent="0.25">
      <c r="A52" s="31" t="str">
        <f>_xll.qlFloatingRateBond(B52,C52,D52,E52,F52,G52,H52,I52,J52,K52,L52,M52,N52,O52,P52,Q52,R52,S52,T52,U52)</f>
        <v>obj_001ec#0012</v>
      </c>
      <c r="C52" s="29" t="s">
        <v>341</v>
      </c>
      <c r="D52" s="29" t="s">
        <v>459</v>
      </c>
      <c r="E52" s="29">
        <v>2</v>
      </c>
      <c r="F52" s="29" t="s">
        <v>91</v>
      </c>
      <c r="G52" s="107">
        <f>VLOOKUP(C52,ScheduleObj!$Q$2:$Z$109,6,FALSE)</f>
        <v>15000000</v>
      </c>
      <c r="H52" s="31" t="str">
        <f>VLOOKUP(C52,ScheduleObj!$Q$2:$Z$109,10,FALSE)</f>
        <v>XS1678969798Sch#0008</v>
      </c>
      <c r="I52" s="29">
        <v>2</v>
      </c>
      <c r="J52" s="29" t="b">
        <v>0</v>
      </c>
      <c r="K52" s="29" t="str">
        <f>VLOOKUP(D52,Reference!$C$2:$E$6,3,FALSE)</f>
        <v>30/360</v>
      </c>
      <c r="N52" s="31" t="str">
        <f>'ql-US-ZC'!$B$52</f>
        <v>USLIBOR3M#0012</v>
      </c>
      <c r="O52" s="39">
        <f>VLOOKUP(C52,ScheduleObj!$Q$2:$Z$109,9,FALSE)/100</f>
        <v>8.0000000000000002E-3</v>
      </c>
      <c r="Q52" s="29">
        <v>100</v>
      </c>
      <c r="R52" s="30">
        <f>VLOOKUP(C52,ScheduleObj!$Q$2:$Z$109,3,FALSE)</f>
        <v>42992</v>
      </c>
      <c r="S52" s="29" t="b">
        <v>0</v>
      </c>
      <c r="T52" s="39">
        <f>'ql-USCorp'!$B$5</f>
        <v>1</v>
      </c>
      <c r="U52" s="29" t="b">
        <v>1</v>
      </c>
    </row>
    <row r="53" spans="1:21" x14ac:dyDescent="0.25">
      <c r="A53" s="31" t="str">
        <f>_xll.qlFloatingRateBond(B53,C53,D53,E53,F53,G53,H53,I53,J53,K53,L53,M53,N53,O53,P53,Q53,R53,S53,T53,U53)</f>
        <v>obj_001ed#0012</v>
      </c>
      <c r="C53" s="29" t="s">
        <v>342</v>
      </c>
      <c r="D53" s="29" t="s">
        <v>459</v>
      </c>
      <c r="E53" s="29">
        <v>2</v>
      </c>
      <c r="F53" s="29" t="s">
        <v>91</v>
      </c>
      <c r="G53" s="107">
        <f>VLOOKUP(C53,ScheduleObj!$Q$2:$Z$109,6,FALSE)</f>
        <v>10000000</v>
      </c>
      <c r="H53" s="31" t="str">
        <f>VLOOKUP(C53,ScheduleObj!$Q$2:$Z$109,10,FALSE)</f>
        <v>XS1804840194Sch#0008</v>
      </c>
      <c r="I53" s="29">
        <v>2</v>
      </c>
      <c r="J53" s="29" t="b">
        <v>0</v>
      </c>
      <c r="K53" s="29" t="str">
        <f>VLOOKUP(D53,Reference!$C$2:$E$6,3,FALSE)</f>
        <v>30/360</v>
      </c>
      <c r="N53" s="31" t="str">
        <f>'ql-US-ZC'!$B$52</f>
        <v>USLIBOR3M#0012</v>
      </c>
      <c r="O53" s="39">
        <f>VLOOKUP(C53,ScheduleObj!$Q$2:$Z$109,9,FALSE)/100</f>
        <v>8.7500000000000008E-3</v>
      </c>
      <c r="Q53" s="29">
        <v>100</v>
      </c>
      <c r="R53" s="30">
        <f>VLOOKUP(C53,ScheduleObj!$Q$2:$Z$109,3,FALSE)</f>
        <v>43207</v>
      </c>
      <c r="S53" s="29" t="b">
        <v>0</v>
      </c>
      <c r="T53" s="39">
        <f>'ql-USCorp'!$B$5</f>
        <v>1</v>
      </c>
      <c r="U53" s="29" t="b">
        <v>1</v>
      </c>
    </row>
    <row r="54" spans="1:21" x14ac:dyDescent="0.25">
      <c r="A54" s="31" t="str">
        <f>_xll.qlFloatingRateBond(B54,C54,D54,E54,F54,G54,H54,I54,J54,K54,L54,M54,N54,O54,P54,Q54,R54,S54,T54,U54)</f>
        <v>obj_001ee#0012</v>
      </c>
      <c r="C54" s="29" t="s">
        <v>343</v>
      </c>
      <c r="D54" s="29" t="s">
        <v>459</v>
      </c>
      <c r="E54" s="29">
        <v>2</v>
      </c>
      <c r="F54" s="29" t="s">
        <v>91</v>
      </c>
      <c r="G54" s="107">
        <f>VLOOKUP(C54,ScheduleObj!$Q$2:$Z$109,6,FALSE)</f>
        <v>20000000</v>
      </c>
      <c r="H54" s="31" t="str">
        <f>VLOOKUP(C54,ScheduleObj!$Q$2:$Z$109,10,FALSE)</f>
        <v>XS1805611966Sch#0008</v>
      </c>
      <c r="I54" s="29">
        <v>2</v>
      </c>
      <c r="J54" s="29" t="b">
        <v>0</v>
      </c>
      <c r="K54" s="29" t="str">
        <f>VLOOKUP(D54,Reference!$C$2:$E$6,3,FALSE)</f>
        <v>30/360</v>
      </c>
      <c r="N54" s="31" t="str">
        <f>'ql-US-ZC'!$B$52</f>
        <v>USLIBOR3M#0012</v>
      </c>
      <c r="O54" s="39">
        <f>VLOOKUP(C54,ScheduleObj!$Q$2:$Z$109,9,FALSE)/100</f>
        <v>8.5000000000000006E-3</v>
      </c>
      <c r="Q54" s="29">
        <v>100</v>
      </c>
      <c r="R54" s="30">
        <f>VLOOKUP(C54,ScheduleObj!$Q$2:$Z$109,3,FALSE)</f>
        <v>43206</v>
      </c>
      <c r="S54" s="29" t="b">
        <v>0</v>
      </c>
      <c r="T54" s="39">
        <f>'ql-USCorp'!$B$5</f>
        <v>1</v>
      </c>
      <c r="U54" s="29" t="b">
        <v>1</v>
      </c>
    </row>
    <row r="55" spans="1:21" x14ac:dyDescent="0.25">
      <c r="A55" s="31" t="str">
        <f>_xll.qlFloatingRateBond(B55,C55,D55,E55,F55,G55,H55,I55,J55,K55,L55,M55,N55,O55,P55,Q55,R55,S55,T55,U55)</f>
        <v>obj_001ef#0012</v>
      </c>
      <c r="C55" s="29" t="s">
        <v>344</v>
      </c>
      <c r="D55" s="29" t="s">
        <v>459</v>
      </c>
      <c r="E55" s="29">
        <v>2</v>
      </c>
      <c r="F55" s="29" t="s">
        <v>91</v>
      </c>
      <c r="G55" s="107">
        <f>VLOOKUP(C55,ScheduleObj!$Q$2:$Z$109,6,FALSE)</f>
        <v>10000000</v>
      </c>
      <c r="H55" s="31" t="str">
        <f>VLOOKUP(C55,ScheduleObj!$Q$2:$Z$109,10,FALSE)</f>
        <v>XS1838931811Sch#0008</v>
      </c>
      <c r="I55" s="29">
        <v>2</v>
      </c>
      <c r="J55" s="29" t="b">
        <v>0</v>
      </c>
      <c r="K55" s="29" t="str">
        <f>VLOOKUP(D55,Reference!$C$2:$E$6,3,FALSE)</f>
        <v>30/360</v>
      </c>
      <c r="N55" s="31" t="str">
        <f>'ql-US-ZC'!$B$52</f>
        <v>USLIBOR3M#0012</v>
      </c>
      <c r="O55" s="39">
        <f>VLOOKUP(C55,ScheduleObj!$Q$2:$Z$109,9,FALSE)/100</f>
        <v>8.5000000000000006E-3</v>
      </c>
      <c r="Q55" s="29">
        <v>100</v>
      </c>
      <c r="R55" s="30">
        <f>VLOOKUP(C55,ScheduleObj!$Q$2:$Z$109,3,FALSE)</f>
        <v>43266</v>
      </c>
      <c r="S55" s="29" t="b">
        <v>0</v>
      </c>
      <c r="T55" s="39">
        <f>'ql-USCorp'!$B$5</f>
        <v>1</v>
      </c>
      <c r="U55" s="29" t="b">
        <v>1</v>
      </c>
    </row>
    <row r="56" spans="1:21" x14ac:dyDescent="0.25">
      <c r="A56" s="31" t="str">
        <f>_xll.qlFloatingRateBond(B56,C56,D56,E56,F56,G56,H56,I56,J56,K56,L56,M56,N56,O56,P56,Q56,R56,S56,T56,U56)</f>
        <v>obj_001f0#0012</v>
      </c>
      <c r="C56" s="29" t="s">
        <v>345</v>
      </c>
      <c r="D56" s="29" t="s">
        <v>459</v>
      </c>
      <c r="E56" s="29">
        <v>2</v>
      </c>
      <c r="F56" s="29" t="s">
        <v>91</v>
      </c>
      <c r="G56" s="107">
        <f>VLOOKUP(C56,ScheduleObj!$Q$2:$Z$109,6,FALSE)</f>
        <v>5000000</v>
      </c>
      <c r="H56" s="31" t="str">
        <f>VLOOKUP(C56,ScheduleObj!$Q$2:$Z$109,10,FALSE)</f>
        <v>XS1857641333Sch#0008</v>
      </c>
      <c r="I56" s="29">
        <v>2</v>
      </c>
      <c r="J56" s="29" t="b">
        <v>0</v>
      </c>
      <c r="K56" s="29" t="str">
        <f>VLOOKUP(D56,Reference!$C$2:$E$6,3,FALSE)</f>
        <v>30/360</v>
      </c>
      <c r="N56" s="31" t="str">
        <f>'ql-US-ZC'!$B$52</f>
        <v>USLIBOR3M#0012</v>
      </c>
      <c r="O56" s="39">
        <f>VLOOKUP(C56,ScheduleObj!$Q$2:$Z$109,9,FALSE)/100</f>
        <v>8.0000000000000002E-3</v>
      </c>
      <c r="Q56" s="29">
        <v>100</v>
      </c>
      <c r="R56" s="30">
        <f>VLOOKUP(C56,ScheduleObj!$Q$2:$Z$109,3,FALSE)</f>
        <v>43307</v>
      </c>
      <c r="S56" s="29" t="b">
        <v>0</v>
      </c>
      <c r="T56" s="39">
        <f>'ql-USCorp'!$B$5</f>
        <v>1</v>
      </c>
      <c r="U56" s="29" t="b">
        <v>1</v>
      </c>
    </row>
    <row r="57" spans="1:21" x14ac:dyDescent="0.25">
      <c r="A57" s="31" t="str">
        <f>_xll.qlFloatingRateBond(B57,C57,D57,E57,F57,G57,H57,I57,J57,K57,L57,M57,N57,O57,P57,Q57,R57,S57,T57,U57)</f>
        <v>obj_001f1#0012</v>
      </c>
      <c r="C57" s="29" t="s">
        <v>307</v>
      </c>
      <c r="D57" s="29" t="s">
        <v>459</v>
      </c>
      <c r="E57" s="29">
        <v>2</v>
      </c>
      <c r="F57" s="29" t="s">
        <v>91</v>
      </c>
      <c r="G57" s="107">
        <f>VLOOKUP(C57,ScheduleObj!$Q$2:$Z$109,6,FALSE)</f>
        <v>5000000</v>
      </c>
      <c r="H57" s="31" t="str">
        <f>VLOOKUP(C57,ScheduleObj!$Q$2:$Z$109,10,FALSE)</f>
        <v>XS1935188422Sch#0008</v>
      </c>
      <c r="I57" s="29">
        <v>2</v>
      </c>
      <c r="J57" s="29" t="b">
        <v>0</v>
      </c>
      <c r="K57" s="29" t="str">
        <f>VLOOKUP(D57,Reference!$C$2:$E$6,3,FALSE)</f>
        <v>30/360</v>
      </c>
      <c r="N57" s="31" t="str">
        <f>'ql-US-ZC'!$B$52</f>
        <v>USLIBOR3M#0012</v>
      </c>
      <c r="O57" s="39">
        <f>VLOOKUP(C57,ScheduleObj!$Q$2:$Z$109,9,FALSE)/100</f>
        <v>8.3000000000000001E-3</v>
      </c>
      <c r="Q57" s="29">
        <v>100</v>
      </c>
      <c r="R57" s="30">
        <f>VLOOKUP(C57,ScheduleObj!$Q$2:$Z$109,3,FALSE)</f>
        <v>43627</v>
      </c>
      <c r="S57" s="29" t="b">
        <v>0</v>
      </c>
      <c r="T57" s="39">
        <f>'ql-USCorp'!$B$5</f>
        <v>1</v>
      </c>
      <c r="U57" s="29" t="b">
        <v>1</v>
      </c>
    </row>
    <row r="58" spans="1:21" x14ac:dyDescent="0.25">
      <c r="A58" s="31" t="str">
        <f>_xll.qlFloatingRateBond(B58,C58,D58,E58,F58,G58,H58,I58,J58,K58,L58,M58,N58,O58,P58,Q58,R58,S58,T58,U58)</f>
        <v>obj_001f2#0012</v>
      </c>
      <c r="C58" s="29" t="s">
        <v>346</v>
      </c>
      <c r="D58" s="29" t="s">
        <v>459</v>
      </c>
      <c r="E58" s="29">
        <v>2</v>
      </c>
      <c r="F58" s="29" t="s">
        <v>91</v>
      </c>
      <c r="G58" s="107">
        <f>VLOOKUP(C58,ScheduleObj!$Q$2:$Z$109,6,FALSE)</f>
        <v>10000000</v>
      </c>
      <c r="H58" s="31" t="str">
        <f>VLOOKUP(C58,ScheduleObj!$Q$2:$Z$109,10,FALSE)</f>
        <v>XS1961939797Sch#0008</v>
      </c>
      <c r="I58" s="29">
        <v>2</v>
      </c>
      <c r="J58" s="29" t="b">
        <v>0</v>
      </c>
      <c r="K58" s="29" t="str">
        <f>VLOOKUP(D58,Reference!$C$2:$E$6,3,FALSE)</f>
        <v>30/360</v>
      </c>
      <c r="N58" s="31" t="str">
        <f>'ql-US-ZC'!$B$52</f>
        <v>USLIBOR3M#0012</v>
      </c>
      <c r="O58" s="39">
        <f>VLOOKUP(C58,ScheduleObj!$Q$2:$Z$109,9,FALSE)/100</f>
        <v>8.3000000000000001E-3</v>
      </c>
      <c r="Q58" s="29">
        <v>100</v>
      </c>
      <c r="R58" s="30">
        <f>VLOOKUP(C58,ScheduleObj!$Q$2:$Z$109,3,FALSE)</f>
        <v>43545</v>
      </c>
      <c r="S58" s="29" t="b">
        <v>0</v>
      </c>
      <c r="T58" s="39">
        <f>'ql-USCorp'!$B$5</f>
        <v>1</v>
      </c>
      <c r="U58" s="29" t="b">
        <v>1</v>
      </c>
    </row>
    <row r="59" spans="1:21" x14ac:dyDescent="0.25">
      <c r="A59" s="31" t="str">
        <f>_xll.qlFloatingRateBond(B59,C59,D59,E59,F59,G59,H59,I59,J59,K59,L59,M59,N59,O59,P59,Q59,R59,S59,T59,U59)</f>
        <v>obj_001f3#0012</v>
      </c>
      <c r="C59" s="29" t="s">
        <v>347</v>
      </c>
      <c r="D59" s="29" t="s">
        <v>459</v>
      </c>
      <c r="E59" s="29">
        <v>2</v>
      </c>
      <c r="F59" s="29" t="s">
        <v>91</v>
      </c>
      <c r="G59" s="107">
        <f>VLOOKUP(C59,ScheduleObj!$Q$2:$Z$109,6,FALSE)</f>
        <v>3000000</v>
      </c>
      <c r="H59" s="31" t="str">
        <f>VLOOKUP(C59,ScheduleObj!$Q$2:$Z$109,10,FALSE)</f>
        <v>XS1982691153Sch#0008</v>
      </c>
      <c r="I59" s="29">
        <v>2</v>
      </c>
      <c r="J59" s="29" t="b">
        <v>0</v>
      </c>
      <c r="K59" s="29" t="str">
        <f>VLOOKUP(D59,Reference!$C$2:$E$6,3,FALSE)</f>
        <v>30/360</v>
      </c>
      <c r="N59" s="31" t="str">
        <f>'ql-US-ZC'!$B$52</f>
        <v>USLIBOR3M#0012</v>
      </c>
      <c r="O59" s="39">
        <f>VLOOKUP(C59,ScheduleObj!$Q$2:$Z$109,9,FALSE)/100</f>
        <v>7.8000000000000005E-3</v>
      </c>
      <c r="Q59" s="29">
        <v>100</v>
      </c>
      <c r="R59" s="30">
        <f>VLOOKUP(C59,ScheduleObj!$Q$2:$Z$109,3,FALSE)</f>
        <v>43580</v>
      </c>
      <c r="S59" s="29" t="b">
        <v>0</v>
      </c>
      <c r="T59" s="39">
        <f>'ql-USCorp'!$B$5</f>
        <v>1</v>
      </c>
      <c r="U59" s="29" t="b">
        <v>1</v>
      </c>
    </row>
    <row r="60" spans="1:21" x14ac:dyDescent="0.25">
      <c r="A60" s="31" t="str">
        <f>_xll.qlFloatingRateBond(B60,C60,D60,E60,F60,G60,H60,I60,J60,K60,L60,M60,N60,O60,P60,Q60,R60,S60,T60,U60)</f>
        <v>obj_001f4#0012</v>
      </c>
      <c r="C60" s="29" t="s">
        <v>348</v>
      </c>
      <c r="D60" s="29" t="s">
        <v>459</v>
      </c>
      <c r="E60" s="29">
        <v>2</v>
      </c>
      <c r="F60" s="29" t="s">
        <v>91</v>
      </c>
      <c r="G60" s="107">
        <f>VLOOKUP(C60,ScheduleObj!$Q$2:$Z$109,6,FALSE)</f>
        <v>3000000</v>
      </c>
      <c r="H60" s="31" t="str">
        <f>VLOOKUP(C60,ScheduleObj!$Q$2:$Z$109,10,FALSE)</f>
        <v>XS1987800650Sch#0008</v>
      </c>
      <c r="I60" s="29">
        <v>2</v>
      </c>
      <c r="J60" s="29" t="b">
        <v>0</v>
      </c>
      <c r="K60" s="29" t="str">
        <f>VLOOKUP(D60,Reference!$C$2:$E$6,3,FALSE)</f>
        <v>30/360</v>
      </c>
      <c r="N60" s="31" t="str">
        <f>'ql-US-ZC'!$B$52</f>
        <v>USLIBOR3M#0012</v>
      </c>
      <c r="O60" s="39">
        <f>VLOOKUP(C60,ScheduleObj!$Q$2:$Z$109,9,FALSE)/100</f>
        <v>8.3000000000000001E-3</v>
      </c>
      <c r="Q60" s="29">
        <v>100</v>
      </c>
      <c r="R60" s="30">
        <f>VLOOKUP(C60,ScheduleObj!$Q$2:$Z$109,3,FALSE)</f>
        <v>43606</v>
      </c>
      <c r="S60" s="29" t="b">
        <v>0</v>
      </c>
      <c r="T60" s="39">
        <f>'ql-USCorp'!$B$5</f>
        <v>1</v>
      </c>
      <c r="U60" s="29" t="b">
        <v>1</v>
      </c>
    </row>
    <row r="61" spans="1:21" x14ac:dyDescent="0.25">
      <c r="A61" s="31" t="str">
        <f>_xll.qlFloatingRateBond(B61,C61,D61,E61,F61,G61,H61,I61,J61,K61,L61,M61,N61,O61,P61,Q61,R61,S61,T61,U61)</f>
        <v>obj_001f5#0012</v>
      </c>
      <c r="C61" s="29" t="s">
        <v>349</v>
      </c>
      <c r="D61" s="29" t="s">
        <v>459</v>
      </c>
      <c r="E61" s="29">
        <v>2</v>
      </c>
      <c r="F61" s="29" t="s">
        <v>91</v>
      </c>
      <c r="G61" s="107">
        <f>VLOOKUP(C61,ScheduleObj!$Q$2:$Z$109,6,FALSE)</f>
        <v>10000000</v>
      </c>
      <c r="H61" s="31" t="str">
        <f>VLOOKUP(C61,ScheduleObj!$Q$2:$Z$109,10,FALSE)</f>
        <v>XS2035552889Sch#0008</v>
      </c>
      <c r="I61" s="29">
        <v>2</v>
      </c>
      <c r="J61" s="29" t="b">
        <v>0</v>
      </c>
      <c r="K61" s="29" t="str">
        <f>VLOOKUP(D61,Reference!$C$2:$E$6,3,FALSE)</f>
        <v>30/360</v>
      </c>
      <c r="N61" s="31" t="str">
        <f>'ql-US-ZC'!$B$52</f>
        <v>USLIBOR3M#0012</v>
      </c>
      <c r="O61" s="39">
        <f>VLOOKUP(C61,ScheduleObj!$Q$2:$Z$109,9,FALSE)/100</f>
        <v>7.7000000000000002E-3</v>
      </c>
      <c r="Q61" s="29">
        <v>100</v>
      </c>
      <c r="R61" s="30">
        <f>VLOOKUP(C61,ScheduleObj!$Q$2:$Z$109,3,FALSE)</f>
        <v>43693</v>
      </c>
      <c r="S61" s="29" t="b">
        <v>0</v>
      </c>
      <c r="T61" s="39">
        <f>'ql-USCorp'!$B$5</f>
        <v>1</v>
      </c>
      <c r="U61" s="29" t="b">
        <v>1</v>
      </c>
    </row>
    <row r="62" spans="1:21" x14ac:dyDescent="0.25">
      <c r="G62" s="31"/>
    </row>
    <row r="63" spans="1:21" x14ac:dyDescent="0.25">
      <c r="G63" s="31"/>
    </row>
    <row r="64" spans="1:21" x14ac:dyDescent="0.25">
      <c r="G64" s="31"/>
    </row>
    <row r="65" spans="7:7" x14ac:dyDescent="0.25">
      <c r="G65" s="31"/>
    </row>
    <row r="66" spans="7:7" x14ac:dyDescent="0.25">
      <c r="G66" s="31"/>
    </row>
    <row r="67" spans="7:7" x14ac:dyDescent="0.25">
      <c r="G67" s="31"/>
    </row>
    <row r="68" spans="7:7" x14ac:dyDescent="0.25">
      <c r="G68" s="31"/>
    </row>
    <row r="69" spans="7:7" x14ac:dyDescent="0.25">
      <c r="G69" s="31"/>
    </row>
    <row r="70" spans="7:7" x14ac:dyDescent="0.25">
      <c r="G70" s="31"/>
    </row>
    <row r="71" spans="7:7" x14ac:dyDescent="0.25">
      <c r="G71" s="31"/>
    </row>
    <row r="72" spans="7:7" x14ac:dyDescent="0.25">
      <c r="G72" s="31"/>
    </row>
    <row r="73" spans="7:7" x14ac:dyDescent="0.25">
      <c r="G73" s="31"/>
    </row>
    <row r="74" spans="7:7" x14ac:dyDescent="0.25">
      <c r="G74" s="31"/>
    </row>
    <row r="75" spans="7:7" x14ac:dyDescent="0.25">
      <c r="G75" s="31"/>
    </row>
    <row r="76" spans="7:7" x14ac:dyDescent="0.25">
      <c r="G76" s="31"/>
    </row>
    <row r="77" spans="7:7" x14ac:dyDescent="0.25">
      <c r="G77" s="31"/>
    </row>
    <row r="78" spans="7:7" x14ac:dyDescent="0.25">
      <c r="G78" s="31"/>
    </row>
    <row r="79" spans="7:7" x14ac:dyDescent="0.25">
      <c r="G79" s="31"/>
    </row>
    <row r="80" spans="7:7" x14ac:dyDescent="0.25">
      <c r="G80" s="31"/>
    </row>
    <row r="81" spans="7:7" x14ac:dyDescent="0.25">
      <c r="G81" s="31"/>
    </row>
    <row r="82" spans="7:7" x14ac:dyDescent="0.25">
      <c r="G82" s="31"/>
    </row>
    <row r="83" spans="7:7" x14ac:dyDescent="0.25">
      <c r="G83" s="31"/>
    </row>
    <row r="84" spans="7:7" x14ac:dyDescent="0.25">
      <c r="G84" s="31"/>
    </row>
    <row r="85" spans="7:7" x14ac:dyDescent="0.25">
      <c r="G85" s="31"/>
    </row>
    <row r="86" spans="7:7" x14ac:dyDescent="0.25">
      <c r="G86" s="31"/>
    </row>
    <row r="87" spans="7:7" x14ac:dyDescent="0.25">
      <c r="G87" s="31"/>
    </row>
    <row r="88" spans="7:7" x14ac:dyDescent="0.25">
      <c r="G88" s="31"/>
    </row>
    <row r="89" spans="7:7" x14ac:dyDescent="0.25">
      <c r="G89" s="31"/>
    </row>
    <row r="90" spans="7:7" x14ac:dyDescent="0.25">
      <c r="G90" s="31"/>
    </row>
    <row r="91" spans="7:7" x14ac:dyDescent="0.25">
      <c r="G91" s="31"/>
    </row>
    <row r="92" spans="7:7" x14ac:dyDescent="0.25">
      <c r="G92" s="31"/>
    </row>
    <row r="93" spans="7:7" x14ac:dyDescent="0.25">
      <c r="G93" s="31"/>
    </row>
    <row r="94" spans="7:7" x14ac:dyDescent="0.25">
      <c r="G94" s="31"/>
    </row>
    <row r="95" spans="7:7" x14ac:dyDescent="0.25">
      <c r="G95" s="31"/>
    </row>
    <row r="96" spans="7:7" x14ac:dyDescent="0.25">
      <c r="G96" s="31"/>
    </row>
    <row r="97" spans="7:7" x14ac:dyDescent="0.25">
      <c r="G97" s="31"/>
    </row>
    <row r="98" spans="7:7" x14ac:dyDescent="0.25">
      <c r="G98" s="31"/>
    </row>
    <row r="99" spans="7:7" x14ac:dyDescent="0.25">
      <c r="G99" s="31"/>
    </row>
    <row r="100" spans="7:7" x14ac:dyDescent="0.25">
      <c r="G100" s="31"/>
    </row>
    <row r="101" spans="7:7" x14ac:dyDescent="0.25">
      <c r="G101" s="31"/>
    </row>
    <row r="102" spans="7:7" x14ac:dyDescent="0.25">
      <c r="G102" s="31"/>
    </row>
    <row r="103" spans="7:7" x14ac:dyDescent="0.25">
      <c r="G103" s="31"/>
    </row>
    <row r="104" spans="7:7" x14ac:dyDescent="0.25">
      <c r="G104" s="31"/>
    </row>
    <row r="105" spans="7:7" x14ac:dyDescent="0.25">
      <c r="G105" s="31"/>
    </row>
    <row r="106" spans="7:7" x14ac:dyDescent="0.25">
      <c r="G106" s="31"/>
    </row>
    <row r="107" spans="7:7" x14ac:dyDescent="0.25">
      <c r="G107" s="31"/>
    </row>
    <row r="108" spans="7:7" x14ac:dyDescent="0.25">
      <c r="G108" s="31"/>
    </row>
    <row r="109" spans="7:7" x14ac:dyDescent="0.25">
      <c r="G109" s="31"/>
    </row>
    <row r="110" spans="7:7" x14ac:dyDescent="0.25">
      <c r="G110" s="31"/>
    </row>
    <row r="111" spans="7:7" x14ac:dyDescent="0.25">
      <c r="G111" s="31"/>
    </row>
    <row r="112" spans="7:7" x14ac:dyDescent="0.25">
      <c r="G112" s="31"/>
    </row>
    <row r="113" spans="7:7" x14ac:dyDescent="0.25">
      <c r="G113" s="31"/>
    </row>
    <row r="114" spans="7:7" x14ac:dyDescent="0.25">
      <c r="G114" s="31"/>
    </row>
    <row r="115" spans="7:7" x14ac:dyDescent="0.25">
      <c r="G115" s="31"/>
    </row>
    <row r="116" spans="7:7" x14ac:dyDescent="0.25">
      <c r="G116" s="31"/>
    </row>
    <row r="117" spans="7:7" x14ac:dyDescent="0.25">
      <c r="G117" s="31"/>
    </row>
    <row r="118" spans="7:7" x14ac:dyDescent="0.25">
      <c r="G118" s="31"/>
    </row>
    <row r="119" spans="7:7" x14ac:dyDescent="0.25">
      <c r="G119" s="31"/>
    </row>
    <row r="120" spans="7:7" x14ac:dyDescent="0.25">
      <c r="G120" s="31"/>
    </row>
    <row r="121" spans="7:7" x14ac:dyDescent="0.25">
      <c r="G121" s="31"/>
    </row>
    <row r="122" spans="7:7" x14ac:dyDescent="0.25">
      <c r="G122" s="31"/>
    </row>
    <row r="123" spans="7:7" x14ac:dyDescent="0.25">
      <c r="G123" s="31"/>
    </row>
    <row r="124" spans="7:7" x14ac:dyDescent="0.25">
      <c r="G124" s="31"/>
    </row>
    <row r="125" spans="7:7" x14ac:dyDescent="0.25">
      <c r="G125" s="31"/>
    </row>
    <row r="126" spans="7:7" x14ac:dyDescent="0.25">
      <c r="G126" s="31"/>
    </row>
    <row r="127" spans="7:7" x14ac:dyDescent="0.25">
      <c r="G127" s="31"/>
    </row>
    <row r="128" spans="7:7" x14ac:dyDescent="0.25">
      <c r="G128" s="31"/>
    </row>
    <row r="129" spans="7:7" x14ac:dyDescent="0.25">
      <c r="G129" s="31"/>
    </row>
    <row r="130" spans="7:7" x14ac:dyDescent="0.25">
      <c r="G130" s="31"/>
    </row>
    <row r="131" spans="7:7" x14ac:dyDescent="0.25">
      <c r="G131" s="31"/>
    </row>
    <row r="132" spans="7:7" x14ac:dyDescent="0.25">
      <c r="G132" s="31"/>
    </row>
    <row r="133" spans="7:7" x14ac:dyDescent="0.25">
      <c r="G133" s="31"/>
    </row>
    <row r="134" spans="7:7" x14ac:dyDescent="0.25">
      <c r="G134" s="31"/>
    </row>
    <row r="135" spans="7:7" x14ac:dyDescent="0.25">
      <c r="G135" s="31"/>
    </row>
    <row r="136" spans="7:7" x14ac:dyDescent="0.25">
      <c r="G136" s="31"/>
    </row>
    <row r="137" spans="7:7" x14ac:dyDescent="0.25">
      <c r="G137" s="31"/>
    </row>
    <row r="138" spans="7:7" x14ac:dyDescent="0.25">
      <c r="G138" s="31"/>
    </row>
    <row r="139" spans="7:7" x14ac:dyDescent="0.25">
      <c r="G139" s="31"/>
    </row>
    <row r="140" spans="7:7" x14ac:dyDescent="0.25">
      <c r="G140" s="31"/>
    </row>
    <row r="141" spans="7:7" x14ac:dyDescent="0.25">
      <c r="G141" s="31"/>
    </row>
    <row r="142" spans="7:7" x14ac:dyDescent="0.25">
      <c r="G142" s="31"/>
    </row>
    <row r="143" spans="7:7" x14ac:dyDescent="0.25">
      <c r="G143" s="31"/>
    </row>
    <row r="144" spans="7:7" x14ac:dyDescent="0.25">
      <c r="G144" s="31"/>
    </row>
    <row r="145" spans="7:7" x14ac:dyDescent="0.25">
      <c r="G145" s="31"/>
    </row>
    <row r="146" spans="7:7" x14ac:dyDescent="0.25">
      <c r="G146" s="31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H118"/>
  <sheetViews>
    <sheetView topLeftCell="A37" workbookViewId="0">
      <selection activeCell="H48" sqref="H48"/>
    </sheetView>
  </sheetViews>
  <sheetFormatPr defaultRowHeight="15.75" x14ac:dyDescent="0.25"/>
  <cols>
    <col min="1" max="1" width="16.375" style="29" customWidth="1"/>
    <col min="2" max="2" width="16.875" style="98" customWidth="1"/>
    <col min="3" max="3" width="12.125" style="29" customWidth="1"/>
    <col min="4" max="4" width="20.125" style="32" customWidth="1"/>
    <col min="5" max="5" width="10.75" style="32" customWidth="1"/>
    <col min="6" max="6" width="14.375" style="29" customWidth="1"/>
    <col min="7" max="7" width="17" style="29" customWidth="1"/>
    <col min="8" max="10" width="14.375" style="29" customWidth="1"/>
    <col min="11" max="11" width="13.625" style="29" customWidth="1"/>
    <col min="12" max="12" width="11" style="29" customWidth="1"/>
    <col min="13" max="13" width="10.75" style="29" customWidth="1"/>
    <col min="14" max="15" width="14.375" style="29" customWidth="1"/>
    <col min="16" max="16" width="11.5" style="29" customWidth="1"/>
    <col min="17" max="17" width="11.75" style="29" customWidth="1"/>
    <col min="18" max="18" width="7.875" style="29" customWidth="1"/>
    <col min="19" max="19" width="13.125" style="29" customWidth="1"/>
    <col min="20" max="20" width="7.25" style="29" customWidth="1"/>
    <col min="21" max="21" width="12" style="29" customWidth="1"/>
    <col min="22" max="24" width="9" style="29"/>
    <col min="25" max="25" width="9.125" style="29" customWidth="1"/>
    <col min="26" max="26" width="8.5" style="29" customWidth="1"/>
    <col min="27" max="27" width="10" style="29" bestFit="1" customWidth="1"/>
    <col min="28" max="29" width="9" style="29"/>
    <col min="30" max="30" width="16.875" style="29" customWidth="1"/>
    <col min="31" max="32" width="9" style="29"/>
    <col min="33" max="33" width="15.875" style="29" bestFit="1" customWidth="1"/>
    <col min="34" max="16384" width="9" style="29"/>
  </cols>
  <sheetData>
    <row r="1" spans="1:34" x14ac:dyDescent="0.25">
      <c r="A1" s="29">
        <v>1</v>
      </c>
      <c r="B1" s="49" t="e">
        <f>SUMPRODUCT(B3:B49,H3:H49)/100</f>
        <v>#NUM!</v>
      </c>
      <c r="C1" s="50" t="e">
        <f>B1-I1</f>
        <v>#NUM!</v>
      </c>
      <c r="D1" s="102" t="str">
        <f>_xll.ohRangeRetrieveError(C8)</f>
        <v/>
      </c>
      <c r="H1" s="49">
        <f>SUM(H3:H49)</f>
        <v>323000000</v>
      </c>
      <c r="I1" s="49">
        <f>SUM(I3:I49)</f>
        <v>317702163.24429101</v>
      </c>
      <c r="J1" s="49">
        <f>SUM(J3:J49)</f>
        <v>0</v>
      </c>
      <c r="K1" s="50">
        <f>SUM(K3:K49)</f>
        <v>179958.2339439278</v>
      </c>
      <c r="L1" s="58">
        <f>SUMPRODUCT($H$3:$H$49,L3:L49)/SUM($H$3:$H$49)</f>
        <v>5.323907338560713</v>
      </c>
      <c r="M1" s="51">
        <f>SUMPRODUCT($H$3:$H$49,M3:M49)/SUM($H$3:$H$49)</f>
        <v>2.1638215501855358E-2</v>
      </c>
      <c r="N1" s="55" t="str">
        <f>_xll.ohRangeRetrieveError(N3)</f>
        <v/>
      </c>
      <c r="P1" s="39"/>
      <c r="AG1" s="49"/>
    </row>
    <row r="2" spans="1:34" x14ac:dyDescent="0.25">
      <c r="A2" s="47" t="s">
        <v>136</v>
      </c>
      <c r="B2" s="99" t="s">
        <v>135</v>
      </c>
      <c r="C2" s="37" t="s">
        <v>93</v>
      </c>
      <c r="E2" s="56" t="s">
        <v>127</v>
      </c>
      <c r="F2" s="37" t="s">
        <v>92</v>
      </c>
      <c r="G2" s="37" t="s">
        <v>128</v>
      </c>
      <c r="H2" s="56" t="s">
        <v>131</v>
      </c>
      <c r="I2" s="56" t="s">
        <v>137</v>
      </c>
      <c r="J2" s="56" t="s">
        <v>138</v>
      </c>
      <c r="K2" s="21" t="s">
        <v>134</v>
      </c>
      <c r="L2" s="21" t="s">
        <v>133</v>
      </c>
      <c r="M2" s="21" t="s">
        <v>132</v>
      </c>
      <c r="N2" s="54" t="s">
        <v>407</v>
      </c>
      <c r="O2" s="38" t="s">
        <v>92</v>
      </c>
      <c r="P2" s="38" t="s">
        <v>18</v>
      </c>
      <c r="Q2" s="38" t="s">
        <v>96</v>
      </c>
      <c r="R2" s="38" t="s">
        <v>97</v>
      </c>
      <c r="S2" s="38" t="s">
        <v>98</v>
      </c>
      <c r="T2" s="38" t="s">
        <v>99</v>
      </c>
      <c r="U2" s="38" t="s">
        <v>100</v>
      </c>
      <c r="V2" s="38" t="s">
        <v>101</v>
      </c>
      <c r="W2" s="38" t="s">
        <v>14</v>
      </c>
      <c r="X2" s="32" t="s">
        <v>130</v>
      </c>
      <c r="Y2" s="38" t="s">
        <v>92</v>
      </c>
      <c r="Z2" s="38" t="s">
        <v>95</v>
      </c>
      <c r="AA2" s="38" t="s">
        <v>18</v>
      </c>
      <c r="AB2" s="38" t="s">
        <v>96</v>
      </c>
      <c r="AC2" s="38" t="s">
        <v>97</v>
      </c>
      <c r="AD2" s="38" t="s">
        <v>98</v>
      </c>
      <c r="AE2" s="38" t="s">
        <v>14</v>
      </c>
      <c r="AG2" s="47"/>
    </row>
    <row r="3" spans="1:34" ht="18" x14ac:dyDescent="0.25">
      <c r="A3" s="64">
        <f>VLOOKUP(FixBondObj!C2,ScheduleObj!Q:AB,12,FALSE)</f>
        <v>96.374000549316406</v>
      </c>
      <c r="B3" s="98" t="e">
        <f>_xll.qlBondCleanPrice(G3,_xll.ohTrigger($A$1))</f>
        <v>#NUM!</v>
      </c>
      <c r="C3" s="29" t="b">
        <f>_xll.qlInstrumentSetPricingEngine(G3,F3,_xll.ohTrigger($A$1))</f>
        <v>1</v>
      </c>
      <c r="D3" s="67" t="str">
        <f>VLOOKUP(FixBondObj!C2,ScheduleObj!Q:AA,11,FALSE)</f>
        <v>Aa2(Moody's)</v>
      </c>
      <c r="E3" s="32" t="str">
        <f>VLOOKUP(MID(D3,1,FIND("(",D3)-1),'ql-USCorp'!$A$81:$B$110,2,FALSE)</f>
        <v>AA</v>
      </c>
      <c r="F3" s="31" t="str">
        <f>VLOOKUP(E3,'ql-AUCorp'!$A$83:$C$86,2,FALSE)</f>
        <v>AUDAAEng#0008</v>
      </c>
      <c r="G3" s="31" t="str">
        <f>FixBondObj!A2</f>
        <v>obj_00165#0008</v>
      </c>
      <c r="H3" s="65">
        <f>VLOOKUP(FixBondObj!C2,ScheduleObj!Q:V,6,FALSE)</f>
        <v>17000000</v>
      </c>
      <c r="I3" s="57">
        <f>H3*A3/100</f>
        <v>16383580.093383789</v>
      </c>
      <c r="J3" s="66"/>
      <c r="K3" s="53">
        <f>_xll.qlBondBpsFromYield(G3,M3,P3,Q3,R3,AD3,AE3)*H3/100</f>
        <v>7301.2801792313039</v>
      </c>
      <c r="L3" s="52">
        <f>_xll.qlBondDurationFromYield(G3,M3,P3,Q3,R3,"Modified",AD3,AE3)</f>
        <v>4.0270060768608147</v>
      </c>
      <c r="M3" s="51">
        <f>_xll.qlBondYieldFromCleanPrice(G3,A3,P3,Q3,R3,S3,T3,U3,V3,W3)</f>
        <v>2.1111575632914905E-2</v>
      </c>
      <c r="N3" s="48">
        <f>_xll.qlBondZSpreadFromCleanPrice(G3,A3,O3,P3,Q3,R3,S3,T3,U3,V3,W3)/0.01%</f>
        <v>3.7842293754358418</v>
      </c>
      <c r="O3" s="31" t="str">
        <f>VLOOKUP(E3,'ql-AUCorp'!$A$83:$C$86,3,FALSE)</f>
        <v>AUDAADF#0008</v>
      </c>
      <c r="P3" s="29" t="str">
        <f>FixBondObj!I2</f>
        <v>30/360</v>
      </c>
      <c r="Q3" s="29" t="s">
        <v>49</v>
      </c>
      <c r="R3" s="29" t="str">
        <f>VLOOKUP(VLOOKUP(FixBondObj!C2,ScheduleObj!Q:W,7,FALSE),Reference!$A$2:$B$4,2,FALSE)</f>
        <v>Semiannual</v>
      </c>
      <c r="S3" s="30">
        <f>'ql-USCorp'!B4</f>
        <v>44560</v>
      </c>
      <c r="U3" s="29">
        <v>100</v>
      </c>
      <c r="V3" s="29">
        <v>0.05</v>
      </c>
      <c r="W3" s="29">
        <f>$A$1</f>
        <v>1</v>
      </c>
      <c r="X3" s="48">
        <f>_xll.qlBondCleanPriceFromZSpread(G3,Y3,Z3,AA3,AB3,AC3,AD3,AE3)</f>
        <v>96.374000549314388</v>
      </c>
      <c r="Y3" s="31" t="str">
        <f>O3</f>
        <v>AUDAADF#0008</v>
      </c>
      <c r="Z3" s="29">
        <f>N3*0.01%</f>
        <v>3.7842293754358422E-4</v>
      </c>
      <c r="AA3" s="29" t="str">
        <f>P3</f>
        <v>30/360</v>
      </c>
      <c r="AB3" s="29" t="s">
        <v>49</v>
      </c>
      <c r="AC3" s="29" t="str">
        <f>R3</f>
        <v>Semiannual</v>
      </c>
      <c r="AD3" s="30">
        <f>S3</f>
        <v>44560</v>
      </c>
      <c r="AE3" s="29">
        <f>$A$1</f>
        <v>1</v>
      </c>
      <c r="AG3" s="68"/>
      <c r="AH3" s="49"/>
    </row>
    <row r="4" spans="1:34" ht="18" x14ac:dyDescent="0.25">
      <c r="A4" s="64">
        <f>VLOOKUP(FixBondObj!C3,ScheduleObj!Q:AB,12,FALSE)</f>
        <v>98.351398134557755</v>
      </c>
      <c r="B4" s="98" t="e">
        <f>_xll.qlBondCleanPrice(G4,_xll.ohTrigger($A$1))</f>
        <v>#NUM!</v>
      </c>
      <c r="C4" s="29" t="b">
        <f>_xll.qlInstrumentSetPricingEngine(G4,F4,_xll.ohTrigger($A$1))</f>
        <v>1</v>
      </c>
      <c r="D4" s="67" t="str">
        <f>VLOOKUP(FixBondObj!C3,ScheduleObj!Q:AA,11,FALSE)</f>
        <v>A-(Fitch)</v>
      </c>
      <c r="E4" s="32" t="str">
        <f>VLOOKUP(MID(D4,1,FIND("(",D4)-1),'ql-USCorp'!$A$81:$B$110,2,FALSE)</f>
        <v>A</v>
      </c>
      <c r="F4" s="31" t="str">
        <f>VLOOKUP(E4,'ql-AUCorp'!$A$83:$C$86,2,FALSE)</f>
        <v>AUDAEng#0008</v>
      </c>
      <c r="G4" s="31" t="str">
        <f>FixBondObj!A3</f>
        <v>obj_00163#0008</v>
      </c>
      <c r="H4" s="65">
        <f>VLOOKUP(FixBondObj!C3,ScheduleObj!Q:V,6,FALSE)</f>
        <v>4000000</v>
      </c>
      <c r="I4" s="57">
        <f t="shared" ref="I4:I50" si="0">H4*A4/100</f>
        <v>3934055.9253823101</v>
      </c>
      <c r="J4" s="66"/>
      <c r="K4" s="53">
        <f>_xll.qlBondBpsFromYield(G4,M4,P4,Q4,R4,AD4,AE4)*H4/100</f>
        <v>1180.4347326696084</v>
      </c>
      <c r="L4" s="52">
        <f>_xll.qlBondDurationFromYield(G4,M4,P4,Q4,R4,"Modified",AD4,AE4)</f>
        <v>2.0070465568100948</v>
      </c>
      <c r="M4" s="51">
        <f>_xll.qlBondYieldFromCleanPrice(G4,A4,P4,Q4,R4,S4,T4,U4,V4,W4)</f>
        <v>1.5689539444185795E-2</v>
      </c>
      <c r="N4" s="48">
        <f>_xll.qlBondZSpreadFromCleanPrice(G4,A4,O4,P4,Q4,R4,S4,T4,U4,V4,W4)/0.01%</f>
        <v>23.645870000773709</v>
      </c>
      <c r="O4" s="31" t="str">
        <f>VLOOKUP(E4,'ql-AUCorp'!$A$83:$C$86,3,FALSE)</f>
        <v>AUDADF#0008</v>
      </c>
      <c r="P4" s="29" t="str">
        <f>FixBondObj!I3</f>
        <v>30/360</v>
      </c>
      <c r="Q4" s="29" t="s">
        <v>49</v>
      </c>
      <c r="R4" s="29" t="str">
        <f>VLOOKUP(VLOOKUP(FixBondObj!C3,ScheduleObj!Q:W,7,FALSE),Reference!$A$2:$B$4,2,FALSE)</f>
        <v>Annual</v>
      </c>
      <c r="S4" s="30">
        <f>S3</f>
        <v>44560</v>
      </c>
      <c r="U4" s="29">
        <f>U3</f>
        <v>100</v>
      </c>
      <c r="V4" s="29">
        <f>V3</f>
        <v>0.05</v>
      </c>
      <c r="W4" s="29">
        <f t="shared" ref="W4:W66" si="1">$A$1</f>
        <v>1</v>
      </c>
      <c r="X4" s="48">
        <f>_xll.qlBondCleanPriceFromZSpread(G4,Y4,Z4,AA4,AB4,AC4,AD4,AE4)</f>
        <v>98.351398134557684</v>
      </c>
      <c r="Y4" s="31" t="str">
        <f t="shared" ref="Y4:Y50" si="2">O4</f>
        <v>AUDADF#0008</v>
      </c>
      <c r="Z4" s="29">
        <f t="shared" ref="Z4:Z50" si="3">N4*0.01%</f>
        <v>2.3645870000773709E-3</v>
      </c>
      <c r="AA4" s="29" t="str">
        <f t="shared" ref="AA4:AA14" si="4">P4</f>
        <v>30/360</v>
      </c>
      <c r="AB4" s="29" t="s">
        <v>49</v>
      </c>
      <c r="AC4" s="29" t="str">
        <f t="shared" ref="AC4:AC14" si="5">R4</f>
        <v>Annual</v>
      </c>
      <c r="AD4" s="30">
        <f t="shared" ref="AD4:AD13" si="6">S4</f>
        <v>44560</v>
      </c>
      <c r="AE4" s="29">
        <f t="shared" ref="AE4:AE50" si="7">$A$1</f>
        <v>1</v>
      </c>
      <c r="AG4" s="68"/>
      <c r="AH4" s="49"/>
    </row>
    <row r="5" spans="1:34" ht="18" x14ac:dyDescent="0.25">
      <c r="A5" s="64">
        <f>VLOOKUP(FixBondObj!C4,ScheduleObj!Q:AB,12,FALSE)</f>
        <v>98.12</v>
      </c>
      <c r="B5" s="98" t="e">
        <f>_xll.qlBondCleanPrice(G5,_xll.ohTrigger($A$1))</f>
        <v>#NUM!</v>
      </c>
      <c r="C5" s="29" t="b">
        <f>_xll.qlInstrumentSetPricingEngine(G5,F5,_xll.ohTrigger($A$1))</f>
        <v>1</v>
      </c>
      <c r="D5" s="67" t="str">
        <f>VLOOKUP(FixBondObj!C4,ScheduleObj!Q:AA,11,FALSE)</f>
        <v>Baa1(Moody's)</v>
      </c>
      <c r="E5" s="32" t="str">
        <f>VLOOKUP(MID(D5,1,FIND("(",D5)-1),'ql-USCorp'!$A$81:$B$110,2,FALSE)</f>
        <v>BBB</v>
      </c>
      <c r="F5" s="31" t="str">
        <f>VLOOKUP(E5,'ql-AUCorp'!$A$83:$C$86,2,FALSE)</f>
        <v>AUDBBBEng#0008</v>
      </c>
      <c r="G5" s="31" t="str">
        <f>FixBondObj!A4</f>
        <v>obj_00164#0008</v>
      </c>
      <c r="H5" s="65">
        <f>VLOOKUP(FixBondObj!C4,ScheduleObj!Q:V,6,FALSE)</f>
        <v>3000000</v>
      </c>
      <c r="I5" s="57">
        <f t="shared" si="0"/>
        <v>2943600</v>
      </c>
      <c r="J5" s="66"/>
      <c r="K5" s="53">
        <f>_xll.qlBondBpsFromYield(G5,M5,P5,Q5,R5,AD5,AE5)*H5/100</f>
        <v>2134.2038939888157</v>
      </c>
      <c r="L5" s="52">
        <f>_xll.qlBondDurationFromYield(G5,M5,P5,Q5,R5,"Modified",AD5,AE5)</f>
        <v>7.0011962881429666</v>
      </c>
      <c r="M5" s="51">
        <f>_xll.qlBondYieldFromCleanPrice(G5,A5,P5,Q5,R5,S5,T5,U5,V5,W5)</f>
        <v>2.9194476916268475E-2</v>
      </c>
      <c r="N5" s="48">
        <f>_xll.qlBondZSpreadFromCleanPrice(G5,A5,O5,P5,Q5,R5,S5,T5,U5,V5,W5)/0.01%</f>
        <v>-35.760584293765049</v>
      </c>
      <c r="O5" s="31" t="str">
        <f>VLOOKUP(E5,'ql-AUCorp'!$A$83:$C$86,3,FALSE)</f>
        <v>AUDBBBDF#0008</v>
      </c>
      <c r="P5" s="29" t="str">
        <f>FixBondObj!I4</f>
        <v>30/360</v>
      </c>
      <c r="Q5" s="29" t="s">
        <v>49</v>
      </c>
      <c r="R5" s="29" t="str">
        <f>VLOOKUP(VLOOKUP(FixBondObj!C4,ScheduleObj!Q:W,7,FALSE),Reference!$A$2:$B$4,2,FALSE)</f>
        <v>Semiannual</v>
      </c>
      <c r="S5" s="30">
        <f t="shared" ref="S5:S50" si="8">S4</f>
        <v>44560</v>
      </c>
      <c r="U5" s="29">
        <f t="shared" ref="U5:U50" si="9">U4</f>
        <v>100</v>
      </c>
      <c r="V5" s="29">
        <f t="shared" ref="V5:V50" si="10">V4</f>
        <v>0.05</v>
      </c>
      <c r="W5" s="29">
        <f t="shared" si="1"/>
        <v>1</v>
      </c>
      <c r="X5" s="48">
        <f>_xll.qlBondCleanPriceFromZSpread(G5,Y5,Z5,AA5,AB5,AC5,AD5,AE5)</f>
        <v>98.119999996856293</v>
      </c>
      <c r="Y5" s="31" t="str">
        <f t="shared" si="2"/>
        <v>AUDBBBDF#0008</v>
      </c>
      <c r="Z5" s="29">
        <f t="shared" si="3"/>
        <v>-3.5760584293765053E-3</v>
      </c>
      <c r="AA5" s="29" t="str">
        <f t="shared" si="4"/>
        <v>30/360</v>
      </c>
      <c r="AB5" s="29" t="s">
        <v>49</v>
      </c>
      <c r="AC5" s="29" t="str">
        <f t="shared" si="5"/>
        <v>Semiannual</v>
      </c>
      <c r="AD5" s="30">
        <f t="shared" si="6"/>
        <v>44560</v>
      </c>
      <c r="AE5" s="29">
        <f t="shared" si="7"/>
        <v>1</v>
      </c>
      <c r="AG5" s="68"/>
      <c r="AH5" s="49"/>
    </row>
    <row r="6" spans="1:34" ht="18" x14ac:dyDescent="0.25">
      <c r="A6" s="64">
        <f>VLOOKUP(FixBondObj!C5,ScheduleObj!Q:AB,12,FALSE)</f>
        <v>100.1460037231445</v>
      </c>
      <c r="B6" s="98" t="e">
        <f>_xll.qlBondCleanPrice(G6,_xll.ohTrigger($A$1))</f>
        <v>#NUM!</v>
      </c>
      <c r="C6" s="106" t="b">
        <f>_xll.qlInstrumentSetPricingEngine(G6,F6,_xll.ohTrigger($A$1))</f>
        <v>1</v>
      </c>
      <c r="D6" s="67" t="str">
        <f>VLOOKUP(FixBondObj!C5,ScheduleObj!Q:AA,11,FALSE)</f>
        <v>Aa3(Moody's)</v>
      </c>
      <c r="E6" s="32" t="str">
        <f>VLOOKUP(MID(D6,1,FIND("(",D6)-1),'ql-USCorp'!$A$81:$B$110,2,FALSE)</f>
        <v>AA</v>
      </c>
      <c r="F6" s="31" t="str">
        <f>VLOOKUP(E6,'ql-CNCorp'!$A$66:$C$67,2,FALSE)</f>
        <v>CNYAAEng#0008</v>
      </c>
      <c r="G6" s="31" t="str">
        <f>FixBondObj!A5</f>
        <v>obj_00153#0008</v>
      </c>
      <c r="H6" s="65">
        <f>VLOOKUP(FixBondObj!C5,ScheduleObj!Q:V,6,FALSE)</f>
        <v>30000000</v>
      </c>
      <c r="I6" s="57">
        <f t="shared" si="0"/>
        <v>30043801.116943348</v>
      </c>
      <c r="J6" s="66"/>
      <c r="K6" s="53">
        <f>_xll.qlBondBpsFromYield(G6,M6,P6,Q6,R6,AD6,AE6)*H6/100</f>
        <v>11192.541988328388</v>
      </c>
      <c r="L6" s="52">
        <f>_xll.qlBondDurationFromYield(G6,M6,P6,Q6,R6,"Modified",AD6,AE6)</f>
        <v>3.3284721110323461</v>
      </c>
      <c r="M6" s="51">
        <f>_xll.qlBondYieldFromCleanPrice(G6,A6,P6,Q6,R6,S6,T6,U6,V6,W6)</f>
        <v>3.3527793622389446E-2</v>
      </c>
      <c r="N6" s="48">
        <f>_xll.qlBondZSpreadFromCleanPrice(G6,A6,O6,P6,Q6,R6,S6,T6,U6,V6,W6)/0.01%</f>
        <v>-22.844355294240739</v>
      </c>
      <c r="O6" s="31" t="str">
        <f>VLOOKUP(E6,'ql-CNCorp'!$A$66:$C$67,3,FALSE)</f>
        <v>CNYAADF#0008</v>
      </c>
      <c r="P6" s="29" t="str">
        <f>FixBondObj!I5</f>
        <v>A/365</v>
      </c>
      <c r="Q6" s="29" t="s">
        <v>49</v>
      </c>
      <c r="R6" s="29" t="str">
        <f>VLOOKUP(VLOOKUP(FixBondObj!C5,ScheduleObj!Q:W,7,FALSE),Reference!$A$2:$B$4,2,FALSE)</f>
        <v>Annual</v>
      </c>
      <c r="S6" s="30">
        <f t="shared" si="8"/>
        <v>44560</v>
      </c>
      <c r="U6" s="29">
        <f t="shared" si="9"/>
        <v>100</v>
      </c>
      <c r="V6" s="29">
        <f t="shared" si="10"/>
        <v>0.05</v>
      </c>
      <c r="W6" s="29">
        <f t="shared" si="1"/>
        <v>1</v>
      </c>
      <c r="X6" s="48">
        <f>_xll.qlBondCleanPriceFromZSpread(G6,Y6,Z6,AA6,AB6,AC6,AD6,AE6)</f>
        <v>100.14600372312643</v>
      </c>
      <c r="Y6" s="31" t="str">
        <f t="shared" si="2"/>
        <v>CNYAADF#0008</v>
      </c>
      <c r="Z6" s="29">
        <f t="shared" si="3"/>
        <v>-2.284435529424074E-3</v>
      </c>
      <c r="AA6" s="29" t="str">
        <f t="shared" si="4"/>
        <v>A/365</v>
      </c>
      <c r="AB6" s="29" t="s">
        <v>49</v>
      </c>
      <c r="AC6" s="29" t="str">
        <f t="shared" si="5"/>
        <v>Annual</v>
      </c>
      <c r="AD6" s="30">
        <f t="shared" si="6"/>
        <v>44560</v>
      </c>
      <c r="AE6" s="29">
        <f t="shared" si="7"/>
        <v>1</v>
      </c>
      <c r="AG6" s="68"/>
      <c r="AH6" s="49"/>
    </row>
    <row r="7" spans="1:34" ht="18" x14ac:dyDescent="0.25">
      <c r="A7" s="64">
        <f>VLOOKUP(FixBondObj!C6,ScheduleObj!Q:AB,12,FALSE)</f>
        <v>100.900260925293</v>
      </c>
      <c r="B7" s="98" t="e">
        <f>_xll.qlBondCleanPrice(G7,_xll.ohTrigger($A$1))</f>
        <v>#NUM!</v>
      </c>
      <c r="C7" s="106" t="b">
        <f>_xll.qlInstrumentSetPricingEngine(G7,F7,_xll.ohTrigger($A$1))</f>
        <v>1</v>
      </c>
      <c r="D7" s="67" t="str">
        <f>VLOOKUP(FixBondObj!C6,ScheduleObj!Q:AA,11,FALSE)</f>
        <v>Aa3(Moody's)</v>
      </c>
      <c r="E7" s="32" t="str">
        <f>VLOOKUP(MID(D7,1,FIND("(",D7)-1),'ql-USCorp'!$A$81:$B$110,2,FALSE)</f>
        <v>AA</v>
      </c>
      <c r="F7" s="31" t="str">
        <f>VLOOKUP(E7,'ql-CNCorp'!$A$66:$C$67,2,FALSE)</f>
        <v>CNYAAEng#0008</v>
      </c>
      <c r="G7" s="31" t="str">
        <f>FixBondObj!A6</f>
        <v>obj_00156#0008</v>
      </c>
      <c r="H7" s="65">
        <f>VLOOKUP(FixBondObj!C6,ScheduleObj!Q:V,6,FALSE)</f>
        <v>50000000</v>
      </c>
      <c r="I7" s="57">
        <f t="shared" si="0"/>
        <v>50450130.462646492</v>
      </c>
      <c r="J7" s="66"/>
      <c r="K7" s="53">
        <f>_xll.qlBondBpsFromYield(G7,M7,P7,Q7,R7,AD7,AE7)*H7/100</f>
        <v>18537.03902115675</v>
      </c>
      <c r="L7" s="52">
        <f>_xll.qlBondDurationFromYield(G7,M7,P7,Q7,R7,"Modified",AD7,AE7)</f>
        <v>3.3771223064064619</v>
      </c>
      <c r="M7" s="51">
        <f>_xll.qlBondYieldFromCleanPrice(G7,A7,P7,Q7,R7,S7,T7,U7,V7,W7)</f>
        <v>3.5328425549343234E-2</v>
      </c>
      <c r="N7" s="48">
        <f>_xll.qlBondZSpreadFromCleanPrice(G7,A7,O7,P7,Q7,R7,S7,T7,U7,V7,W7)/0.01%</f>
        <v>-7.3579473168672678</v>
      </c>
      <c r="O7" s="31" t="str">
        <f>VLOOKUP(E7,'ql-CNCorp'!$A$66:$C$67,3,FALSE)</f>
        <v>CNYAADF#0008</v>
      </c>
      <c r="P7" s="29" t="str">
        <f>FixBondObj!I6</f>
        <v>A/365</v>
      </c>
      <c r="Q7" s="29" t="s">
        <v>49</v>
      </c>
      <c r="R7" s="29" t="str">
        <f>VLOOKUP(VLOOKUP(FixBondObj!C6,ScheduleObj!Q:W,7,FALSE),Reference!$A$2:$B$4,2,FALSE)</f>
        <v>Annual</v>
      </c>
      <c r="S7" s="30">
        <f t="shared" si="8"/>
        <v>44560</v>
      </c>
      <c r="U7" s="29">
        <f t="shared" si="9"/>
        <v>100</v>
      </c>
      <c r="V7" s="29">
        <f t="shared" si="10"/>
        <v>0.05</v>
      </c>
      <c r="W7" s="29">
        <f t="shared" si="1"/>
        <v>1</v>
      </c>
      <c r="X7" s="48">
        <f>_xll.qlBondCleanPriceFromZSpread(G7,Y7,Z7,AA7,AB7,AC7,AD7,AE7)</f>
        <v>100.90026092529176</v>
      </c>
      <c r="Y7" s="31" t="str">
        <f t="shared" si="2"/>
        <v>CNYAADF#0008</v>
      </c>
      <c r="Z7" s="29">
        <f t="shared" si="3"/>
        <v>-7.3579473168672684E-4</v>
      </c>
      <c r="AA7" s="29" t="str">
        <f t="shared" si="4"/>
        <v>A/365</v>
      </c>
      <c r="AB7" s="29" t="s">
        <v>49</v>
      </c>
      <c r="AC7" s="29" t="str">
        <f t="shared" si="5"/>
        <v>Annual</v>
      </c>
      <c r="AD7" s="30">
        <f t="shared" si="6"/>
        <v>44560</v>
      </c>
      <c r="AE7" s="29">
        <f t="shared" si="7"/>
        <v>1</v>
      </c>
      <c r="AG7" s="68"/>
      <c r="AH7" s="49"/>
    </row>
    <row r="8" spans="1:34" ht="18" x14ac:dyDescent="0.25">
      <c r="A8" s="64">
        <f>VLOOKUP(FixBondObj!C7,ScheduleObj!Q:AB,12,FALSE)</f>
        <v>99.363998413085938</v>
      </c>
      <c r="B8" s="98" t="e">
        <f>_xll.qlBondCleanPrice(G8,_xll.ohTrigger($A$1))</f>
        <v>#NUM!</v>
      </c>
      <c r="C8" s="100" t="b">
        <f>_xll.qlInstrumentSetPricingEngine(G8,F8,_xll.ohTrigger($A$1))</f>
        <v>1</v>
      </c>
      <c r="D8" s="67" t="str">
        <f>VLOOKUP(FixBondObj!C7,ScheduleObj!Q:AA,11,FALSE)</f>
        <v>AA-(Fitch)</v>
      </c>
      <c r="E8" s="32" t="str">
        <f>VLOOKUP(MID(D8,1,FIND("(",D8)-1),'ql-USCorp'!$A$81:$B$110,2,FALSE)</f>
        <v>AA</v>
      </c>
      <c r="F8" s="31" t="str">
        <f>VLOOKUP(E8,'ql-USCorp'!$A$72:$B$75,2,FALSE)</f>
        <v>USAAEng#0008</v>
      </c>
      <c r="G8" s="31" t="str">
        <f>FixBondObj!A7</f>
        <v>obj_00157#0008</v>
      </c>
      <c r="H8" s="65">
        <f>VLOOKUP(FixBondObj!C7,ScheduleObj!Q:V,6,FALSE)</f>
        <v>3000000</v>
      </c>
      <c r="I8" s="57">
        <f t="shared" si="0"/>
        <v>2980919.9523925781</v>
      </c>
      <c r="J8" s="66"/>
      <c r="K8" s="53">
        <f>_xll.qlBondBpsFromYield(G8,M8,P8,Q8,R8,AD8,AE8)*H8/100</f>
        <v>1839.523539119928</v>
      </c>
      <c r="L8" s="52">
        <f>_xll.qlBondDurationFromYield(G8,M8,P8,Q8,R8,"Modified",AD8,AE8)</f>
        <v>6.0029605326698618</v>
      </c>
      <c r="M8" s="51">
        <f>_xll.qlBondYieldFromCleanPrice(G8,A8,P8,Q8,R8,S8,T8,U8,V8,W8)</f>
        <v>1.7559030108526358E-2</v>
      </c>
      <c r="N8" s="101">
        <f>_xll.qlBondZSpreadFromCleanPrice(G8,A8,O8,P8,Q8,R8,S8,T8,U8,V8,W8)/0.01%</f>
        <v>-21.369590455450414</v>
      </c>
      <c r="O8" s="31" t="str">
        <f>VLOOKUP(E8,'ql-USCorp'!$A$72:$C$75,3,FALSE)</f>
        <v>USAADF#0008</v>
      </c>
      <c r="P8" s="29" t="str">
        <f>FixBondObj!I7</f>
        <v>30/360</v>
      </c>
      <c r="Q8" s="29" t="s">
        <v>49</v>
      </c>
      <c r="R8" s="29" t="str">
        <f>VLOOKUP(VLOOKUP(FixBondObj!C7,ScheduleObj!Q:W,7,FALSE),Reference!$A$2:$B$4,2,FALSE)</f>
        <v>Semiannual</v>
      </c>
      <c r="S8" s="30">
        <f t="shared" si="8"/>
        <v>44560</v>
      </c>
      <c r="U8" s="29">
        <f t="shared" si="9"/>
        <v>100</v>
      </c>
      <c r="V8" s="29">
        <f t="shared" si="10"/>
        <v>0.05</v>
      </c>
      <c r="W8" s="29">
        <f t="shared" si="1"/>
        <v>1</v>
      </c>
      <c r="X8" s="48">
        <f>_xll.qlBondCleanPriceFromZSpread(G8,Y8,Z8,AA8,AB8,AC8,AD8,AE8)</f>
        <v>99.363998411989058</v>
      </c>
      <c r="Y8" s="31" t="str">
        <f t="shared" si="2"/>
        <v>USAADF#0008</v>
      </c>
      <c r="Z8" s="29">
        <f t="shared" si="3"/>
        <v>-2.1369590455450416E-3</v>
      </c>
      <c r="AA8" s="29" t="str">
        <f t="shared" si="4"/>
        <v>30/360</v>
      </c>
      <c r="AB8" s="29" t="s">
        <v>49</v>
      </c>
      <c r="AC8" s="29" t="str">
        <f t="shared" si="5"/>
        <v>Semiannual</v>
      </c>
      <c r="AD8" s="30">
        <f t="shared" si="6"/>
        <v>44560</v>
      </c>
      <c r="AE8" s="29">
        <f t="shared" si="7"/>
        <v>1</v>
      </c>
      <c r="AG8" s="68"/>
      <c r="AH8" s="49"/>
    </row>
    <row r="9" spans="1:34" ht="18" x14ac:dyDescent="0.25">
      <c r="A9" s="64">
        <f>VLOOKUP(FixBondObj!C8,ScheduleObj!Q:AB,12,FALSE)</f>
        <v>94.061996459960938</v>
      </c>
      <c r="B9" s="98" t="e">
        <f>_xll.qlBondCleanPrice(G9,_xll.ohTrigger($A$1))</f>
        <v>#NUM!</v>
      </c>
      <c r="C9" s="100" t="b">
        <f>_xll.qlInstrumentSetPricingEngine(G9,F9,_xll.ohTrigger($A$1))</f>
        <v>1</v>
      </c>
      <c r="D9" s="67" t="str">
        <f>VLOOKUP(FixBondObj!C8,ScheduleObj!Q:AA,11,FALSE)</f>
        <v>Aa1(Moody's)</v>
      </c>
      <c r="E9" s="32" t="str">
        <f>VLOOKUP(MID(D9,1,FIND("(",D9)-1),'ql-USCorp'!$A$81:$B$110,2,FALSE)</f>
        <v>AA</v>
      </c>
      <c r="F9" s="31" t="str">
        <f>VLOOKUP(E9,'ql-USCorp'!$A$72:$B$75,2,FALSE)</f>
        <v>USAAEng#0008</v>
      </c>
      <c r="G9" s="31" t="str">
        <f>FixBondObj!A8</f>
        <v>obj_00158#0008</v>
      </c>
      <c r="H9" s="65">
        <f>VLOOKUP(FixBondObj!C8,ScheduleObj!Q:V,6,FALSE)</f>
        <v>5000000</v>
      </c>
      <c r="I9" s="57">
        <f t="shared" si="0"/>
        <v>4703099.8229980469</v>
      </c>
      <c r="J9" s="66"/>
      <c r="K9" s="53">
        <f>_xll.qlBondBpsFromYield(G9,M9,P9,Q9,R9,AD9,AE9)*H9/100</f>
        <v>4128.8108357257906</v>
      </c>
      <c r="L9" s="52">
        <f>_xll.qlBondDurationFromYield(G9,M9,P9,Q9,R9,"Modified",AD9,AE9)</f>
        <v>8.0792413977397111</v>
      </c>
      <c r="M9" s="51">
        <f>_xll.qlBondYieldFromCleanPrice(G9,A9,P9,Q9,R9,S9,T9,U9,V9,W9)</f>
        <v>2.0018507260456685E-2</v>
      </c>
      <c r="N9" s="101">
        <f>_xll.qlBondZSpreadFromCleanPrice(G9,A9,O9,P9,Q9,R9,S9,T9,U9,V9,W9)/0.01%</f>
        <v>-28.856304827224704</v>
      </c>
      <c r="O9" s="31" t="str">
        <f>VLOOKUP(E9,'ql-USCorp'!$A$72:$C$75,3,FALSE)</f>
        <v>USAADF#0008</v>
      </c>
      <c r="P9" s="29" t="str">
        <f>FixBondObj!I8</f>
        <v>30/360</v>
      </c>
      <c r="Q9" s="29" t="s">
        <v>49</v>
      </c>
      <c r="R9" s="29" t="str">
        <f>VLOOKUP(VLOOKUP(FixBondObj!C8,ScheduleObj!Q:W,7,FALSE),Reference!$A$2:$B$4,2,FALSE)</f>
        <v>Semiannual</v>
      </c>
      <c r="S9" s="30">
        <f t="shared" si="8"/>
        <v>44560</v>
      </c>
      <c r="U9" s="29">
        <f t="shared" si="9"/>
        <v>100</v>
      </c>
      <c r="V9" s="29">
        <f t="shared" si="10"/>
        <v>0.05</v>
      </c>
      <c r="W9" s="29">
        <f t="shared" si="1"/>
        <v>1</v>
      </c>
      <c r="X9" s="48">
        <f>_xll.qlBondCleanPriceFromZSpread(G9,Y9,Z9,AA9,AB9,AC9,AD9,AE9)</f>
        <v>94.061996448616895</v>
      </c>
      <c r="Y9" s="31" t="str">
        <f t="shared" si="2"/>
        <v>USAADF#0008</v>
      </c>
      <c r="Z9" s="29">
        <f t="shared" si="3"/>
        <v>-2.8856304827224706E-3</v>
      </c>
      <c r="AA9" s="29" t="str">
        <f t="shared" si="4"/>
        <v>30/360</v>
      </c>
      <c r="AB9" s="29" t="s">
        <v>49</v>
      </c>
      <c r="AC9" s="29" t="str">
        <f t="shared" si="5"/>
        <v>Semiannual</v>
      </c>
      <c r="AD9" s="30">
        <f t="shared" si="6"/>
        <v>44560</v>
      </c>
      <c r="AE9" s="29">
        <f t="shared" si="7"/>
        <v>1</v>
      </c>
      <c r="AG9" s="68"/>
      <c r="AH9" s="49"/>
    </row>
    <row r="10" spans="1:34" ht="18" x14ac:dyDescent="0.25">
      <c r="A10" s="64">
        <f>VLOOKUP(FixBondObj!C9,ScheduleObj!Q:AB,12,FALSE)</f>
        <v>96.692001342773438</v>
      </c>
      <c r="B10" s="98" t="e">
        <f>_xll.qlBondCleanPrice(G10,_xll.ohTrigger($A$1))</f>
        <v>#NUM!</v>
      </c>
      <c r="C10" s="100" t="b">
        <f>_xll.qlInstrumentSetPricingEngine(G10,F10,_xll.ohTrigger($A$1))</f>
        <v>1</v>
      </c>
      <c r="D10" s="67" t="str">
        <f>VLOOKUP(FixBondObj!C9,ScheduleObj!Q:AA,11,FALSE)</f>
        <v>Aa1(Moody's)</v>
      </c>
      <c r="E10" s="32" t="str">
        <f>VLOOKUP(MID(D10,1,FIND("(",D10)-1),'ql-USCorp'!$A$81:$B$110,2,FALSE)</f>
        <v>AA</v>
      </c>
      <c r="F10" s="31" t="str">
        <f>VLOOKUP(E10,'ql-USCorp'!$A$72:$B$75,2,FALSE)</f>
        <v>USAAEng#0008</v>
      </c>
      <c r="G10" s="31" t="str">
        <f>FixBondObj!A9</f>
        <v>obj_0015b#0008</v>
      </c>
      <c r="H10" s="65">
        <f>VLOOKUP(FixBondObj!C9,ScheduleObj!Q:V,6,FALSE)</f>
        <v>5000000</v>
      </c>
      <c r="I10" s="57">
        <f t="shared" si="0"/>
        <v>4834600.0671386719</v>
      </c>
      <c r="J10" s="66"/>
      <c r="K10" s="53">
        <f>_xll.qlBondBpsFromYield(G10,M10,P10,Q10,R10,AD10,AE10)*H10/100</f>
        <v>4331.8156031959961</v>
      </c>
      <c r="L10" s="52">
        <f>_xll.qlBondDurationFromYield(G10,M10,P10,Q10,R10,"Modified",AD10,AE10)</f>
        <v>8.3420901132186476</v>
      </c>
      <c r="M10" s="51">
        <f>_xll.qlBondYieldFromCleanPrice(G10,A10,P10,Q10,R10,S10,T10,U10,V10,W10)</f>
        <v>2.0497946291044358E-2</v>
      </c>
      <c r="N10" s="101">
        <f>_xll.qlBondZSpreadFromCleanPrice(G10,A10,O10,P10,Q10,R10,S10,T10,U10,V10,W10)/0.01%</f>
        <v>-28.189253587151693</v>
      </c>
      <c r="O10" s="31" t="str">
        <f>VLOOKUP(E10,'ql-USCorp'!$A$72:$C$75,3,FALSE)</f>
        <v>USAADF#0008</v>
      </c>
      <c r="P10" s="29" t="str">
        <f>FixBondObj!I9</f>
        <v>30/360</v>
      </c>
      <c r="Q10" s="29" t="s">
        <v>49</v>
      </c>
      <c r="R10" s="29" t="str">
        <f>VLOOKUP(VLOOKUP(FixBondObj!C9,ScheduleObj!Q:W,7,FALSE),Reference!$A$2:$B$4,2,FALSE)</f>
        <v>Semiannual</v>
      </c>
      <c r="S10" s="30">
        <f t="shared" si="8"/>
        <v>44560</v>
      </c>
      <c r="U10" s="29">
        <f t="shared" si="9"/>
        <v>100</v>
      </c>
      <c r="V10" s="29">
        <f t="shared" si="10"/>
        <v>0.05</v>
      </c>
      <c r="W10" s="29">
        <f t="shared" si="1"/>
        <v>1</v>
      </c>
      <c r="X10" s="48">
        <f>_xll.qlBondCleanPriceFromZSpread(G10,Y10,Z10,AA10,AB10,AC10,AD10,AE10)</f>
        <v>96.69200132544205</v>
      </c>
      <c r="Y10" s="31" t="str">
        <f t="shared" si="2"/>
        <v>USAADF#0008</v>
      </c>
      <c r="Z10" s="29">
        <f t="shared" si="3"/>
        <v>-2.8189253587151695E-3</v>
      </c>
      <c r="AA10" s="29" t="str">
        <f t="shared" si="4"/>
        <v>30/360</v>
      </c>
      <c r="AB10" s="29" t="s">
        <v>49</v>
      </c>
      <c r="AC10" s="29" t="str">
        <f t="shared" si="5"/>
        <v>Semiannual</v>
      </c>
      <c r="AD10" s="30">
        <f t="shared" si="6"/>
        <v>44560</v>
      </c>
      <c r="AE10" s="29">
        <f t="shared" si="7"/>
        <v>1</v>
      </c>
      <c r="AG10" s="68"/>
      <c r="AH10" s="49"/>
    </row>
    <row r="11" spans="1:34" ht="18" x14ac:dyDescent="0.25">
      <c r="A11" s="64">
        <f>VLOOKUP(FixBondObj!C10,ScheduleObj!Q:AB,12,FALSE)</f>
        <v>97.255996704101563</v>
      </c>
      <c r="B11" s="98" t="e">
        <f>_xll.qlBondCleanPrice(G11,_xll.ohTrigger($A$1))</f>
        <v>#NUM!</v>
      </c>
      <c r="C11" s="100" t="b">
        <f>_xll.qlInstrumentSetPricingEngine(G11,F11,_xll.ohTrigger($A$1))</f>
        <v>1</v>
      </c>
      <c r="D11" s="67" t="str">
        <f>VLOOKUP(FixBondObj!C10,ScheduleObj!Q:AA,11,FALSE)</f>
        <v>A1(Moody's)</v>
      </c>
      <c r="E11" s="32" t="str">
        <f>VLOOKUP(MID(D11,1,FIND("(",D11)-1),'ql-USCorp'!$A$81:$B$110,2,FALSE)</f>
        <v>A</v>
      </c>
      <c r="F11" s="31" t="str">
        <f>VLOOKUP(E11,'ql-USCorp'!$A$72:$B$75,2,FALSE)</f>
        <v>USAEng#0008</v>
      </c>
      <c r="G11" s="31" t="str">
        <f>FixBondObj!A10</f>
        <v>obj_00154#0008</v>
      </c>
      <c r="H11" s="65">
        <f>VLOOKUP(FixBondObj!C10,ScheduleObj!Q:V,6,FALSE)</f>
        <v>3000000</v>
      </c>
      <c r="I11" s="57">
        <f t="shared" si="0"/>
        <v>2917679.9011230469</v>
      </c>
      <c r="J11" s="66"/>
      <c r="K11" s="53">
        <f>_xll.qlBondBpsFromYield(G11,M11,P11,Q11,R11,AD11,AE11)*H11/100</f>
        <v>1301.9728617127571</v>
      </c>
      <c r="L11" s="52">
        <f>_xll.qlBondDurationFromYield(G11,M11,P11,Q11,R11,"Modified",AD11,AE11)</f>
        <v>4.0507174860747366</v>
      </c>
      <c r="M11" s="51">
        <f>_xll.qlBondYieldFromCleanPrice(G11,A11,P11,Q11,R11,S11,T11,U11,V11,W11)</f>
        <v>1.6832525188848382E-2</v>
      </c>
      <c r="N11" s="101">
        <f>_xll.qlBondZSpreadFromCleanPrice(G11,A11,O11,P11,Q11,R11,S11,T11,U11,V11,W11)/0.01%</f>
        <v>-15.659843056120167</v>
      </c>
      <c r="O11" s="31" t="str">
        <f>VLOOKUP(E11,'ql-USCorp'!$A$72:$C$75,3,FALSE)</f>
        <v>USADF#0008</v>
      </c>
      <c r="P11" s="29" t="str">
        <f>FixBondObj!I10</f>
        <v>30/360</v>
      </c>
      <c r="Q11" s="29" t="s">
        <v>49</v>
      </c>
      <c r="R11" s="29" t="str">
        <f>VLOOKUP(VLOOKUP(FixBondObj!C10,ScheduleObj!Q:W,7,FALSE),Reference!$A$2:$B$4,2,FALSE)</f>
        <v>Semiannual</v>
      </c>
      <c r="S11" s="30">
        <f t="shared" si="8"/>
        <v>44560</v>
      </c>
      <c r="U11" s="29">
        <f t="shared" si="9"/>
        <v>100</v>
      </c>
      <c r="V11" s="29">
        <f t="shared" si="10"/>
        <v>0.05</v>
      </c>
      <c r="W11" s="29">
        <f t="shared" si="1"/>
        <v>1</v>
      </c>
      <c r="X11" s="48">
        <f>_xll.qlBondCleanPriceFromZSpread(G11,Y11,Z11,AA11,AB11,AC11,AD11,AE11)</f>
        <v>97.255996704060649</v>
      </c>
      <c r="Y11" s="31" t="str">
        <f t="shared" si="2"/>
        <v>USADF#0008</v>
      </c>
      <c r="Z11" s="29">
        <f t="shared" si="3"/>
        <v>-1.5659843056120167E-3</v>
      </c>
      <c r="AA11" s="29" t="str">
        <f t="shared" si="4"/>
        <v>30/360</v>
      </c>
      <c r="AB11" s="29" t="s">
        <v>49</v>
      </c>
      <c r="AC11" s="29" t="str">
        <f t="shared" si="5"/>
        <v>Semiannual</v>
      </c>
      <c r="AD11" s="30">
        <f t="shared" si="6"/>
        <v>44560</v>
      </c>
      <c r="AE11" s="29">
        <f t="shared" si="7"/>
        <v>1</v>
      </c>
      <c r="AG11" s="68"/>
      <c r="AH11" s="49"/>
    </row>
    <row r="12" spans="1:34" ht="18" x14ac:dyDescent="0.25">
      <c r="A12" s="64">
        <f>VLOOKUP(FixBondObj!C11,ScheduleObj!Q:AB,12,FALSE)</f>
        <v>98.521003723144531</v>
      </c>
      <c r="B12" s="98" t="e">
        <f>_xll.qlBondCleanPrice(G12,_xll.ohTrigger($A$1))</f>
        <v>#NUM!</v>
      </c>
      <c r="C12" s="100" t="b">
        <f>_xll.qlInstrumentSetPricingEngine(G12,F12,_xll.ohTrigger($A$1))</f>
        <v>1</v>
      </c>
      <c r="D12" s="67" t="str">
        <f>VLOOKUP(FixBondObj!C11,ScheduleObj!Q:AA,11,FALSE)</f>
        <v>Aa3(Moody's)</v>
      </c>
      <c r="E12" s="32" t="str">
        <f>VLOOKUP(MID(D12,1,FIND("(",D12)-1),'ql-USCorp'!$A$81:$B$110,2,FALSE)</f>
        <v>AA</v>
      </c>
      <c r="F12" s="31" t="str">
        <f>VLOOKUP(E12,'ql-USCorp'!$A$72:$B$75,2,FALSE)</f>
        <v>USAAEng#0008</v>
      </c>
      <c r="G12" s="31" t="str">
        <f>FixBondObj!A11</f>
        <v>obj_00151#0008</v>
      </c>
      <c r="H12" s="65">
        <f>VLOOKUP(FixBondObj!C11,ScheduleObj!Q:V,6,FALSE)</f>
        <v>5000000</v>
      </c>
      <c r="I12" s="57">
        <f t="shared" si="0"/>
        <v>4926050.1861572266</v>
      </c>
      <c r="J12" s="66"/>
      <c r="K12" s="53">
        <f>_xll.qlBondBpsFromYield(G12,M12,P12,Q12,R12,AD12,AE12)*H12/100</f>
        <v>2180.0533001482731</v>
      </c>
      <c r="L12" s="52">
        <f>_xll.qlBondDurationFromYield(G12,M12,P12,Q12,R12,"Modified",AD12,AE12)</f>
        <v>3.9765511076962317</v>
      </c>
      <c r="M12" s="51">
        <f>_xll.qlBondYieldFromCleanPrice(G12,A12,P12,Q12,R12,S12,T12,U12,V12,W12)</f>
        <v>1.5125674481727185E-2</v>
      </c>
      <c r="N12" s="101">
        <f>_xll.qlBondZSpreadFromCleanPrice(G12,A12,O12,P12,Q12,R12,S12,T12,U12,V12,W12)/0.01%</f>
        <v>-3.7660402550728649</v>
      </c>
      <c r="O12" s="31" t="str">
        <f>VLOOKUP(E12,'ql-USCorp'!$A$72:$C$75,3,FALSE)</f>
        <v>USAADF#0008</v>
      </c>
      <c r="P12" s="29" t="str">
        <f>FixBondObj!I11</f>
        <v>30/360</v>
      </c>
      <c r="Q12" s="29" t="s">
        <v>49</v>
      </c>
      <c r="R12" s="29" t="str">
        <f>VLOOKUP(VLOOKUP(FixBondObj!C11,ScheduleObj!Q:W,7,FALSE),Reference!$A$2:$B$4,2,FALSE)</f>
        <v>Semiannual</v>
      </c>
      <c r="S12" s="30">
        <f t="shared" si="8"/>
        <v>44560</v>
      </c>
      <c r="U12" s="29">
        <f t="shared" si="9"/>
        <v>100</v>
      </c>
      <c r="V12" s="29">
        <f t="shared" si="10"/>
        <v>0.05</v>
      </c>
      <c r="W12" s="29">
        <f t="shared" si="1"/>
        <v>1</v>
      </c>
      <c r="X12" s="48">
        <f>_xll.qlBondCleanPriceFromZSpread(G12,Y12,Z12,AA12,AB12,AC12,AD12,AE12)</f>
        <v>98.521003723142186</v>
      </c>
      <c r="Y12" s="31" t="str">
        <f t="shared" si="2"/>
        <v>USAADF#0008</v>
      </c>
      <c r="Z12" s="29">
        <f t="shared" si="3"/>
        <v>-3.766040255072865E-4</v>
      </c>
      <c r="AA12" s="29" t="str">
        <f t="shared" si="4"/>
        <v>30/360</v>
      </c>
      <c r="AB12" s="29" t="s">
        <v>49</v>
      </c>
      <c r="AC12" s="29" t="str">
        <f t="shared" si="5"/>
        <v>Semiannual</v>
      </c>
      <c r="AD12" s="30">
        <f t="shared" si="6"/>
        <v>44560</v>
      </c>
      <c r="AE12" s="29">
        <f t="shared" si="7"/>
        <v>1</v>
      </c>
      <c r="AG12" s="68"/>
      <c r="AH12" s="49"/>
    </row>
    <row r="13" spans="1:34" ht="18" x14ac:dyDescent="0.25">
      <c r="A13" s="64">
        <f>VLOOKUP(FixBondObj!C12,ScheduleObj!Q:AB,12,FALSE)</f>
        <v>95.317001342773438</v>
      </c>
      <c r="B13" s="98" t="e">
        <f>_xll.qlBondCleanPrice(G13,_xll.ohTrigger($A$1))</f>
        <v>#NUM!</v>
      </c>
      <c r="C13" s="100" t="b">
        <f>_xll.qlInstrumentSetPricingEngine(G13,F13,_xll.ohTrigger($A$1))</f>
        <v>1</v>
      </c>
      <c r="D13" s="67" t="str">
        <f>VLOOKUP(FixBondObj!C12,ScheduleObj!Q:AA,11,FALSE)</f>
        <v>A1(Moody's)</v>
      </c>
      <c r="E13" s="32" t="str">
        <f>VLOOKUP(MID(D13,1,FIND("(",D13)-1),'ql-USCorp'!$A$81:$B$110,2,FALSE)</f>
        <v>A</v>
      </c>
      <c r="F13" s="31" t="str">
        <f>VLOOKUP(E13,'ql-USCorp'!$A$72:$B$75,2,FALSE)</f>
        <v>USAEng#0008</v>
      </c>
      <c r="G13" s="31" t="str">
        <f>FixBondObj!A12</f>
        <v>obj_00155#0008</v>
      </c>
      <c r="H13" s="65">
        <f>VLOOKUP(FixBondObj!C12,ScheduleObj!Q:V,6,FALSE)</f>
        <v>5000000</v>
      </c>
      <c r="I13" s="57">
        <f t="shared" si="0"/>
        <v>4765850.0671386719</v>
      </c>
      <c r="J13" s="66"/>
      <c r="K13" s="53">
        <f>_xll.qlBondBpsFromYield(G13,M13,P13,Q13,R13,AD13,AE13)*H13/100</f>
        <v>3070.093407533765</v>
      </c>
      <c r="L13" s="52">
        <f>_xll.qlBondDurationFromYield(G13,M13,P13,Q13,R13,"Modified",AD13,AE13)</f>
        <v>5.9580013956837448</v>
      </c>
      <c r="M13" s="51">
        <f>_xll.qlBondYieldFromCleanPrice(G13,A13,P13,Q13,R13,S13,T13,U13,V13,W13)</f>
        <v>1.8005471525713811E-2</v>
      </c>
      <c r="N13" s="101">
        <f>_xll.qlBondZSpreadFromCleanPrice(G13,A13,O13,P13,Q13,R13,S13,T13,U13,V13,W13)/0.01%</f>
        <v>-39.277333208440993</v>
      </c>
      <c r="O13" s="31" t="str">
        <f>VLOOKUP(E13,'ql-USCorp'!$A$72:$C$75,3,FALSE)</f>
        <v>USADF#0008</v>
      </c>
      <c r="P13" s="29" t="str">
        <f>FixBondObj!I12</f>
        <v>30/360</v>
      </c>
      <c r="Q13" s="29" t="s">
        <v>49</v>
      </c>
      <c r="R13" s="29" t="str">
        <f>VLOOKUP(VLOOKUP(FixBondObj!C12,ScheduleObj!Q:W,7,FALSE),Reference!$A$2:$B$4,2,FALSE)</f>
        <v>Semiannual</v>
      </c>
      <c r="S13" s="30">
        <f t="shared" si="8"/>
        <v>44560</v>
      </c>
      <c r="U13" s="29">
        <f t="shared" si="9"/>
        <v>100</v>
      </c>
      <c r="V13" s="29">
        <f t="shared" si="10"/>
        <v>0.05</v>
      </c>
      <c r="W13" s="29">
        <f t="shared" si="1"/>
        <v>1</v>
      </c>
      <c r="X13" s="48">
        <f>_xll.qlBondCleanPriceFromZSpread(G13,Y13,Z13,AA13,AB13,AC13,AD13,AE13)</f>
        <v>95.31700134218633</v>
      </c>
      <c r="Y13" s="31" t="str">
        <f t="shared" si="2"/>
        <v>USADF#0008</v>
      </c>
      <c r="Z13" s="29">
        <f t="shared" si="3"/>
        <v>-3.9277333208440996E-3</v>
      </c>
      <c r="AA13" s="29" t="str">
        <f t="shared" si="4"/>
        <v>30/360</v>
      </c>
      <c r="AB13" s="29" t="s">
        <v>49</v>
      </c>
      <c r="AC13" s="29" t="str">
        <f t="shared" si="5"/>
        <v>Semiannual</v>
      </c>
      <c r="AD13" s="30">
        <f t="shared" si="6"/>
        <v>44560</v>
      </c>
      <c r="AE13" s="29">
        <f t="shared" si="7"/>
        <v>1</v>
      </c>
      <c r="AG13" s="68"/>
      <c r="AH13" s="49"/>
    </row>
    <row r="14" spans="1:34" ht="18" x14ac:dyDescent="0.25">
      <c r="A14" s="64">
        <f>VLOOKUP(FixBondObj!C13,ScheduleObj!Q:AB,12,FALSE)</f>
        <v>94.516998291015625</v>
      </c>
      <c r="B14" s="98" t="e">
        <f>_xll.qlBondCleanPrice(G14,_xll.ohTrigger($A$1))</f>
        <v>#NUM!</v>
      </c>
      <c r="C14" s="100" t="b">
        <f>_xll.qlInstrumentSetPricingEngine(G14,F14,_xll.ohTrigger($A$1))</f>
        <v>1</v>
      </c>
      <c r="D14" s="67" t="str">
        <f>VLOOKUP(FixBondObj!C13,ScheduleObj!Q:AA,11,FALSE)</f>
        <v>Aa3(Moody's)</v>
      </c>
      <c r="E14" s="32" t="str">
        <f>VLOOKUP(MID(D14,1,FIND("(",D14)-1),'ql-USCorp'!$A$81:$B$110,2,FALSE)</f>
        <v>AA</v>
      </c>
      <c r="F14" s="31" t="str">
        <f>VLOOKUP(E14,'ql-USCorp'!$A$72:$B$75,2,FALSE)</f>
        <v>USAAEng#0008</v>
      </c>
      <c r="G14" s="31" t="str">
        <f>FixBondObj!A13</f>
        <v>obj_000ca#0008</v>
      </c>
      <c r="H14" s="65">
        <f>VLOOKUP(FixBondObj!C13,ScheduleObj!Q:V,6,FALSE)</f>
        <v>5000000</v>
      </c>
      <c r="I14" s="57">
        <f t="shared" si="0"/>
        <v>4725849.9145507813</v>
      </c>
      <c r="J14" s="66"/>
      <c r="K14" s="53">
        <f>_xll.qlBondBpsFromYield(G14,M14,P14,Q14,R14,AD14,AE14)*H14/100</f>
        <v>4137.25396752094</v>
      </c>
      <c r="L14" s="52">
        <f>_xll.qlBondDurationFromYield(G14,M14,P14,Q14,R14,"Modified",AD14,AE14)</f>
        <v>8.2966825775985065</v>
      </c>
      <c r="M14" s="51">
        <f>_xll.qlBondYieldFromCleanPrice(G14,A14,P14,Q14,R14,S14,T14,U14,V14,W14)</f>
        <v>1.8764002374187117E-2</v>
      </c>
      <c r="N14" s="101">
        <f>_xll.qlBondZSpreadFromCleanPrice(G14,A14,O14,P14,Q14,R14,S14,T14,U14,V14,W14)/0.01%</f>
        <v>-43.280480298223964</v>
      </c>
      <c r="O14" s="31" t="str">
        <f>VLOOKUP(E14,'ql-USCorp'!$A$72:$C$75,3,FALSE)</f>
        <v>USAADF#0008</v>
      </c>
      <c r="P14" s="29" t="str">
        <f>FixBondObj!I13</f>
        <v>30/360</v>
      </c>
      <c r="Q14" s="29" t="s">
        <v>49</v>
      </c>
      <c r="R14" s="29" t="str">
        <f>VLOOKUP(VLOOKUP(FixBondObj!C13,ScheduleObj!Q:W,7,FALSE),Reference!$A$2:$B$4,2,FALSE)</f>
        <v>Semiannual</v>
      </c>
      <c r="S14" s="30">
        <f t="shared" si="8"/>
        <v>44560</v>
      </c>
      <c r="U14" s="29">
        <f t="shared" si="9"/>
        <v>100</v>
      </c>
      <c r="V14" s="29">
        <f t="shared" si="10"/>
        <v>0.05</v>
      </c>
      <c r="W14" s="29">
        <f t="shared" si="1"/>
        <v>1</v>
      </c>
      <c r="X14" s="48">
        <f>_xll.qlBondCleanPriceFromZSpread(G14,Y14,Z14,AA14,AB14,AC14,AD14,AE14)</f>
        <v>94.51699828154436</v>
      </c>
      <c r="Y14" s="31" t="str">
        <f t="shared" si="2"/>
        <v>USAADF#0008</v>
      </c>
      <c r="Z14" s="29">
        <f t="shared" si="3"/>
        <v>-4.3280480298223964E-3</v>
      </c>
      <c r="AA14" s="29" t="str">
        <f t="shared" si="4"/>
        <v>30/360</v>
      </c>
      <c r="AB14" s="29" t="s">
        <v>49</v>
      </c>
      <c r="AC14" s="29" t="str">
        <f t="shared" si="5"/>
        <v>Semiannual</v>
      </c>
      <c r="AD14" s="30">
        <f t="shared" ref="AD14" si="11">S14</f>
        <v>44560</v>
      </c>
      <c r="AE14" s="29">
        <f t="shared" si="7"/>
        <v>1</v>
      </c>
      <c r="AG14" s="68"/>
      <c r="AH14" s="49"/>
    </row>
    <row r="15" spans="1:34" ht="18" x14ac:dyDescent="0.25">
      <c r="A15" s="64"/>
      <c r="C15" s="100"/>
      <c r="D15" s="67"/>
      <c r="F15" s="31"/>
      <c r="G15" s="31"/>
      <c r="H15" s="65"/>
      <c r="I15" s="57"/>
      <c r="J15" s="66"/>
      <c r="K15" s="53"/>
      <c r="L15" s="52"/>
      <c r="M15" s="51"/>
      <c r="N15" s="101"/>
      <c r="O15" s="31"/>
      <c r="S15" s="30"/>
      <c r="X15" s="48"/>
      <c r="Y15" s="31"/>
      <c r="AD15" s="30"/>
      <c r="AG15" s="68"/>
      <c r="AH15" s="49"/>
    </row>
    <row r="16" spans="1:34" ht="18" x14ac:dyDescent="0.25">
      <c r="A16" s="64">
        <f>VLOOKUP(FixBondObj!C15,ScheduleObj!Q:AB,12,FALSE)</f>
        <v>99.258003234863281</v>
      </c>
      <c r="B16" s="98" t="e">
        <f>_xll.qlBondCleanPrice(G16,_xll.ohTrigger($A$1))</f>
        <v>#NUM!</v>
      </c>
      <c r="C16" s="100" t="b">
        <f>_xll.qlInstrumentSetPricingEngine(G16,F16,_xll.ohTrigger($A$1))</f>
        <v>1</v>
      </c>
      <c r="D16" s="67" t="str">
        <f>VLOOKUP(FixBondObj!C15,ScheduleObj!Q:AA,11,FALSE)</f>
        <v>A+(Fitch)</v>
      </c>
      <c r="E16" s="32" t="str">
        <f>VLOOKUP(MID(D16,1,FIND("(",D16)-1),'ql-USCorp'!$A$81:$B$110,2,FALSE)</f>
        <v>A</v>
      </c>
      <c r="F16" s="31" t="str">
        <f>VLOOKUP(E16,'ql-USCorp'!$A$72:$B$75,2,FALSE)</f>
        <v>USAEng#0008</v>
      </c>
      <c r="G16" s="31" t="str">
        <f>FixBondObj!A15</f>
        <v>obj_000db#0008</v>
      </c>
      <c r="H16" s="65">
        <f>VLOOKUP(FixBondObj!C15,ScheduleObj!Q:V,6,FALSE)</f>
        <v>5000000</v>
      </c>
      <c r="I16" s="57">
        <f t="shared" si="0"/>
        <v>4962900.1617431641</v>
      </c>
      <c r="J16" s="66"/>
      <c r="K16" s="53">
        <f>_xll.qlBondBpsFromYield(G16,M16,P16,Q16,R16,AD16,AE16)*H16/100</f>
        <v>2172.7190191081568</v>
      </c>
      <c r="L16" s="52">
        <f>_xll.qlBondDurationFromYield(G16,M16,P16,Q16,R16,"Modified",AD16,AE16)</f>
        <v>4.086882633976801</v>
      </c>
      <c r="M16" s="51">
        <f>_xll.qlBondYieldFromCleanPrice(G16,A16,P16,Q16,R16,S16,T16,U16,V16,W16)</f>
        <v>1.5203774390481418E-2</v>
      </c>
      <c r="N16" s="101">
        <f>_xll.qlBondZSpreadFromCleanPrice(G16,A16,O16,P16,Q16,R16,S16,T16,U16,V16,W16)/0.01%</f>
        <v>-32.494534417417697</v>
      </c>
      <c r="O16" s="31" t="str">
        <f>VLOOKUP(E16,'ql-USCorp'!$A$72:$C$75,3,FALSE)</f>
        <v>USADF#0008</v>
      </c>
      <c r="P16" s="29" t="str">
        <f>FixBondObj!I15</f>
        <v>30/360</v>
      </c>
      <c r="Q16" s="29" t="s">
        <v>49</v>
      </c>
      <c r="R16" s="29" t="str">
        <f>VLOOKUP(VLOOKUP(FixBondObj!C15,ScheduleObj!Q:W,7,FALSE),Reference!$A$2:$B$4,2,FALSE)</f>
        <v>Semiannual</v>
      </c>
      <c r="S16" s="30">
        <f>S10</f>
        <v>44560</v>
      </c>
      <c r="U16" s="29">
        <f>U14</f>
        <v>100</v>
      </c>
      <c r="V16" s="29">
        <f>V14</f>
        <v>0.05</v>
      </c>
      <c r="W16" s="29">
        <f t="shared" si="1"/>
        <v>1</v>
      </c>
      <c r="X16" s="48">
        <f>_xll.qlBondCleanPriceFromZSpread(G16,Y16,Z16,AA16,AB16,AC16,AD16,AE16)</f>
        <v>99.258003234831932</v>
      </c>
      <c r="Y16" s="31" t="str">
        <f t="shared" si="2"/>
        <v>USADF#0008</v>
      </c>
      <c r="Z16" s="29">
        <f t="shared" si="3"/>
        <v>-3.2494534417417697E-3</v>
      </c>
      <c r="AA16" s="29" t="str">
        <f t="shared" ref="AA16:AA50" si="12">P16</f>
        <v>30/360</v>
      </c>
      <c r="AB16" s="29" t="s">
        <v>49</v>
      </c>
      <c r="AC16" s="29" t="str">
        <f t="shared" ref="AC16:AC50" si="13">R16</f>
        <v>Semiannual</v>
      </c>
      <c r="AD16" s="30">
        <f>AD14</f>
        <v>44560</v>
      </c>
      <c r="AE16" s="29">
        <f t="shared" si="7"/>
        <v>1</v>
      </c>
      <c r="AG16" s="68"/>
      <c r="AH16" s="49"/>
    </row>
    <row r="17" spans="1:34" ht="18" x14ac:dyDescent="0.25">
      <c r="A17" s="64">
        <f>VLOOKUP(FixBondObj!C16,ScheduleObj!Q:AB,12,FALSE)</f>
        <v>95.156255000000002</v>
      </c>
      <c r="B17" s="98" t="e">
        <f>_xll.qlBondCleanPrice(G17,_xll.ohTrigger($A$1))</f>
        <v>#NUM!</v>
      </c>
      <c r="C17" s="100" t="b">
        <f>_xll.qlInstrumentSetPricingEngine(G17,F17,_xll.ohTrigger($A$1))</f>
        <v>1</v>
      </c>
      <c r="D17" s="67" t="str">
        <f>VLOOKUP(FixBondObj!C16,ScheduleObj!Q:AA,11,FALSE)</f>
        <v>Aaa(Moody's)</v>
      </c>
      <c r="E17" s="32" t="str">
        <f>VLOOKUP(MID(D17,1,FIND("(",D17)-1),'ql-USCorp'!$A$81:$B$110,2,FALSE)</f>
        <v>AAA</v>
      </c>
      <c r="F17" s="31" t="str">
        <f>VLOOKUP(E17,'ql-USCorp'!$A$72:$B$75,2,FALSE)</f>
        <v>USAAAEng#0008</v>
      </c>
      <c r="G17" s="31" t="str">
        <f>FixBondObj!A16</f>
        <v>obj_000cd#0008</v>
      </c>
      <c r="H17" s="65">
        <f>VLOOKUP(FixBondObj!C16,ScheduleObj!Q:V,6,FALSE)</f>
        <v>15000000</v>
      </c>
      <c r="I17" s="57">
        <f t="shared" si="0"/>
        <v>14273438.25</v>
      </c>
      <c r="J17" s="66"/>
      <c r="K17" s="53">
        <f>_xll.qlBondBpsFromYield(G17,M17,P17,Q17,R17,AD17,AE17)*H17/100</f>
        <v>12631.262702898379</v>
      </c>
      <c r="L17" s="52">
        <f>_xll.qlBondDurationFromYield(G17,M17,P17,Q17,R17,"Modified",AD17,AE17)</f>
        <v>8.4768945302558745</v>
      </c>
      <c r="M17" s="51">
        <f>_xll.qlBondYieldFromCleanPrice(G17,A17,P17,Q17,R17,S17,T17,U17,V17,W17)</f>
        <v>1.458816152516753E-2</v>
      </c>
      <c r="N17" s="101">
        <f>_xll.qlBondZSpreadFromCleanPrice(G17,A17,O17,P17,Q17,R17,S17,T17,U17,V17,W17)/0.01%</f>
        <v>-44.929299994497391</v>
      </c>
      <c r="O17" s="31" t="str">
        <f>VLOOKUP(E17,'ql-USCorp'!$A$72:$C$75,3,FALSE)</f>
        <v>USAAADF#0008</v>
      </c>
      <c r="P17" s="29" t="str">
        <f>FixBondObj!I16</f>
        <v>30/360</v>
      </c>
      <c r="Q17" s="29" t="s">
        <v>49</v>
      </c>
      <c r="R17" s="29" t="str">
        <f>VLOOKUP(VLOOKUP(FixBondObj!C16,ScheduleObj!Q:W,7,FALSE),Reference!$A$2:$B$4,2,FALSE)</f>
        <v>Semiannual</v>
      </c>
      <c r="S17" s="30">
        <f t="shared" si="8"/>
        <v>44560</v>
      </c>
      <c r="U17" s="29">
        <f t="shared" si="9"/>
        <v>100</v>
      </c>
      <c r="V17" s="29">
        <f t="shared" si="10"/>
        <v>0.05</v>
      </c>
      <c r="W17" s="29">
        <f t="shared" si="1"/>
        <v>1</v>
      </c>
      <c r="X17" s="48">
        <f>_xll.qlBondCleanPriceFromZSpread(G17,Y17,Z17,AA17,AB17,AC17,AD17,AE17)</f>
        <v>95.156254989778617</v>
      </c>
      <c r="Y17" s="31" t="str">
        <f t="shared" si="2"/>
        <v>USAAADF#0008</v>
      </c>
      <c r="Z17" s="29">
        <f t="shared" si="3"/>
        <v>-4.4929299994497397E-3</v>
      </c>
      <c r="AA17" s="29" t="str">
        <f t="shared" si="12"/>
        <v>30/360</v>
      </c>
      <c r="AB17" s="29" t="s">
        <v>49</v>
      </c>
      <c r="AC17" s="29" t="str">
        <f t="shared" si="13"/>
        <v>Semiannual</v>
      </c>
      <c r="AD17" s="30">
        <f>AD16</f>
        <v>44560</v>
      </c>
      <c r="AE17" s="29">
        <f t="shared" si="7"/>
        <v>1</v>
      </c>
      <c r="AG17" s="68"/>
      <c r="AH17" s="49"/>
    </row>
    <row r="18" spans="1:34" ht="18" x14ac:dyDescent="0.25">
      <c r="A18" s="64">
        <f>VLOOKUP(FixBondObj!C17,ScheduleObj!Q:AB,12,FALSE)</f>
        <v>93.485000610351563</v>
      </c>
      <c r="B18" s="98" t="e">
        <f>_xll.qlBondCleanPrice(G18,_xll.ohTrigger($A$1))</f>
        <v>#NUM!</v>
      </c>
      <c r="C18" s="100" t="b">
        <f>_xll.qlInstrumentSetPricingEngine(G18,F18,_xll.ohTrigger($A$1))</f>
        <v>1</v>
      </c>
      <c r="D18" s="67" t="str">
        <f>VLOOKUP(FixBondObj!C17,ScheduleObj!Q:AA,11,FALSE)</f>
        <v>BBB+(S &amp; P)</v>
      </c>
      <c r="E18" s="32" t="str">
        <f>VLOOKUP(MID(D18,1,FIND("(",D18)-1),'ql-USCorp'!$A$81:$B$110,2,FALSE)</f>
        <v>BBB</v>
      </c>
      <c r="F18" s="31" t="str">
        <f>VLOOKUP(E18,'ql-USCorp'!$A$72:$B$75,2,FALSE)</f>
        <v>USBBBEng#0008</v>
      </c>
      <c r="G18" s="31" t="str">
        <f>FixBondObj!A17</f>
        <v>obj_000df#0008</v>
      </c>
      <c r="H18" s="65">
        <f>VLOOKUP(FixBondObj!C17,ScheduleObj!Q:V,6,FALSE)</f>
        <v>5000000</v>
      </c>
      <c r="I18" s="57">
        <f t="shared" si="0"/>
        <v>4674250.0305175781</v>
      </c>
      <c r="J18" s="66"/>
      <c r="K18" s="53">
        <f>_xll.qlBondBpsFromYield(G18,M18,P18,Q18,R18,AD18,AE18)*H18/100</f>
        <v>4062.2063591112701</v>
      </c>
      <c r="L18" s="52">
        <f>_xll.qlBondDurationFromYield(G18,M18,P18,Q18,R18,"Modified",AD18,AE18)</f>
        <v>8.0514435965427307</v>
      </c>
      <c r="M18" s="51">
        <f>_xll.qlBondYieldFromCleanPrice(G18,A18,P18,Q18,R18,S18,T18,U18,V18,W18)</f>
        <v>2.3300884171947835E-2</v>
      </c>
      <c r="N18" s="101">
        <f>_xll.qlBondZSpreadFromCleanPrice(G18,A18,O18,P18,Q18,R18,S18,T18,U18,V18,W18)/0.01%</f>
        <v>-79.917908578555682</v>
      </c>
      <c r="O18" s="31" t="str">
        <f>VLOOKUP(E18,'ql-USCorp'!$A$72:$C$75,3,FALSE)</f>
        <v>USBBBDF#0008</v>
      </c>
      <c r="P18" s="29" t="str">
        <f>FixBondObj!I17</f>
        <v>30/360</v>
      </c>
      <c r="Q18" s="29" t="s">
        <v>49</v>
      </c>
      <c r="R18" s="29" t="str">
        <f>VLOOKUP(VLOOKUP(FixBondObj!C17,ScheduleObj!Q:W,7,FALSE),Reference!$A$2:$B$4,2,FALSE)</f>
        <v>Semiannual</v>
      </c>
      <c r="S18" s="30">
        <f t="shared" si="8"/>
        <v>44560</v>
      </c>
      <c r="U18" s="29">
        <f t="shared" si="9"/>
        <v>100</v>
      </c>
      <c r="V18" s="29">
        <f t="shared" si="10"/>
        <v>0.05</v>
      </c>
      <c r="W18" s="29">
        <f t="shared" si="1"/>
        <v>1</v>
      </c>
      <c r="X18" s="48">
        <f>_xll.qlBondCleanPriceFromZSpread(G18,Y18,Z18,AA18,AB18,AC18,AD18,AE18)</f>
        <v>93.485000608415092</v>
      </c>
      <c r="Y18" s="31" t="str">
        <f t="shared" si="2"/>
        <v>USBBBDF#0008</v>
      </c>
      <c r="Z18" s="29">
        <f t="shared" si="3"/>
        <v>-7.9917908578555682E-3</v>
      </c>
      <c r="AA18" s="29" t="str">
        <f t="shared" si="12"/>
        <v>30/360</v>
      </c>
      <c r="AB18" s="29" t="s">
        <v>49</v>
      </c>
      <c r="AC18" s="29" t="str">
        <f t="shared" si="13"/>
        <v>Semiannual</v>
      </c>
      <c r="AD18" s="30">
        <f t="shared" ref="AD18" si="14">AD16</f>
        <v>44560</v>
      </c>
      <c r="AE18" s="29">
        <f t="shared" si="7"/>
        <v>1</v>
      </c>
      <c r="AG18" s="68"/>
      <c r="AH18" s="49"/>
    </row>
    <row r="19" spans="1:34" ht="18" x14ac:dyDescent="0.25">
      <c r="A19" s="64">
        <f>VLOOKUP(FixBondObj!C18,ScheduleObj!Q:AB,12,FALSE)</f>
        <v>95.388999938964844</v>
      </c>
      <c r="B19" s="98" t="e">
        <f>_xll.qlBondCleanPrice(G19,_xll.ohTrigger($A$1))</f>
        <v>#NUM!</v>
      </c>
      <c r="C19" s="100" t="b">
        <f>_xll.qlInstrumentSetPricingEngine(G19,F19,_xll.ohTrigger($A$1))</f>
        <v>1</v>
      </c>
      <c r="D19" s="67" t="str">
        <f>VLOOKUP(FixBondObj!C18,ScheduleObj!Q:AA,11,FALSE)</f>
        <v>Aa3(Moody's)</v>
      </c>
      <c r="E19" s="32" t="str">
        <f>VLOOKUP(MID(D19,1,FIND("(",D19)-1),'ql-USCorp'!$A$81:$B$110,2,FALSE)</f>
        <v>AA</v>
      </c>
      <c r="F19" s="31" t="str">
        <f>VLOOKUP(E19,'ql-USCorp'!$A$72:$B$75,2,FALSE)</f>
        <v>USAAEng#0008</v>
      </c>
      <c r="G19" s="31" t="str">
        <f>FixBondObj!A18</f>
        <v>obj_000d2#0008</v>
      </c>
      <c r="H19" s="65">
        <f>VLOOKUP(FixBondObj!C18,ScheduleObj!Q:V,6,FALSE)</f>
        <v>3000000</v>
      </c>
      <c r="I19" s="57">
        <f t="shared" si="0"/>
        <v>2861669.9981689453</v>
      </c>
      <c r="J19" s="66"/>
      <c r="K19" s="53">
        <f>_xll.qlBondBpsFromYield(G19,M19,P19,Q19,R19,AD19,AE19)*H19/100</f>
        <v>1704.3061143436403</v>
      </c>
      <c r="L19" s="52">
        <f>_xll.qlBondDurationFromYield(G19,M19,P19,Q19,R19,"Modified",AD19,AE19)</f>
        <v>5.5267324875697517</v>
      </c>
      <c r="M19" s="51">
        <f>_xll.qlBondYieldFromCleanPrice(G19,A19,P19,Q19,R19,S19,T19,U19,V19,W19)</f>
        <v>1.8496844510361553E-2</v>
      </c>
      <c r="N19" s="101">
        <f>_xll.qlBondZSpreadFromCleanPrice(G19,A19,O19,P19,Q19,R19,S19,T19,U19,V19,W19)/0.01%</f>
        <v>-1.5839146147662098</v>
      </c>
      <c r="O19" s="31" t="str">
        <f>VLOOKUP(E19,'ql-USCorp'!$A$72:$C$75,3,FALSE)</f>
        <v>USAADF#0008</v>
      </c>
      <c r="P19" s="29" t="str">
        <f>FixBondObj!I18</f>
        <v>30/360</v>
      </c>
      <c r="Q19" s="29" t="s">
        <v>49</v>
      </c>
      <c r="R19" s="29" t="str">
        <f>VLOOKUP(VLOOKUP(FixBondObj!C18,ScheduleObj!Q:W,7,FALSE),Reference!$A$2:$B$4,2,FALSE)</f>
        <v>Semiannual</v>
      </c>
      <c r="S19" s="30">
        <f t="shared" si="8"/>
        <v>44560</v>
      </c>
      <c r="U19" s="29">
        <f t="shared" si="9"/>
        <v>100</v>
      </c>
      <c r="V19" s="29">
        <f t="shared" si="10"/>
        <v>0.05</v>
      </c>
      <c r="W19" s="29">
        <f t="shared" si="1"/>
        <v>1</v>
      </c>
      <c r="X19" s="48">
        <f>_xll.qlBondCleanPriceFromZSpread(G19,Y19,Z19,AA19,AB19,AC19,AD19,AE19)</f>
        <v>95.388999938920563</v>
      </c>
      <c r="Y19" s="31" t="str">
        <f t="shared" si="2"/>
        <v>USAADF#0008</v>
      </c>
      <c r="Z19" s="29">
        <f t="shared" si="3"/>
        <v>-1.5839146147662099E-4</v>
      </c>
      <c r="AA19" s="29" t="str">
        <f t="shared" si="12"/>
        <v>30/360</v>
      </c>
      <c r="AB19" s="29" t="s">
        <v>49</v>
      </c>
      <c r="AC19" s="29" t="str">
        <f t="shared" si="13"/>
        <v>Semiannual</v>
      </c>
      <c r="AD19" s="30">
        <f t="shared" ref="AD19" si="15">AD18</f>
        <v>44560</v>
      </c>
      <c r="AE19" s="29">
        <f t="shared" si="7"/>
        <v>1</v>
      </c>
      <c r="AG19" s="68"/>
      <c r="AH19" s="49"/>
    </row>
    <row r="20" spans="1:34" ht="18" x14ac:dyDescent="0.25">
      <c r="A20" s="64">
        <f>VLOOKUP(FixBondObj!C19,ScheduleObj!Q:AB,12,FALSE)</f>
        <v>93.410003662109375</v>
      </c>
      <c r="B20" s="98" t="e">
        <f>_xll.qlBondCleanPrice(G20,_xll.ohTrigger($A$1))</f>
        <v>#NUM!</v>
      </c>
      <c r="C20" s="100" t="b">
        <f>_xll.qlInstrumentSetPricingEngine(G20,F20,_xll.ohTrigger($A$1))</f>
        <v>1</v>
      </c>
      <c r="D20" s="67" t="str">
        <f>VLOOKUP(FixBondObj!C19,ScheduleObj!Q:AA,11,FALSE)</f>
        <v>Aa3(Moody's)</v>
      </c>
      <c r="E20" s="32" t="str">
        <f>VLOOKUP(MID(D20,1,FIND("(",D20)-1),'ql-USCorp'!$A$81:$B$110,2,FALSE)</f>
        <v>AA</v>
      </c>
      <c r="F20" s="31" t="str">
        <f>VLOOKUP(E20,'ql-USCorp'!$A$72:$B$75,2,FALSE)</f>
        <v>USAAEng#0008</v>
      </c>
      <c r="G20" s="31" t="str">
        <f>FixBondObj!A19</f>
        <v>obj_000c2#0008</v>
      </c>
      <c r="H20" s="65">
        <f>VLOOKUP(FixBondObj!C19,ScheduleObj!Q:V,6,FALSE)</f>
        <v>7000000</v>
      </c>
      <c r="I20" s="57">
        <f t="shared" si="0"/>
        <v>6538700.2563476563</v>
      </c>
      <c r="J20" s="66"/>
      <c r="K20" s="53">
        <f>_xll.qlBondBpsFromYield(G20,M20,P20,Q20,R20,AD20,AE20)*H20/100</f>
        <v>5720.5569477522977</v>
      </c>
      <c r="L20" s="52">
        <f>_xll.qlBondDurationFromYield(G20,M20,P20,Q20,R20,"Modified",AD20,AE20)</f>
        <v>8.1328761059121959</v>
      </c>
      <c r="M20" s="51">
        <f>_xll.qlBondYieldFromCleanPrice(G20,A20,P20,Q20,R20,S20,T20,U20,V20,W20)</f>
        <v>2.2072214990481735E-2</v>
      </c>
      <c r="N20" s="101">
        <f>_xll.qlBondZSpreadFromCleanPrice(G20,A20,O20,P20,Q20,R20,S20,T20,U20,V20,W20)/0.01%</f>
        <v>-9.5323123221315598</v>
      </c>
      <c r="O20" s="31" t="str">
        <f>VLOOKUP(E20,'ql-USCorp'!$A$72:$C$75,3,FALSE)</f>
        <v>USAADF#0008</v>
      </c>
      <c r="P20" s="29" t="str">
        <f>FixBondObj!I19</f>
        <v>30/360</v>
      </c>
      <c r="Q20" s="29" t="s">
        <v>49</v>
      </c>
      <c r="R20" s="29" t="str">
        <f>VLOOKUP(VLOOKUP(FixBondObj!C19,ScheduleObj!Q:W,7,FALSE),Reference!$A$2:$B$4,2,FALSE)</f>
        <v>Semiannual</v>
      </c>
      <c r="S20" s="30">
        <f t="shared" si="8"/>
        <v>44560</v>
      </c>
      <c r="U20" s="29">
        <f t="shared" si="9"/>
        <v>100</v>
      </c>
      <c r="V20" s="29">
        <f t="shared" si="10"/>
        <v>0.05</v>
      </c>
      <c r="W20" s="29">
        <f t="shared" si="1"/>
        <v>1</v>
      </c>
      <c r="X20" s="48">
        <f>_xll.qlBondCleanPriceFromZSpread(G20,Y20,Z20,AA20,AB20,AC20,AD20,AE20)</f>
        <v>93.41000366008511</v>
      </c>
      <c r="Y20" s="31" t="str">
        <f t="shared" si="2"/>
        <v>USAADF#0008</v>
      </c>
      <c r="Z20" s="29">
        <f t="shared" si="3"/>
        <v>-9.5323123221315606E-4</v>
      </c>
      <c r="AA20" s="29" t="str">
        <f t="shared" si="12"/>
        <v>30/360</v>
      </c>
      <c r="AB20" s="29" t="s">
        <v>49</v>
      </c>
      <c r="AC20" s="29" t="str">
        <f t="shared" si="13"/>
        <v>Semiannual</v>
      </c>
      <c r="AD20" s="30">
        <f t="shared" ref="AD20" si="16">AD18</f>
        <v>44560</v>
      </c>
      <c r="AE20" s="29">
        <f t="shared" si="7"/>
        <v>1</v>
      </c>
      <c r="AG20" s="68"/>
      <c r="AH20" s="49"/>
    </row>
    <row r="21" spans="1:34" ht="18" x14ac:dyDescent="0.25">
      <c r="A21" s="64">
        <f>VLOOKUP(FixBondObj!C20,ScheduleObj!Q:AB,12,FALSE)</f>
        <v>98.543998718261719</v>
      </c>
      <c r="B21" s="98" t="e">
        <f>_xll.qlBondCleanPrice(G21,_xll.ohTrigger($A$1))</f>
        <v>#NUM!</v>
      </c>
      <c r="C21" s="100" t="b">
        <f>_xll.qlInstrumentSetPricingEngine(G21,F21,_xll.ohTrigger($A$1))</f>
        <v>1</v>
      </c>
      <c r="D21" s="67" t="str">
        <f>VLOOKUP(FixBondObj!C20,ScheduleObj!Q:AA,11,FALSE)</f>
        <v>Aa3(Moody's)</v>
      </c>
      <c r="E21" s="32" t="str">
        <f>VLOOKUP(MID(D21,1,FIND("(",D21)-1),'ql-USCorp'!$A$81:$B$110,2,FALSE)</f>
        <v>AA</v>
      </c>
      <c r="F21" s="31" t="str">
        <f>VLOOKUP(E21,'ql-USCorp'!$A$72:$B$75,2,FALSE)</f>
        <v>USAAEng#0008</v>
      </c>
      <c r="G21" s="31" t="str">
        <f>FixBondObj!A20</f>
        <v>obj_000d6#0008</v>
      </c>
      <c r="H21" s="65">
        <f>VLOOKUP(FixBondObj!C20,ScheduleObj!Q:V,6,FALSE)</f>
        <v>3000000</v>
      </c>
      <c r="I21" s="57">
        <f t="shared" si="0"/>
        <v>2956319.9615478516</v>
      </c>
      <c r="J21" s="66"/>
      <c r="K21" s="53">
        <f>_xll.qlBondBpsFromYield(G21,M21,P21,Q21,R21,AD21,AE21)*H21/100</f>
        <v>1299.7272247539067</v>
      </c>
      <c r="L21" s="52">
        <f>_xll.qlBondDurationFromYield(G21,M21,P21,Q21,R21,"Modified",AD21,AE21)</f>
        <v>4.1695438668445464</v>
      </c>
      <c r="M21" s="51">
        <f>_xll.qlBondYieldFromCleanPrice(G21,A21,P21,Q21,R21,S21,T21,U21,V21,W21)</f>
        <v>1.6005169486664236E-2</v>
      </c>
      <c r="N21" s="101">
        <f>_xll.qlBondZSpreadFromCleanPrice(G21,A21,O21,P21,Q21,R21,S21,T21,U21,V21,W21)/0.01%</f>
        <v>1.6437052417630598</v>
      </c>
      <c r="O21" s="31" t="str">
        <f>VLOOKUP(E21,'ql-USCorp'!$A$72:$C$75,3,FALSE)</f>
        <v>USAADF#0008</v>
      </c>
      <c r="P21" s="29" t="str">
        <f>FixBondObj!I20</f>
        <v>30/360</v>
      </c>
      <c r="Q21" s="29" t="s">
        <v>49</v>
      </c>
      <c r="R21" s="29" t="str">
        <f>VLOOKUP(VLOOKUP(FixBondObj!C20,ScheduleObj!Q:W,7,FALSE),Reference!$A$2:$B$4,2,FALSE)</f>
        <v>Semiannual</v>
      </c>
      <c r="S21" s="30">
        <f t="shared" si="8"/>
        <v>44560</v>
      </c>
      <c r="U21" s="29">
        <f t="shared" si="9"/>
        <v>100</v>
      </c>
      <c r="V21" s="29">
        <f t="shared" si="10"/>
        <v>0.05</v>
      </c>
      <c r="W21" s="29">
        <f t="shared" si="1"/>
        <v>1</v>
      </c>
      <c r="X21" s="48">
        <f>_xll.qlBondCleanPriceFromZSpread(G21,Y21,Z21,AA21,AB21,AC21,AD21,AE21)</f>
        <v>98.543998718258479</v>
      </c>
      <c r="Y21" s="31" t="str">
        <f t="shared" si="2"/>
        <v>USAADF#0008</v>
      </c>
      <c r="Z21" s="29">
        <f t="shared" si="3"/>
        <v>1.6437052417630598E-4</v>
      </c>
      <c r="AA21" s="29" t="str">
        <f t="shared" si="12"/>
        <v>30/360</v>
      </c>
      <c r="AB21" s="29" t="s">
        <v>49</v>
      </c>
      <c r="AC21" s="29" t="str">
        <f t="shared" si="13"/>
        <v>Semiannual</v>
      </c>
      <c r="AD21" s="30">
        <f t="shared" ref="AD21" si="17">AD20</f>
        <v>44560</v>
      </c>
      <c r="AE21" s="29">
        <f t="shared" si="7"/>
        <v>1</v>
      </c>
      <c r="AG21" s="68"/>
      <c r="AH21" s="49"/>
    </row>
    <row r="22" spans="1:34" ht="18" x14ac:dyDescent="0.25">
      <c r="A22" s="64">
        <f>VLOOKUP(FixBondObj!C21,ScheduleObj!Q:AB,12,FALSE)</f>
        <v>98.311996459960938</v>
      </c>
      <c r="B22" s="98" t="e">
        <f>_xll.qlBondCleanPrice(G22,_xll.ohTrigger($A$1))</f>
        <v>#NUM!</v>
      </c>
      <c r="C22" s="100" t="b">
        <f>_xll.qlInstrumentSetPricingEngine(G22,F22,_xll.ohTrigger($A$1))</f>
        <v>1</v>
      </c>
      <c r="D22" s="67" t="str">
        <f>VLOOKUP(FixBondObj!C21,ScheduleObj!Q:AA,11,FALSE)</f>
        <v>A(S &amp; P)</v>
      </c>
      <c r="E22" s="32" t="str">
        <f>VLOOKUP(MID(D22,1,FIND("(",D22)-1),'ql-USCorp'!$A$81:$B$110,2,FALSE)</f>
        <v>A</v>
      </c>
      <c r="F22" s="31" t="str">
        <f>VLOOKUP(E22,'ql-USCorp'!$A$72:$B$75,2,FALSE)</f>
        <v>USAEng#0008</v>
      </c>
      <c r="G22" s="31" t="str">
        <f>FixBondObj!A21</f>
        <v>obj_000c7#0008</v>
      </c>
      <c r="H22" s="65">
        <f>VLOOKUP(FixBondObj!C21,ScheduleObj!Q:V,6,FALSE)</f>
        <v>10000000</v>
      </c>
      <c r="I22" s="57">
        <f t="shared" si="0"/>
        <v>9831199.6459960938</v>
      </c>
      <c r="J22" s="66"/>
      <c r="K22" s="53">
        <f>_xll.qlBondBpsFromYield(G22,M22,P22,Q22,R22,AD22,AE22)*H22/100</f>
        <v>4341.6516631449404</v>
      </c>
      <c r="L22" s="52">
        <f>_xll.qlBondDurationFromYield(G22,M22,P22,Q22,R22,"Modified",AD22,AE22)</f>
        <v>4.1222910483232678</v>
      </c>
      <c r="M22" s="51">
        <f>_xll.qlBondYieldFromCleanPrice(G22,A22,P22,Q22,R22,S22,T22,U22,V22,W22)</f>
        <v>1.5732476445473736E-2</v>
      </c>
      <c r="N22" s="101">
        <f>_xll.qlBondZSpreadFromCleanPrice(G22,A22,O22,P22,Q22,R22,S22,T22,U22,V22,W22)/0.01%</f>
        <v>-27.916032974421391</v>
      </c>
      <c r="O22" s="31" t="str">
        <f>VLOOKUP(E22,'ql-USCorp'!$A$72:$C$75,3,FALSE)</f>
        <v>USADF#0008</v>
      </c>
      <c r="P22" s="29" t="str">
        <f>FixBondObj!I21</f>
        <v>30/360</v>
      </c>
      <c r="Q22" s="29" t="s">
        <v>49</v>
      </c>
      <c r="R22" s="29" t="str">
        <f>VLOOKUP(VLOOKUP(FixBondObj!C21,ScheduleObj!Q:W,7,FALSE),Reference!$A$2:$B$4,2,FALSE)</f>
        <v>Semiannual</v>
      </c>
      <c r="S22" s="30">
        <f t="shared" si="8"/>
        <v>44560</v>
      </c>
      <c r="U22" s="29">
        <f t="shared" si="9"/>
        <v>100</v>
      </c>
      <c r="V22" s="29">
        <f t="shared" si="10"/>
        <v>0.05</v>
      </c>
      <c r="W22" s="29">
        <f t="shared" si="1"/>
        <v>1</v>
      </c>
      <c r="X22" s="48">
        <f>_xll.qlBondCleanPriceFromZSpread(G22,Y22,Z22,AA22,AB22,AC22,AD22,AE22)</f>
        <v>98.311996459923975</v>
      </c>
      <c r="Y22" s="31" t="str">
        <f t="shared" si="2"/>
        <v>USADF#0008</v>
      </c>
      <c r="Z22" s="29">
        <f t="shared" si="3"/>
        <v>-2.7916032974421392E-3</v>
      </c>
      <c r="AA22" s="29" t="str">
        <f t="shared" si="12"/>
        <v>30/360</v>
      </c>
      <c r="AB22" s="29" t="s">
        <v>49</v>
      </c>
      <c r="AC22" s="29" t="str">
        <f t="shared" si="13"/>
        <v>Semiannual</v>
      </c>
      <c r="AD22" s="30">
        <f t="shared" ref="AD22" si="18">AD20</f>
        <v>44560</v>
      </c>
      <c r="AE22" s="29">
        <f t="shared" si="7"/>
        <v>1</v>
      </c>
      <c r="AG22" s="68"/>
      <c r="AH22" s="49"/>
    </row>
    <row r="23" spans="1:34" ht="18" x14ac:dyDescent="0.25">
      <c r="A23" s="64">
        <f>VLOOKUP(FixBondObj!C22,ScheduleObj!Q:AB,12,FALSE)</f>
        <v>97.491996765136719</v>
      </c>
      <c r="B23" s="98" t="e">
        <f>_xll.qlBondCleanPrice(G23,_xll.ohTrigger($A$1))</f>
        <v>#NUM!</v>
      </c>
      <c r="C23" s="100" t="b">
        <f>_xll.qlInstrumentSetPricingEngine(G23,F23,_xll.ohTrigger($A$1))</f>
        <v>1</v>
      </c>
      <c r="D23" s="67" t="str">
        <f>VLOOKUP(FixBondObj!C22,ScheduleObj!Q:AA,11,FALSE)</f>
        <v>BBB+(S &amp; P)</v>
      </c>
      <c r="E23" s="32" t="str">
        <f>VLOOKUP(MID(D23,1,FIND("(",D23)-1),'ql-USCorp'!$A$81:$B$110,2,FALSE)</f>
        <v>BBB</v>
      </c>
      <c r="F23" s="31" t="str">
        <f>VLOOKUP(E23,'ql-USCorp'!$A$72:$B$75,2,FALSE)</f>
        <v>USBBBEng#0008</v>
      </c>
      <c r="G23" s="31" t="str">
        <f>FixBondObj!A22</f>
        <v>obj_000d0#0008</v>
      </c>
      <c r="H23" s="65">
        <f>VLOOKUP(FixBondObj!C22,ScheduleObj!Q:V,6,FALSE)</f>
        <v>5000000</v>
      </c>
      <c r="I23" s="57">
        <f t="shared" si="0"/>
        <v>4874599.8382568359</v>
      </c>
      <c r="J23" s="66"/>
      <c r="K23" s="53">
        <f>_xll.qlBondBpsFromYield(G23,M23,P23,Q23,R23,AD23,AE23)*H23/100</f>
        <v>2812.5895609485078</v>
      </c>
      <c r="L23" s="52">
        <f>_xll.qlBondDurationFromYield(G23,M23,P23,Q23,R23,"Modified",AD23,AE23)</f>
        <v>5.5788391143200302</v>
      </c>
      <c r="M23" s="51">
        <f>_xll.qlBondYieldFromCleanPrice(G23,A23,P23,Q23,R23,S23,T23,U23,V23,W23)</f>
        <v>2.0787660408392559E-2</v>
      </c>
      <c r="N23" s="101">
        <f>_xll.qlBondZSpreadFromCleanPrice(G23,A23,O23,P23,Q23,R23,S23,T23,U23,V23,W23)/0.01%</f>
        <v>-70.788824582833044</v>
      </c>
      <c r="O23" s="31" t="str">
        <f>VLOOKUP(E23,'ql-USCorp'!$A$72:$C$75,3,FALSE)</f>
        <v>USBBBDF#0008</v>
      </c>
      <c r="P23" s="29" t="str">
        <f>FixBondObj!I22</f>
        <v>30/360</v>
      </c>
      <c r="Q23" s="29" t="s">
        <v>49</v>
      </c>
      <c r="R23" s="29" t="str">
        <f>VLOOKUP(VLOOKUP(FixBondObj!C22,ScheduleObj!Q:W,7,FALSE),Reference!$A$2:$B$4,2,FALSE)</f>
        <v>Semiannual</v>
      </c>
      <c r="S23" s="30">
        <f t="shared" si="8"/>
        <v>44560</v>
      </c>
      <c r="U23" s="29">
        <f t="shared" si="9"/>
        <v>100</v>
      </c>
      <c r="V23" s="29">
        <f t="shared" si="10"/>
        <v>0.05</v>
      </c>
      <c r="W23" s="29">
        <f t="shared" si="1"/>
        <v>1</v>
      </c>
      <c r="X23" s="48">
        <f>_xll.qlBondCleanPriceFromZSpread(G23,Y23,Z23,AA23,AB23,AC23,AD23,AE23)</f>
        <v>97.491996765015983</v>
      </c>
      <c r="Y23" s="31" t="str">
        <f t="shared" si="2"/>
        <v>USBBBDF#0008</v>
      </c>
      <c r="Z23" s="29">
        <f t="shared" si="3"/>
        <v>-7.0788824582833044E-3</v>
      </c>
      <c r="AA23" s="29" t="str">
        <f t="shared" si="12"/>
        <v>30/360</v>
      </c>
      <c r="AB23" s="29" t="s">
        <v>49</v>
      </c>
      <c r="AC23" s="29" t="str">
        <f t="shared" si="13"/>
        <v>Semiannual</v>
      </c>
      <c r="AD23" s="30">
        <f t="shared" ref="AD23" si="19">AD22</f>
        <v>44560</v>
      </c>
      <c r="AE23" s="29">
        <f t="shared" si="7"/>
        <v>1</v>
      </c>
      <c r="AG23" s="68"/>
      <c r="AH23" s="49"/>
    </row>
    <row r="24" spans="1:34" ht="18" x14ac:dyDescent="0.25">
      <c r="A24" s="64">
        <f>VLOOKUP(FixBondObj!C23,ScheduleObj!Q:AB,12,FALSE)</f>
        <v>96.661003112792969</v>
      </c>
      <c r="B24" s="98" t="e">
        <f>_xll.qlBondCleanPrice(G24,_xll.ohTrigger($A$1))</f>
        <v>#NUM!</v>
      </c>
      <c r="C24" s="100" t="b">
        <f>_xll.qlInstrumentSetPricingEngine(G24,F24,_xll.ohTrigger($A$1))</f>
        <v>1</v>
      </c>
      <c r="D24" s="67" t="str">
        <f>VLOOKUP(FixBondObj!C23,ScheduleObj!Q:AA,11,FALSE)</f>
        <v>AA-(Fitch)</v>
      </c>
      <c r="E24" s="32" t="str">
        <f>VLOOKUP(MID(D24,1,FIND("(",D24)-1),'ql-USCorp'!$A$81:$B$110,2,FALSE)</f>
        <v>AA</v>
      </c>
      <c r="F24" s="31" t="str">
        <f>VLOOKUP(E24,'ql-USCorp'!$A$72:$B$75,2,FALSE)</f>
        <v>USAAEng#0008</v>
      </c>
      <c r="G24" s="31" t="str">
        <f>FixBondObj!A23</f>
        <v>obj_000c8#0008</v>
      </c>
      <c r="H24" s="65">
        <f>VLOOKUP(FixBondObj!C23,ScheduleObj!Q:V,6,FALSE)</f>
        <v>6500000</v>
      </c>
      <c r="I24" s="57">
        <f t="shared" si="0"/>
        <v>6282965.202331543</v>
      </c>
      <c r="J24" s="66"/>
      <c r="K24" s="53">
        <f>_xll.qlBondBpsFromYield(G24,M24,P24,Q24,R24,AD24,AE24)*H24/100</f>
        <v>2830.4792051408358</v>
      </c>
      <c r="L24" s="52">
        <f>_xll.qlBondDurationFromYield(G24,M24,P24,Q24,R24,"Modified",AD24,AE24)</f>
        <v>3.9749617256357341</v>
      </c>
      <c r="M24" s="51">
        <f>_xll.qlBondYieldFromCleanPrice(G24,A24,P24,Q24,R24,S24,T24,U24,V24,W24)</f>
        <v>1.5996037263087931E-2</v>
      </c>
      <c r="N24" s="101">
        <f>_xll.qlBondZSpreadFromCleanPrice(G24,A24,O24,P24,Q24,R24,S24,T24,U24,V24,W24)/0.01%</f>
        <v>5.2786738336069536</v>
      </c>
      <c r="O24" s="31" t="str">
        <f>VLOOKUP(E24,'ql-USCorp'!$A$72:$C$75,3,FALSE)</f>
        <v>USAADF#0008</v>
      </c>
      <c r="P24" s="29" t="str">
        <f>FixBondObj!I23</f>
        <v>30/360</v>
      </c>
      <c r="Q24" s="29" t="s">
        <v>49</v>
      </c>
      <c r="R24" s="29" t="str">
        <f>VLOOKUP(VLOOKUP(FixBondObj!C23,ScheduleObj!Q:W,7,FALSE),Reference!$A$2:$B$4,2,FALSE)</f>
        <v>Semiannual</v>
      </c>
      <c r="S24" s="30">
        <f t="shared" si="8"/>
        <v>44560</v>
      </c>
      <c r="U24" s="29">
        <f t="shared" si="9"/>
        <v>100</v>
      </c>
      <c r="V24" s="29">
        <f t="shared" si="10"/>
        <v>0.05</v>
      </c>
      <c r="W24" s="29">
        <f t="shared" si="1"/>
        <v>1</v>
      </c>
      <c r="X24" s="48">
        <f>_xll.qlBondCleanPriceFromZSpread(G24,Y24,Z24,AA24,AB24,AC24,AD24,AE24)</f>
        <v>96.66100311279105</v>
      </c>
      <c r="Y24" s="31" t="str">
        <f t="shared" si="2"/>
        <v>USAADF#0008</v>
      </c>
      <c r="Z24" s="29">
        <f t="shared" si="3"/>
        <v>5.2786738336069541E-4</v>
      </c>
      <c r="AA24" s="29" t="str">
        <f t="shared" si="12"/>
        <v>30/360</v>
      </c>
      <c r="AB24" s="29" t="s">
        <v>49</v>
      </c>
      <c r="AC24" s="29" t="str">
        <f t="shared" si="13"/>
        <v>Semiannual</v>
      </c>
      <c r="AD24" s="30">
        <f t="shared" ref="AD24" si="20">AD22</f>
        <v>44560</v>
      </c>
      <c r="AE24" s="29">
        <f t="shared" si="7"/>
        <v>1</v>
      </c>
      <c r="AG24" s="68"/>
      <c r="AH24" s="49"/>
    </row>
    <row r="25" spans="1:34" ht="18" x14ac:dyDescent="0.25">
      <c r="A25" s="64">
        <f>VLOOKUP(FixBondObj!C24,ScheduleObj!Q:AB,12,FALSE)</f>
        <v>98.654998779296875</v>
      </c>
      <c r="B25" s="98" t="e">
        <f>_xll.qlBondCleanPrice(G25,_xll.ohTrigger($A$1))</f>
        <v>#NUM!</v>
      </c>
      <c r="C25" s="100" t="b">
        <f>_xll.qlInstrumentSetPricingEngine(G25,F25,_xll.ohTrigger($A$1))</f>
        <v>1</v>
      </c>
      <c r="D25" s="67" t="str">
        <f>VLOOKUP(FixBondObj!C24,ScheduleObj!Q:AA,11,FALSE)</f>
        <v>A(S &amp; P)</v>
      </c>
      <c r="E25" s="32" t="str">
        <f>VLOOKUP(MID(D25,1,FIND("(",D25)-1),'ql-USCorp'!$A$81:$B$110,2,FALSE)</f>
        <v>A</v>
      </c>
      <c r="F25" s="31" t="str">
        <f>VLOOKUP(E25,'ql-USCorp'!$A$72:$B$75,2,FALSE)</f>
        <v>USAEng#0008</v>
      </c>
      <c r="G25" s="31" t="str">
        <f>FixBondObj!A24</f>
        <v>obj_000e3#0008</v>
      </c>
      <c r="H25" s="65">
        <f>VLOOKUP(FixBondObj!C24,ScheduleObj!Q:V,6,FALSE)</f>
        <v>3000000</v>
      </c>
      <c r="I25" s="57">
        <f t="shared" si="0"/>
        <v>2959649.9633789063</v>
      </c>
      <c r="J25" s="66"/>
      <c r="K25" s="53">
        <f>_xll.qlBondBpsFromYield(G25,M25,P25,Q25,R25,AD25,AE25)*H25/100</f>
        <v>1014.0095203234603</v>
      </c>
      <c r="L25" s="52">
        <f>_xll.qlBondDurationFromYield(G25,M25,P25,Q25,R25,"Modified",AD25,AE25)</f>
        <v>3.390600445466907</v>
      </c>
      <c r="M25" s="51">
        <f>_xll.qlBondYieldFromCleanPrice(G25,A25,P25,Q25,R25,S25,T25,U25,V25,W25)</f>
        <v>1.6489082969352611E-2</v>
      </c>
      <c r="N25" s="101">
        <f>_xll.qlBondZSpreadFromCleanPrice(G25,A25,O25,P25,Q25,R25,S25,T25,U25,V25,W25)/0.01%</f>
        <v>-4.3710383120699445</v>
      </c>
      <c r="O25" s="31" t="str">
        <f>VLOOKUP(E25,'ql-USCorp'!$A$72:$C$75,3,FALSE)</f>
        <v>USADF#0008</v>
      </c>
      <c r="P25" s="29" t="str">
        <f>FixBondObj!I24</f>
        <v>30/360</v>
      </c>
      <c r="Q25" s="29" t="s">
        <v>49</v>
      </c>
      <c r="R25" s="29" t="str">
        <f>VLOOKUP(VLOOKUP(FixBondObj!C24,ScheduleObj!Q:W,7,FALSE),Reference!$A$2:$B$4,2,FALSE)</f>
        <v>Semiannual</v>
      </c>
      <c r="S25" s="30">
        <f t="shared" si="8"/>
        <v>44560</v>
      </c>
      <c r="U25" s="29">
        <f t="shared" si="9"/>
        <v>100</v>
      </c>
      <c r="V25" s="29">
        <f t="shared" si="10"/>
        <v>0.05</v>
      </c>
      <c r="W25" s="29">
        <f t="shared" si="1"/>
        <v>1</v>
      </c>
      <c r="X25" s="48">
        <f>_xll.qlBondCleanPriceFromZSpread(G25,Y25,Z25,AA25,AB25,AC25,AD25,AE25)</f>
        <v>98.654998779296363</v>
      </c>
      <c r="Y25" s="31" t="str">
        <f t="shared" si="2"/>
        <v>USADF#0008</v>
      </c>
      <c r="Z25" s="29">
        <f t="shared" si="3"/>
        <v>-4.3710383120699445E-4</v>
      </c>
      <c r="AA25" s="29" t="str">
        <f t="shared" si="12"/>
        <v>30/360</v>
      </c>
      <c r="AB25" s="29" t="s">
        <v>49</v>
      </c>
      <c r="AC25" s="29" t="str">
        <f t="shared" si="13"/>
        <v>Semiannual</v>
      </c>
      <c r="AD25" s="30">
        <f t="shared" ref="AD25" si="21">AD24</f>
        <v>44560</v>
      </c>
      <c r="AE25" s="29">
        <f t="shared" si="7"/>
        <v>1</v>
      </c>
      <c r="AG25" s="68"/>
      <c r="AH25" s="49"/>
    </row>
    <row r="26" spans="1:34" ht="18" x14ac:dyDescent="0.25">
      <c r="A26" s="64">
        <f>VLOOKUP(FixBondObj!C25,ScheduleObj!Q:AB,12,FALSE)</f>
        <v>100.0019989013672</v>
      </c>
      <c r="B26" s="98" t="e">
        <f>_xll.qlBondCleanPrice(G26,_xll.ohTrigger($A$1))</f>
        <v>#NUM!</v>
      </c>
      <c r="C26" s="100" t="b">
        <f>_xll.qlInstrumentSetPricingEngine(G26,F26,_xll.ohTrigger($A$1))</f>
        <v>1</v>
      </c>
      <c r="D26" s="67" t="str">
        <f>VLOOKUP(FixBondObj!C25,ScheduleObj!Q:AA,11,FALSE)</f>
        <v>A1(Moody's)</v>
      </c>
      <c r="E26" s="32" t="str">
        <f>VLOOKUP(MID(D26,1,FIND("(",D26)-1),'ql-USCorp'!$A$81:$B$110,2,FALSE)</f>
        <v>A</v>
      </c>
      <c r="F26" s="31" t="str">
        <f>VLOOKUP(E26,'ql-USCorp'!$A$72:$B$75,2,FALSE)</f>
        <v>USAEng#0008</v>
      </c>
      <c r="G26" s="31" t="str">
        <f>FixBondObj!A25</f>
        <v>obj_000e5#0008</v>
      </c>
      <c r="H26" s="65">
        <f>VLOOKUP(FixBondObj!C25,ScheduleObj!Q:V,6,FALSE)</f>
        <v>500000</v>
      </c>
      <c r="I26" s="57">
        <f t="shared" si="0"/>
        <v>500009.994506836</v>
      </c>
      <c r="J26" s="66"/>
      <c r="K26" s="53">
        <f>_xll.qlBondBpsFromYield(G26,M26,P26,Q26,R26,AD26,AE26)*H26/100</f>
        <v>99.163872762887607</v>
      </c>
      <c r="L26" s="52">
        <f>_xll.qlBondDurationFromYield(G26,M26,P26,Q26,R26,"Modified",AD26,AE26)</f>
        <v>1.5717214909947468</v>
      </c>
      <c r="M26" s="51">
        <f>_xll.qlBondYieldFromCleanPrice(G26,A26,P26,Q26,R26,S26,T26,U26,V26,W26)</f>
        <v>9.9861199453845639E-3</v>
      </c>
      <c r="N26" s="101">
        <f>_xll.qlBondZSpreadFromCleanPrice(G26,A26,O26,P26,Q26,R26,S26,T26,U26,V26,W26)/0.01%</f>
        <v>-16.46428386708055</v>
      </c>
      <c r="O26" s="31" t="str">
        <f>VLOOKUP(E26,'ql-USCorp'!$A$72:$C$75,3,FALSE)</f>
        <v>USADF#0008</v>
      </c>
      <c r="P26" s="29" t="str">
        <f>FixBondObj!I25</f>
        <v>30/360</v>
      </c>
      <c r="Q26" s="29" t="s">
        <v>49</v>
      </c>
      <c r="R26" s="29" t="str">
        <f>VLOOKUP(VLOOKUP(FixBondObj!C25,ScheduleObj!Q:W,7,FALSE),Reference!$A$2:$B$4,2,FALSE)</f>
        <v>Semiannual</v>
      </c>
      <c r="S26" s="30">
        <f t="shared" si="8"/>
        <v>44560</v>
      </c>
      <c r="U26" s="29">
        <f t="shared" si="9"/>
        <v>100</v>
      </c>
      <c r="V26" s="29">
        <f t="shared" si="10"/>
        <v>0.05</v>
      </c>
      <c r="W26" s="29">
        <f t="shared" si="1"/>
        <v>1</v>
      </c>
      <c r="X26" s="48">
        <f>_xll.qlBondCleanPriceFromZSpread(G26,Y26,Z26,AA26,AB26,AC26,AD26,AE26)</f>
        <v>100.00199889831022</v>
      </c>
      <c r="Y26" s="31" t="str">
        <f t="shared" si="2"/>
        <v>USADF#0008</v>
      </c>
      <c r="Z26" s="29">
        <f t="shared" si="3"/>
        <v>-1.646428386708055E-3</v>
      </c>
      <c r="AA26" s="29" t="str">
        <f t="shared" si="12"/>
        <v>30/360</v>
      </c>
      <c r="AB26" s="29" t="s">
        <v>49</v>
      </c>
      <c r="AC26" s="29" t="str">
        <f t="shared" si="13"/>
        <v>Semiannual</v>
      </c>
      <c r="AD26" s="30">
        <f t="shared" ref="AD26" si="22">AD24</f>
        <v>44560</v>
      </c>
      <c r="AE26" s="29">
        <f t="shared" si="7"/>
        <v>1</v>
      </c>
      <c r="AG26" s="68"/>
      <c r="AH26" s="49"/>
    </row>
    <row r="27" spans="1:34" ht="18" x14ac:dyDescent="0.25">
      <c r="A27" s="64">
        <f>VLOOKUP(FixBondObj!C26,ScheduleObj!Q:AB,12,FALSE)</f>
        <v>98.722999572753906</v>
      </c>
      <c r="B27" s="98" t="e">
        <f>_xll.qlBondCleanPrice(G27,_xll.ohTrigger($A$1))</f>
        <v>#NUM!</v>
      </c>
      <c r="C27" s="100" t="b">
        <f>_xll.qlInstrumentSetPricingEngine(G27,F27,_xll.ohTrigger($A$1))</f>
        <v>1</v>
      </c>
      <c r="D27" s="67" t="str">
        <f>VLOOKUP(FixBondObj!C26,ScheduleObj!Q:AA,11,FALSE)</f>
        <v>A1(Moody's)</v>
      </c>
      <c r="E27" s="32" t="str">
        <f>VLOOKUP(MID(D27,1,FIND("(",D27)-1),'ql-USCorp'!$A$81:$B$110,2,FALSE)</f>
        <v>A</v>
      </c>
      <c r="F27" s="31" t="str">
        <f>VLOOKUP(E27,'ql-USCorp'!$A$72:$B$75,2,FALSE)</f>
        <v>USAEng#0008</v>
      </c>
      <c r="G27" s="31" t="str">
        <f>FixBondObj!A26</f>
        <v>obj_000cb#0008</v>
      </c>
      <c r="H27" s="65">
        <f>VLOOKUP(FixBondObj!C26,ScheduleObj!Q:V,6,FALSE)</f>
        <v>4000000</v>
      </c>
      <c r="I27" s="57">
        <f t="shared" si="0"/>
        <v>3948919.9829101563</v>
      </c>
      <c r="J27" s="66"/>
      <c r="K27" s="53">
        <f>_xll.qlBondBpsFromYield(G27,M27,P27,Q27,R27,AD27,AE27)*H27/100</f>
        <v>1553.4348631190826</v>
      </c>
      <c r="L27" s="52">
        <f>_xll.qlBondDurationFromYield(G27,M27,P27,Q27,R27,"Modified",AD27,AE27)</f>
        <v>3.479665294233242</v>
      </c>
      <c r="M27" s="51">
        <f>_xll.qlBondYieldFromCleanPrice(G27,A27,P27,Q27,R27,S27,T27,U27,V27,W27)</f>
        <v>1.6170178568847476E-2</v>
      </c>
      <c r="N27" s="101">
        <f>_xll.qlBondZSpreadFromCleanPrice(G27,A27,O27,P27,Q27,R27,S27,T27,U27,V27,W27)/0.01%</f>
        <v>-10.320845537749429</v>
      </c>
      <c r="O27" s="31" t="str">
        <f>VLOOKUP(E27,'ql-USCorp'!$A$72:$C$75,3,FALSE)</f>
        <v>USADF#0008</v>
      </c>
      <c r="P27" s="29" t="str">
        <f>FixBondObj!I26</f>
        <v>30/360</v>
      </c>
      <c r="Q27" s="29" t="s">
        <v>49</v>
      </c>
      <c r="R27" s="29" t="str">
        <f>VLOOKUP(VLOOKUP(FixBondObj!C26,ScheduleObj!Q:W,7,FALSE),Reference!$A$2:$B$4,2,FALSE)</f>
        <v>Semiannual</v>
      </c>
      <c r="S27" s="30">
        <f t="shared" si="8"/>
        <v>44560</v>
      </c>
      <c r="U27" s="29">
        <f t="shared" si="9"/>
        <v>100</v>
      </c>
      <c r="V27" s="29">
        <f t="shared" si="10"/>
        <v>0.05</v>
      </c>
      <c r="W27" s="29">
        <f t="shared" si="1"/>
        <v>1</v>
      </c>
      <c r="X27" s="48">
        <f>_xll.qlBondCleanPriceFromZSpread(G27,Y27,Z27,AA27,AB27,AC27,AD27,AE27)</f>
        <v>98.722999572753238</v>
      </c>
      <c r="Y27" s="31" t="str">
        <f t="shared" si="2"/>
        <v>USADF#0008</v>
      </c>
      <c r="Z27" s="29">
        <f t="shared" si="3"/>
        <v>-1.032084553774943E-3</v>
      </c>
      <c r="AA27" s="29" t="str">
        <f t="shared" si="12"/>
        <v>30/360</v>
      </c>
      <c r="AB27" s="29" t="s">
        <v>49</v>
      </c>
      <c r="AC27" s="29" t="str">
        <f t="shared" si="13"/>
        <v>Semiannual</v>
      </c>
      <c r="AD27" s="30">
        <f t="shared" ref="AD27" si="23">AD26</f>
        <v>44560</v>
      </c>
      <c r="AE27" s="29">
        <f t="shared" si="7"/>
        <v>1</v>
      </c>
      <c r="AG27" s="68"/>
      <c r="AH27" s="49"/>
    </row>
    <row r="28" spans="1:34" ht="18" x14ac:dyDescent="0.25">
      <c r="A28" s="64">
        <f>VLOOKUP(FixBondObj!C27,ScheduleObj!Q:AB,12,FALSE)</f>
        <v>98.200996398925781</v>
      </c>
      <c r="B28" s="98" t="e">
        <f>_xll.qlBondCleanPrice(G28,_xll.ohTrigger($A$1))</f>
        <v>#NUM!</v>
      </c>
      <c r="C28" s="100" t="b">
        <f>_xll.qlInstrumentSetPricingEngine(G28,F28,_xll.ohTrigger($A$1))</f>
        <v>1</v>
      </c>
      <c r="D28" s="67" t="str">
        <f>VLOOKUP(FixBondObj!C27,ScheduleObj!Q:AA,11,FALSE)</f>
        <v>A-(S &amp; P)</v>
      </c>
      <c r="E28" s="32" t="str">
        <f>VLOOKUP(MID(D28,1,FIND("(",D28)-1),'ql-USCorp'!$A$81:$B$110,2,FALSE)</f>
        <v>A</v>
      </c>
      <c r="F28" s="31" t="str">
        <f>VLOOKUP(E28,'ql-USCorp'!$A$72:$B$75,2,FALSE)</f>
        <v>USAEng#0008</v>
      </c>
      <c r="G28" s="31" t="str">
        <f>FixBondObj!A27</f>
        <v>obj_000da#0008</v>
      </c>
      <c r="H28" s="65">
        <f>VLOOKUP(FixBondObj!C27,ScheduleObj!Q:V,6,FALSE)</f>
        <v>10000000</v>
      </c>
      <c r="I28" s="57">
        <f t="shared" si="0"/>
        <v>9820099.6398925781</v>
      </c>
      <c r="J28" s="66"/>
      <c r="K28" s="53">
        <f>_xll.qlBondBpsFromYield(G28,M28,P28,Q28,R28,AD28,AE28)*H28/100</f>
        <v>3889.6843932108391</v>
      </c>
      <c r="L28" s="52">
        <f>_xll.qlBondDurationFromYield(G28,M28,P28,Q28,R28,"Modified",AD28,AE28)</f>
        <v>3.5754025868270305</v>
      </c>
      <c r="M28" s="51">
        <f>_xll.qlBondYieldFromCleanPrice(G28,A28,P28,Q28,R28,S28,T28,U28,V28,W28)</f>
        <v>1.5052796751298014E-2</v>
      </c>
      <c r="N28" s="101">
        <f>_xll.qlBondZSpreadFromCleanPrice(G28,A28,O28,P28,Q28,R28,S28,T28,U28,V28,W28)/0.01%</f>
        <v>-23.386370178697621</v>
      </c>
      <c r="O28" s="31" t="str">
        <f>VLOOKUP(E28,'ql-USCorp'!$A$72:$C$75,3,FALSE)</f>
        <v>USADF#0008</v>
      </c>
      <c r="P28" s="29" t="str">
        <f>FixBondObj!I27</f>
        <v>30/360</v>
      </c>
      <c r="Q28" s="29" t="s">
        <v>49</v>
      </c>
      <c r="R28" s="29" t="str">
        <f>VLOOKUP(VLOOKUP(FixBondObj!C27,ScheduleObj!Q:W,7,FALSE),Reference!$A$2:$B$4,2,FALSE)</f>
        <v>Semiannual</v>
      </c>
      <c r="S28" s="30">
        <f t="shared" si="8"/>
        <v>44560</v>
      </c>
      <c r="U28" s="29">
        <f t="shared" si="9"/>
        <v>100</v>
      </c>
      <c r="V28" s="29">
        <f t="shared" si="10"/>
        <v>0.05</v>
      </c>
      <c r="W28" s="29">
        <f t="shared" si="1"/>
        <v>1</v>
      </c>
      <c r="X28" s="48">
        <f>_xll.qlBondCleanPriceFromZSpread(G28,Y28,Z28,AA28,AB28,AC28,AD28,AE28)</f>
        <v>98.200996398913205</v>
      </c>
      <c r="Y28" s="31" t="str">
        <f t="shared" si="2"/>
        <v>USADF#0008</v>
      </c>
      <c r="Z28" s="29">
        <f t="shared" si="3"/>
        <v>-2.3386370178697623E-3</v>
      </c>
      <c r="AA28" s="29" t="str">
        <f t="shared" si="12"/>
        <v>30/360</v>
      </c>
      <c r="AB28" s="29" t="s">
        <v>49</v>
      </c>
      <c r="AC28" s="29" t="str">
        <f t="shared" si="13"/>
        <v>Semiannual</v>
      </c>
      <c r="AD28" s="30">
        <f t="shared" ref="AD28" si="24">AD26</f>
        <v>44560</v>
      </c>
      <c r="AE28" s="29">
        <f t="shared" si="7"/>
        <v>1</v>
      </c>
      <c r="AG28" s="68"/>
      <c r="AH28" s="49"/>
    </row>
    <row r="29" spans="1:34" ht="18" x14ac:dyDescent="0.25">
      <c r="A29" s="64">
        <f>VLOOKUP(FixBondObj!C28,ScheduleObj!Q:AB,12,FALSE)</f>
        <v>99.765998840332031</v>
      </c>
      <c r="B29" s="98" t="e">
        <f>_xll.qlBondCleanPrice(G29,_xll.ohTrigger($A$1))</f>
        <v>#NUM!</v>
      </c>
      <c r="C29" s="100" t="b">
        <f>_xll.qlInstrumentSetPricingEngine(G29,F29,_xll.ohTrigger($A$1))</f>
        <v>1</v>
      </c>
      <c r="D29" s="67" t="str">
        <f>VLOOKUP(FixBondObj!C28,ScheduleObj!Q:AA,11,FALSE)</f>
        <v>A-(S &amp; P)</v>
      </c>
      <c r="E29" s="32" t="str">
        <f>VLOOKUP(MID(D29,1,FIND("(",D29)-1),'ql-USCorp'!$A$81:$B$110,2,FALSE)</f>
        <v>A</v>
      </c>
      <c r="F29" s="31" t="str">
        <f>VLOOKUP(E29,'ql-USCorp'!$A$72:$B$75,2,FALSE)</f>
        <v>USAEng#0008</v>
      </c>
      <c r="G29" s="31" t="str">
        <f>FixBondObj!A28</f>
        <v>obj_000dc#0008</v>
      </c>
      <c r="H29" s="65">
        <f>VLOOKUP(FixBondObj!C28,ScheduleObj!Q:V,6,FALSE)</f>
        <v>11000000</v>
      </c>
      <c r="I29" s="57">
        <f t="shared" si="0"/>
        <v>10974259.872436523</v>
      </c>
      <c r="J29" s="66"/>
      <c r="K29" s="53">
        <f>_xll.qlBondBpsFromYield(G29,M29,P29,Q29,R29,AD29,AE29)*H29/100</f>
        <v>8842.6788879435135</v>
      </c>
      <c r="L29" s="52">
        <f>_xll.qlBondDurationFromYield(G29,M29,P29,Q29,R29,"Modified",AD29,AE29)</f>
        <v>7.8422517229351261</v>
      </c>
      <c r="M29" s="51">
        <f>_xll.qlBondYieldFromCleanPrice(G29,A29,P29,Q29,R29,S29,T29,U29,V29,W29)</f>
        <v>2.5295173835381869E-2</v>
      </c>
      <c r="N29" s="101">
        <f>_xll.qlBondZSpreadFromCleanPrice(G29,A29,O29,P29,Q29,R29,S29,T29,U29,V29,W29)/0.01%</f>
        <v>4.7762447462125168</v>
      </c>
      <c r="O29" s="31" t="str">
        <f>VLOOKUP(E29,'ql-USCorp'!$A$72:$C$75,3,FALSE)</f>
        <v>USADF#0008</v>
      </c>
      <c r="P29" s="29" t="str">
        <f>FixBondObj!I28</f>
        <v>30/360</v>
      </c>
      <c r="Q29" s="29" t="s">
        <v>49</v>
      </c>
      <c r="R29" s="29" t="str">
        <f>VLOOKUP(VLOOKUP(FixBondObj!C28,ScheduleObj!Q:W,7,FALSE),Reference!$A$2:$B$4,2,FALSE)</f>
        <v>Semiannual</v>
      </c>
      <c r="S29" s="30">
        <f t="shared" si="8"/>
        <v>44560</v>
      </c>
      <c r="U29" s="29">
        <f t="shared" si="9"/>
        <v>100</v>
      </c>
      <c r="V29" s="29">
        <f t="shared" si="10"/>
        <v>0.05</v>
      </c>
      <c r="W29" s="29">
        <f t="shared" si="1"/>
        <v>1</v>
      </c>
      <c r="X29" s="48">
        <f>_xll.qlBondCleanPriceFromZSpread(G29,Y29,Z29,AA29,AB29,AC29,AD29,AE29)</f>
        <v>99.765998838512488</v>
      </c>
      <c r="Y29" s="31" t="str">
        <f t="shared" si="2"/>
        <v>USADF#0008</v>
      </c>
      <c r="Z29" s="29">
        <f t="shared" si="3"/>
        <v>4.776244746212517E-4</v>
      </c>
      <c r="AA29" s="29" t="str">
        <f t="shared" si="12"/>
        <v>30/360</v>
      </c>
      <c r="AB29" s="29" t="s">
        <v>49</v>
      </c>
      <c r="AC29" s="29" t="str">
        <f t="shared" si="13"/>
        <v>Semiannual</v>
      </c>
      <c r="AD29" s="30">
        <f t="shared" ref="AD29" si="25">AD28</f>
        <v>44560</v>
      </c>
      <c r="AE29" s="29">
        <f t="shared" si="7"/>
        <v>1</v>
      </c>
      <c r="AG29" s="68"/>
      <c r="AH29" s="49"/>
    </row>
    <row r="30" spans="1:34" ht="18" x14ac:dyDescent="0.25">
      <c r="A30" s="64">
        <f>VLOOKUP(FixBondObj!C29,ScheduleObj!Q:AB,12,FALSE)</f>
        <v>96.647003173828125</v>
      </c>
      <c r="B30" s="98" t="e">
        <f>_xll.qlBondCleanPrice(G30,_xll.ohTrigger($A$1))</f>
        <v>#NUM!</v>
      </c>
      <c r="C30" s="100" t="b">
        <f>_xll.qlInstrumentSetPricingEngine(G30,F30,_xll.ohTrigger($A$1))</f>
        <v>1</v>
      </c>
      <c r="D30" s="67" t="str">
        <f>VLOOKUP(FixBondObj!C29,ScheduleObj!Q:AA,11,FALSE)</f>
        <v>A(Fitch)</v>
      </c>
      <c r="E30" s="32" t="str">
        <f>VLOOKUP(MID(D30,1,FIND("(",D30)-1),'ql-USCorp'!$A$81:$B$110,2,FALSE)</f>
        <v>A</v>
      </c>
      <c r="F30" s="31" t="str">
        <f>VLOOKUP(E30,'ql-USCorp'!$A$72:$B$75,2,FALSE)</f>
        <v>USAEng#0008</v>
      </c>
      <c r="G30" s="31" t="str">
        <f>FixBondObj!A29</f>
        <v>obj_000d3#0008</v>
      </c>
      <c r="H30" s="65">
        <f>VLOOKUP(FixBondObj!C29,ScheduleObj!Q:V,6,FALSE)</f>
        <v>5000000</v>
      </c>
      <c r="I30" s="57">
        <f t="shared" si="0"/>
        <v>4832350.1586914063</v>
      </c>
      <c r="J30" s="66"/>
      <c r="K30" s="53">
        <f>_xll.qlBondBpsFromYield(G30,M30,P30,Q30,R30,AD30,AE30)*H30/100</f>
        <v>3987.3748145281675</v>
      </c>
      <c r="L30" s="52">
        <f>_xll.qlBondDurationFromYield(G30,M30,P30,Q30,R30,"Modified",AD30,AE30)</f>
        <v>7.9755150493457618</v>
      </c>
      <c r="M30" s="51">
        <f>_xll.qlBondYieldFromCleanPrice(G30,A30,P30,Q30,R30,S30,T30,U30,V30,W30)</f>
        <v>2.6756038996204736E-2</v>
      </c>
      <c r="N30" s="101">
        <f>_xll.qlBondZSpreadFromCleanPrice(G30,A30,O30,P30,Q30,R30,S30,T30,U30,V30,W30)/0.01%</f>
        <v>18.089929155880789</v>
      </c>
      <c r="O30" s="31" t="str">
        <f>VLOOKUP(E30,'ql-USCorp'!$A$72:$C$75,3,FALSE)</f>
        <v>USADF#0008</v>
      </c>
      <c r="P30" s="29" t="str">
        <f>FixBondObj!I29</f>
        <v>30/360</v>
      </c>
      <c r="Q30" s="29" t="s">
        <v>49</v>
      </c>
      <c r="R30" s="29" t="str">
        <f>VLOOKUP(VLOOKUP(FixBondObj!C29,ScheduleObj!Q:W,7,FALSE),Reference!$A$2:$B$4,2,FALSE)</f>
        <v>Semiannual</v>
      </c>
      <c r="S30" s="30">
        <f t="shared" si="8"/>
        <v>44560</v>
      </c>
      <c r="U30" s="29">
        <f t="shared" si="9"/>
        <v>100</v>
      </c>
      <c r="V30" s="29">
        <f t="shared" si="10"/>
        <v>0.05</v>
      </c>
      <c r="W30" s="29">
        <f t="shared" si="1"/>
        <v>1</v>
      </c>
      <c r="X30" s="48">
        <f>_xll.qlBondCleanPriceFromZSpread(G30,Y30,Z30,AA30,AB30,AC30,AD30,AE30)</f>
        <v>96.647003172063037</v>
      </c>
      <c r="Y30" s="31" t="str">
        <f t="shared" si="2"/>
        <v>USADF#0008</v>
      </c>
      <c r="Z30" s="29">
        <f t="shared" si="3"/>
        <v>1.808992915588079E-3</v>
      </c>
      <c r="AA30" s="29" t="str">
        <f t="shared" si="12"/>
        <v>30/360</v>
      </c>
      <c r="AB30" s="29" t="s">
        <v>49</v>
      </c>
      <c r="AC30" s="29" t="str">
        <f t="shared" si="13"/>
        <v>Semiannual</v>
      </c>
      <c r="AD30" s="30">
        <f t="shared" ref="AD30" si="26">AD28</f>
        <v>44560</v>
      </c>
      <c r="AE30" s="29">
        <f t="shared" si="7"/>
        <v>1</v>
      </c>
      <c r="AG30" s="68"/>
      <c r="AH30" s="49"/>
    </row>
    <row r="31" spans="1:34" ht="18" x14ac:dyDescent="0.25">
      <c r="A31" s="64">
        <f>VLOOKUP(FixBondObj!C30,ScheduleObj!Q:AB,12,FALSE)</f>
        <v>97.570999145507813</v>
      </c>
      <c r="B31" s="98" t="e">
        <f>_xll.qlBondCleanPrice(G31,_xll.ohTrigger($A$1))</f>
        <v>#NUM!</v>
      </c>
      <c r="C31" s="100" t="b">
        <f>_xll.qlInstrumentSetPricingEngine(G31,F31,_xll.ohTrigger($A$1))</f>
        <v>1</v>
      </c>
      <c r="D31" s="67" t="str">
        <f>VLOOKUP(FixBondObj!C30,ScheduleObj!Q:AA,11,FALSE)</f>
        <v>A1(Moody's)</v>
      </c>
      <c r="E31" s="32" t="str">
        <f>VLOOKUP(MID(D31,1,FIND("(",D31)-1),'ql-USCorp'!$A$81:$B$110,2,FALSE)</f>
        <v>A</v>
      </c>
      <c r="F31" s="31" t="str">
        <f>VLOOKUP(E31,'ql-USCorp'!$A$72:$B$75,2,FALSE)</f>
        <v>USAEng#0008</v>
      </c>
      <c r="G31" s="31" t="str">
        <f>FixBondObj!A30</f>
        <v>obj_000d4#0008</v>
      </c>
      <c r="H31" s="65">
        <f>VLOOKUP(FixBondObj!C30,ScheduleObj!Q:V,6,FALSE)</f>
        <v>1500000</v>
      </c>
      <c r="I31" s="57">
        <f t="shared" si="0"/>
        <v>1463564.9871826172</v>
      </c>
      <c r="J31" s="66"/>
      <c r="K31" s="53">
        <f>_xll.qlBondBpsFromYield(G31,M31,P31,Q31,R31,AD31,AE31)*H31/100</f>
        <v>578.17673754250472</v>
      </c>
      <c r="L31" s="52">
        <f>_xll.qlBondDurationFromYield(G31,M31,P31,Q31,R31,"Modified",AD31,AE31)</f>
        <v>3.8320713409490867</v>
      </c>
      <c r="M31" s="51">
        <f>_xll.qlBondYieldFromCleanPrice(G31,A31,P31,Q31,R31,S31,T31,U31,V31,W31)</f>
        <v>1.5332251468263572E-2</v>
      </c>
      <c r="N31" s="101">
        <f>_xll.qlBondZSpreadFromCleanPrice(G31,A31,O31,P31,Q31,R31,S31,T31,U31,V31,W31)/0.01%</f>
        <v>-27.203168480203932</v>
      </c>
      <c r="O31" s="31" t="str">
        <f>VLOOKUP(E31,'ql-USCorp'!$A$72:$C$75,3,FALSE)</f>
        <v>USADF#0008</v>
      </c>
      <c r="P31" s="29" t="str">
        <f>FixBondObj!I30</f>
        <v>30/360</v>
      </c>
      <c r="Q31" s="29" t="s">
        <v>49</v>
      </c>
      <c r="R31" s="29" t="str">
        <f>VLOOKUP(VLOOKUP(FixBondObj!C30,ScheduleObj!Q:W,7,FALSE),Reference!$A$2:$B$4,2,FALSE)</f>
        <v>Annual</v>
      </c>
      <c r="S31" s="30">
        <f t="shared" si="8"/>
        <v>44560</v>
      </c>
      <c r="U31" s="29">
        <f t="shared" si="9"/>
        <v>100</v>
      </c>
      <c r="V31" s="29">
        <f t="shared" si="10"/>
        <v>0.05</v>
      </c>
      <c r="W31" s="29">
        <f t="shared" si="1"/>
        <v>1</v>
      </c>
      <c r="X31" s="48">
        <f>_xll.qlBondCleanPriceFromZSpread(G31,Y31,Z31,AA31,AB31,AC31,AD31,AE31)</f>
        <v>97.570999145464853</v>
      </c>
      <c r="Y31" s="31" t="str">
        <f t="shared" si="2"/>
        <v>USADF#0008</v>
      </c>
      <c r="Z31" s="29">
        <f t="shared" si="3"/>
        <v>-2.7203168480203935E-3</v>
      </c>
      <c r="AA31" s="29" t="str">
        <f t="shared" si="12"/>
        <v>30/360</v>
      </c>
      <c r="AB31" s="29" t="s">
        <v>49</v>
      </c>
      <c r="AC31" s="29" t="str">
        <f t="shared" si="13"/>
        <v>Annual</v>
      </c>
      <c r="AD31" s="30">
        <f t="shared" ref="AD31" si="27">AD30</f>
        <v>44560</v>
      </c>
      <c r="AE31" s="29">
        <f t="shared" si="7"/>
        <v>1</v>
      </c>
      <c r="AG31" s="68"/>
      <c r="AH31" s="49"/>
    </row>
    <row r="32" spans="1:34" ht="18" x14ac:dyDescent="0.25">
      <c r="A32" s="64">
        <f>VLOOKUP(FixBondObj!C31,ScheduleObj!Q:AB,12,FALSE)</f>
        <v>98.853996276855469</v>
      </c>
      <c r="B32" s="98" t="e">
        <f>_xll.qlBondCleanPrice(G32,_xll.ohTrigger($A$1))</f>
        <v>#NUM!</v>
      </c>
      <c r="C32" s="100" t="b">
        <f>_xll.qlInstrumentSetPricingEngine(G32,F32,_xll.ohTrigger($A$1))</f>
        <v>1</v>
      </c>
      <c r="D32" s="67" t="str">
        <f>VLOOKUP(FixBondObj!C31,ScheduleObj!Q:AA,11,FALSE)</f>
        <v>Aa2(Moody's)</v>
      </c>
      <c r="E32" s="32" t="str">
        <f>VLOOKUP(MID(D32,1,FIND("(",D32)-1),'ql-USCorp'!$A$81:$B$110,2,FALSE)</f>
        <v>AA</v>
      </c>
      <c r="F32" s="31" t="str">
        <f>VLOOKUP(E32,'ql-USCorp'!$A$72:$B$75,2,FALSE)</f>
        <v>USAAEng#0008</v>
      </c>
      <c r="G32" s="31" t="str">
        <f>FixBondObj!A31</f>
        <v>obj_000ce#0008</v>
      </c>
      <c r="H32" s="65">
        <f>VLOOKUP(FixBondObj!C31,ScheduleObj!Q:V,6,FALSE)</f>
        <v>5000000</v>
      </c>
      <c r="I32" s="57">
        <f t="shared" si="0"/>
        <v>4942699.8138427734</v>
      </c>
      <c r="J32" s="66"/>
      <c r="K32" s="53">
        <f>_xll.qlBondBpsFromYield(G32,M32,P32,Q32,R32,AD32,AE32)*H32/100</f>
        <v>2178.3322014876276</v>
      </c>
      <c r="L32" s="52">
        <f>_xll.qlBondDurationFromYield(G32,M32,P32,Q32,R32,"Modified",AD32,AE32)</f>
        <v>3.9684490304619002</v>
      </c>
      <c r="M32" s="51">
        <f>_xll.qlBondYieldFromCleanPrice(G32,A32,P32,Q32,R32,S32,T32,U32,V32,W32)</f>
        <v>1.5486972025968139E-2</v>
      </c>
      <c r="N32" s="101">
        <f>_xll.qlBondZSpreadFromCleanPrice(G32,A32,O32,P32,Q32,R32,S32,T32,U32,V32,W32)/0.01%</f>
        <v>-0.17040718285681633</v>
      </c>
      <c r="O32" s="31" t="str">
        <f>VLOOKUP(E32,'ql-USCorp'!$A$72:$C$75,3,FALSE)</f>
        <v>USAADF#0008</v>
      </c>
      <c r="P32" s="29" t="str">
        <f>FixBondObj!I31</f>
        <v>30/360</v>
      </c>
      <c r="Q32" s="29" t="s">
        <v>49</v>
      </c>
      <c r="R32" s="29" t="str">
        <f>VLOOKUP(VLOOKUP(FixBondObj!C31,ScheduleObj!Q:W,7,FALSE),Reference!$A$2:$B$4,2,FALSE)</f>
        <v>Semiannual</v>
      </c>
      <c r="S32" s="30">
        <f t="shared" si="8"/>
        <v>44560</v>
      </c>
      <c r="U32" s="29">
        <f t="shared" si="9"/>
        <v>100</v>
      </c>
      <c r="V32" s="29">
        <f t="shared" si="10"/>
        <v>0.05</v>
      </c>
      <c r="W32" s="29">
        <f t="shared" si="1"/>
        <v>1</v>
      </c>
      <c r="X32" s="48">
        <f>_xll.qlBondCleanPriceFromZSpread(G32,Y32,Z32,AA32,AB32,AC32,AD32,AE32)</f>
        <v>98.853996276853394</v>
      </c>
      <c r="Y32" s="31" t="str">
        <f t="shared" si="2"/>
        <v>USAADF#0008</v>
      </c>
      <c r="Z32" s="29">
        <f t="shared" si="3"/>
        <v>-1.7040718285681635E-5</v>
      </c>
      <c r="AA32" s="29" t="str">
        <f t="shared" si="12"/>
        <v>30/360</v>
      </c>
      <c r="AB32" s="29" t="s">
        <v>49</v>
      </c>
      <c r="AC32" s="29" t="str">
        <f t="shared" si="13"/>
        <v>Semiannual</v>
      </c>
      <c r="AD32" s="30">
        <f t="shared" ref="AD32" si="28">AD30</f>
        <v>44560</v>
      </c>
      <c r="AE32" s="29">
        <f t="shared" si="7"/>
        <v>1</v>
      </c>
      <c r="AG32" s="68"/>
      <c r="AH32" s="49"/>
    </row>
    <row r="33" spans="1:34" ht="18" x14ac:dyDescent="0.25">
      <c r="A33" s="64">
        <f>VLOOKUP(FixBondObj!C32,ScheduleObj!Q:AB,12,FALSE)</f>
        <v>99.752998352050781</v>
      </c>
      <c r="B33" s="98" t="e">
        <f>_xll.qlBondCleanPrice(G33,_xll.ohTrigger($A$1))</f>
        <v>#NUM!</v>
      </c>
      <c r="C33" s="100" t="b">
        <f>_xll.qlInstrumentSetPricingEngine(G33,F33,_xll.ohTrigger($A$1))</f>
        <v>1</v>
      </c>
      <c r="D33" s="67" t="str">
        <f>VLOOKUP(FixBondObj!C32,ScheduleObj!Q:AA,11,FALSE)</f>
        <v>A3(Moody's)</v>
      </c>
      <c r="E33" s="32" t="str">
        <f>VLOOKUP(MID(D33,1,FIND("(",D33)-1),'ql-USCorp'!$A$81:$B$110,2,FALSE)</f>
        <v>A</v>
      </c>
      <c r="F33" s="31" t="str">
        <f>VLOOKUP(E33,'ql-USCorp'!$A$72:$B$75,2,FALSE)</f>
        <v>USAEng#0008</v>
      </c>
      <c r="G33" s="31" t="str">
        <f>FixBondObj!A32</f>
        <v>obj_000cf#0008</v>
      </c>
      <c r="H33" s="65">
        <f>VLOOKUP(FixBondObj!C32,ScheduleObj!Q:V,6,FALSE)</f>
        <v>5000000</v>
      </c>
      <c r="I33" s="57">
        <f t="shared" si="0"/>
        <v>4987649.9176025391</v>
      </c>
      <c r="J33" s="66"/>
      <c r="K33" s="53">
        <f>_xll.qlBondBpsFromYield(G33,M33,P33,Q33,R33,AD33,AE33)*H33/100</f>
        <v>2170.0530375526218</v>
      </c>
      <c r="L33" s="52">
        <f>_xll.qlBondDurationFromYield(G33,M33,P33,Q33,R33,"Modified",AD33,AE33)</f>
        <v>4.0794799654398055</v>
      </c>
      <c r="M33" s="51">
        <f>_xll.qlBondYieldFromCleanPrice(G33,A33,P33,Q33,R33,S33,T33,U33,V33,W33)</f>
        <v>1.6241893180087216E-2</v>
      </c>
      <c r="N33" s="101">
        <f>_xll.qlBondZSpreadFromCleanPrice(G33,A33,O33,P33,Q33,R33,S33,T33,U33,V33,W33)/0.01%</f>
        <v>-22.317128727326065</v>
      </c>
      <c r="O33" s="31" t="str">
        <f>VLOOKUP(E33,'ql-USCorp'!$A$72:$C$75,3,FALSE)</f>
        <v>USADF#0008</v>
      </c>
      <c r="P33" s="29" t="str">
        <f>FixBondObj!I32</f>
        <v>30/360</v>
      </c>
      <c r="Q33" s="29" t="s">
        <v>49</v>
      </c>
      <c r="R33" s="29" t="str">
        <f>VLOOKUP(VLOOKUP(FixBondObj!C32,ScheduleObj!Q:W,7,FALSE),Reference!$A$2:$B$4,2,FALSE)</f>
        <v>Semiannual</v>
      </c>
      <c r="S33" s="30">
        <f t="shared" si="8"/>
        <v>44560</v>
      </c>
      <c r="U33" s="29">
        <f t="shared" si="9"/>
        <v>100</v>
      </c>
      <c r="V33" s="29">
        <f t="shared" si="10"/>
        <v>0.05</v>
      </c>
      <c r="W33" s="29">
        <f t="shared" si="1"/>
        <v>1</v>
      </c>
      <c r="X33" s="48">
        <f>_xll.qlBondCleanPriceFromZSpread(G33,Y33,Z33,AA33,AB33,AC33,AD33,AE33)</f>
        <v>99.752998352010309</v>
      </c>
      <c r="Y33" s="31" t="str">
        <f t="shared" si="2"/>
        <v>USADF#0008</v>
      </c>
      <c r="Z33" s="29">
        <f t="shared" si="3"/>
        <v>-2.2317128727326065E-3</v>
      </c>
      <c r="AA33" s="29" t="str">
        <f t="shared" si="12"/>
        <v>30/360</v>
      </c>
      <c r="AB33" s="29" t="s">
        <v>49</v>
      </c>
      <c r="AC33" s="29" t="str">
        <f t="shared" si="13"/>
        <v>Semiannual</v>
      </c>
      <c r="AD33" s="30">
        <f t="shared" ref="AD33" si="29">AD32</f>
        <v>44560</v>
      </c>
      <c r="AE33" s="29">
        <f t="shared" si="7"/>
        <v>1</v>
      </c>
      <c r="AG33" s="68"/>
      <c r="AH33" s="49"/>
    </row>
    <row r="34" spans="1:34" ht="18" x14ac:dyDescent="0.25">
      <c r="A34" s="64">
        <f>VLOOKUP(FixBondObj!C33,ScheduleObj!Q:AB,12,FALSE)</f>
        <v>98.722000122070313</v>
      </c>
      <c r="B34" s="98" t="e">
        <f>_xll.qlBondCleanPrice(G34,_xll.ohTrigger($A$1))</f>
        <v>#NUM!</v>
      </c>
      <c r="C34" s="100" t="b">
        <f>_xll.qlInstrumentSetPricingEngine(G34,F34,_xll.ohTrigger($A$1))</f>
        <v>1</v>
      </c>
      <c r="D34" s="67" t="str">
        <f>VLOOKUP(FixBondObj!C33,ScheduleObj!Q:AA,11,FALSE)</f>
        <v>A3(Moody's)</v>
      </c>
      <c r="E34" s="32" t="str">
        <f>VLOOKUP(MID(D34,1,FIND("(",D34)-1),'ql-USCorp'!$A$81:$B$110,2,FALSE)</f>
        <v>A</v>
      </c>
      <c r="F34" s="31" t="str">
        <f>VLOOKUP(E34,'ql-USCorp'!$A$72:$B$75,2,FALSE)</f>
        <v>USAEng#0008</v>
      </c>
      <c r="G34" s="31" t="str">
        <f>FixBondObj!A33</f>
        <v>obj_000c4#0008</v>
      </c>
      <c r="H34" s="65">
        <f>VLOOKUP(FixBondObj!C33,ScheduleObj!Q:V,6,FALSE)</f>
        <v>5000000</v>
      </c>
      <c r="I34" s="57">
        <f t="shared" si="0"/>
        <v>4936100.0061035156</v>
      </c>
      <c r="J34" s="66"/>
      <c r="K34" s="53">
        <f>_xll.qlBondBpsFromYield(G34,M34,P34,Q34,R34,AD34,AE34)*H34/100</f>
        <v>2162.4019873415141</v>
      </c>
      <c r="L34" s="52">
        <f>_xll.qlBondDurationFromYield(G34,M34,P34,Q34,R34,"Modified",AD34,AE34)</f>
        <v>4.0800286208168055</v>
      </c>
      <c r="M34" s="51">
        <f>_xll.qlBondYieldFromCleanPrice(G34,A34,P34,Q34,R34,S34,T34,U34,V34,W34)</f>
        <v>1.8135920278355484E-2</v>
      </c>
      <c r="N34" s="101">
        <f>_xll.qlBondZSpreadFromCleanPrice(G34,A34,O34,P34,Q34,R34,S34,T34,U34,V34,W34)/0.01%</f>
        <v>-3.6771438618970342</v>
      </c>
      <c r="O34" s="31" t="str">
        <f>VLOOKUP(E34,'ql-USCorp'!$A$72:$C$75,3,FALSE)</f>
        <v>USADF#0008</v>
      </c>
      <c r="P34" s="29" t="str">
        <f>FixBondObj!I33</f>
        <v>30/360</v>
      </c>
      <c r="Q34" s="29" t="s">
        <v>49</v>
      </c>
      <c r="R34" s="29" t="str">
        <f>VLOOKUP(VLOOKUP(FixBondObj!C33,ScheduleObj!Q:W,7,FALSE),Reference!$A$2:$B$4,2,FALSE)</f>
        <v>Semiannual</v>
      </c>
      <c r="S34" s="30">
        <f t="shared" si="8"/>
        <v>44560</v>
      </c>
      <c r="U34" s="29">
        <f t="shared" si="9"/>
        <v>100</v>
      </c>
      <c r="V34" s="29">
        <f t="shared" si="10"/>
        <v>0.05</v>
      </c>
      <c r="W34" s="29">
        <f t="shared" si="1"/>
        <v>1</v>
      </c>
      <c r="X34" s="48">
        <f>_xll.qlBondCleanPriceFromZSpread(G34,Y34,Z34,AA34,AB34,AC34,AD34,AE34)</f>
        <v>98.722000122067456</v>
      </c>
      <c r="Y34" s="31" t="str">
        <f t="shared" si="2"/>
        <v>USADF#0008</v>
      </c>
      <c r="Z34" s="29">
        <f t="shared" si="3"/>
        <v>-3.6771438618970342E-4</v>
      </c>
      <c r="AA34" s="29" t="str">
        <f t="shared" si="12"/>
        <v>30/360</v>
      </c>
      <c r="AB34" s="29" t="s">
        <v>49</v>
      </c>
      <c r="AC34" s="29" t="str">
        <f t="shared" si="13"/>
        <v>Semiannual</v>
      </c>
      <c r="AD34" s="30">
        <f t="shared" ref="AD34" si="30">AD32</f>
        <v>44560</v>
      </c>
      <c r="AE34" s="29">
        <f t="shared" si="7"/>
        <v>1</v>
      </c>
      <c r="AG34" s="68"/>
      <c r="AH34" s="49"/>
    </row>
    <row r="35" spans="1:34" ht="18" x14ac:dyDescent="0.25">
      <c r="A35" s="64">
        <f>VLOOKUP(FixBondObj!C34,ScheduleObj!Q:AB,12,FALSE)</f>
        <v>97.869003295898438</v>
      </c>
      <c r="B35" s="98" t="e">
        <f>_xll.qlBondCleanPrice(G35,_xll.ohTrigger($A$1))</f>
        <v>#NUM!</v>
      </c>
      <c r="C35" s="100" t="b">
        <f>_xll.qlInstrumentSetPricingEngine(G35,F35,_xll.ohTrigger($A$1))</f>
        <v>1</v>
      </c>
      <c r="D35" s="67" t="str">
        <f>VLOOKUP(FixBondObj!C34,ScheduleObj!Q:AA,11,FALSE)</f>
        <v>A2(Moody's)</v>
      </c>
      <c r="E35" s="32" t="str">
        <f>VLOOKUP(MID(D35,1,FIND("(",D35)-1),'ql-USCorp'!$A$81:$B$110,2,FALSE)</f>
        <v>A</v>
      </c>
      <c r="F35" s="31" t="str">
        <f>VLOOKUP(E35,'ql-USCorp'!$A$72:$B$75,2,FALSE)</f>
        <v>USAEng#0008</v>
      </c>
      <c r="G35" s="31" t="str">
        <f>FixBondObj!A34</f>
        <v>obj_000c6#0008</v>
      </c>
      <c r="H35" s="65">
        <f>VLOOKUP(FixBondObj!C34,ScheduleObj!Q:V,6,FALSE)</f>
        <v>5000000</v>
      </c>
      <c r="I35" s="57">
        <f t="shared" si="0"/>
        <v>4893450.1647949219</v>
      </c>
      <c r="J35" s="66"/>
      <c r="K35" s="53">
        <f>_xll.qlBondBpsFromYield(G35,M35,P35,Q35,R35,AD35,AE35)*H35/100</f>
        <v>2148.9383285120894</v>
      </c>
      <c r="L35" s="52">
        <f>_xll.qlBondDurationFromYield(G35,M35,P35,Q35,R35,"Modified",AD35,AE35)</f>
        <v>4.3175149881394708</v>
      </c>
      <c r="M35" s="51">
        <f>_xll.qlBondYieldFromCleanPrice(G35,A35,P35,Q35,R35,S35,T35,U35,V35,W35)</f>
        <v>1.873040175475181E-2</v>
      </c>
      <c r="N35" s="101">
        <f>_xll.qlBondZSpreadFromCleanPrice(G35,A35,O35,P35,Q35,R35,S35,T35,U35,V35,W35)/0.01%</f>
        <v>-1.7479015911703693</v>
      </c>
      <c r="O35" s="31" t="str">
        <f>VLOOKUP(E35,'ql-USCorp'!$A$72:$C$75,3,FALSE)</f>
        <v>USADF#0008</v>
      </c>
      <c r="P35" s="29" t="str">
        <f>FixBondObj!I34</f>
        <v>30/360</v>
      </c>
      <c r="Q35" s="29" t="s">
        <v>49</v>
      </c>
      <c r="R35" s="29" t="str">
        <f>VLOOKUP(VLOOKUP(FixBondObj!C34,ScheduleObj!Q:W,7,FALSE),Reference!$A$2:$B$4,2,FALSE)</f>
        <v>Semiannual</v>
      </c>
      <c r="S35" s="30">
        <f t="shared" si="8"/>
        <v>44560</v>
      </c>
      <c r="U35" s="29">
        <f t="shared" si="9"/>
        <v>100</v>
      </c>
      <c r="V35" s="29">
        <f t="shared" si="10"/>
        <v>0.05</v>
      </c>
      <c r="W35" s="29">
        <f t="shared" si="1"/>
        <v>1</v>
      </c>
      <c r="X35" s="48">
        <f>_xll.qlBondCleanPriceFromZSpread(G35,Y35,Z35,AA35,AB35,AC35,AD35,AE35)</f>
        <v>97.869003295893876</v>
      </c>
      <c r="Y35" s="31" t="str">
        <f t="shared" si="2"/>
        <v>USADF#0008</v>
      </c>
      <c r="Z35" s="29">
        <f t="shared" si="3"/>
        <v>-1.7479015911703693E-4</v>
      </c>
      <c r="AA35" s="29" t="str">
        <f t="shared" si="12"/>
        <v>30/360</v>
      </c>
      <c r="AB35" s="29" t="s">
        <v>49</v>
      </c>
      <c r="AC35" s="29" t="str">
        <f t="shared" si="13"/>
        <v>Semiannual</v>
      </c>
      <c r="AD35" s="30">
        <f t="shared" ref="AD35" si="31">AD34</f>
        <v>44560</v>
      </c>
      <c r="AE35" s="29">
        <f t="shared" si="7"/>
        <v>1</v>
      </c>
      <c r="AG35" s="68"/>
      <c r="AH35" s="49"/>
    </row>
    <row r="36" spans="1:34" ht="18" x14ac:dyDescent="0.25">
      <c r="A36" s="64">
        <f>VLOOKUP(FixBondObj!C35,ScheduleObj!Q:AB,12,FALSE)</f>
        <v>98.92431640625</v>
      </c>
      <c r="B36" s="98" t="e">
        <f>_xll.qlBondCleanPrice(G36,_xll.ohTrigger($A$1))</f>
        <v>#NUM!</v>
      </c>
      <c r="C36" s="100" t="b">
        <f>_xll.qlInstrumentSetPricingEngine(G36,F36,_xll.ohTrigger($A$1))</f>
        <v>1</v>
      </c>
      <c r="D36" s="67" t="str">
        <f>VLOOKUP(FixBondObj!C35,ScheduleObj!Q:AA,11,FALSE)</f>
        <v>Aa3(Moody's)</v>
      </c>
      <c r="E36" s="32" t="str">
        <f>VLOOKUP(MID(D36,1,FIND("(",D36)-1),'ql-USCorp'!$A$81:$B$110,2,FALSE)</f>
        <v>AA</v>
      </c>
      <c r="F36" s="31" t="str">
        <f>VLOOKUP(E36,'ql-USCorp'!$A$72:$B$75,2,FALSE)</f>
        <v>USAAEng#0008</v>
      </c>
      <c r="G36" s="31" t="str">
        <f>FixBondObj!A35</f>
        <v>obj_000d9#0008</v>
      </c>
      <c r="H36" s="65">
        <f>VLOOKUP(FixBondObj!C35,ScheduleObj!Q:V,6,FALSE)</f>
        <v>7000000</v>
      </c>
      <c r="I36" s="57">
        <f t="shared" si="0"/>
        <v>6924702.1484375</v>
      </c>
      <c r="J36" s="66"/>
      <c r="K36" s="53">
        <f>_xll.qlBondBpsFromYield(G36,M36,P36,Q36,R36,AD36,AE36)*H36/100</f>
        <v>3347.3972840663655</v>
      </c>
      <c r="L36" s="52">
        <f>_xll.qlBondDurationFromYield(G36,M36,P36,Q36,R36,"Modified",AD36,AE36)</f>
        <v>4.3280943567884433</v>
      </c>
      <c r="M36" s="51">
        <f>_xll.qlBondYieldFromCleanPrice(G36,A36,P36,Q36,R36,S36,T36,U36,V36,W36)</f>
        <v>1.9577206567302354E-2</v>
      </c>
      <c r="N36" s="101">
        <f>_xll.qlBondZSpreadFromCleanPrice(G36,A36,O36,P36,Q36,R36,S36,T36,U36,V36,W36)/0.01%</f>
        <v>33.365457773773414</v>
      </c>
      <c r="O36" s="31" t="str">
        <f>VLOOKUP(E36,'ql-USCorp'!$A$72:$C$75,3,FALSE)</f>
        <v>USAADF#0008</v>
      </c>
      <c r="P36" s="29" t="str">
        <f>FixBondObj!I35</f>
        <v>30/360</v>
      </c>
      <c r="Q36" s="29" t="s">
        <v>49</v>
      </c>
      <c r="R36" s="29" t="str">
        <f>VLOOKUP(VLOOKUP(FixBondObj!C35,ScheduleObj!Q:W,7,FALSE),Reference!$A$2:$B$4,2,FALSE)</f>
        <v>Semiannual</v>
      </c>
      <c r="S36" s="30">
        <f t="shared" si="8"/>
        <v>44560</v>
      </c>
      <c r="U36" s="29">
        <f t="shared" si="9"/>
        <v>100</v>
      </c>
      <c r="V36" s="29">
        <f t="shared" si="10"/>
        <v>0.05</v>
      </c>
      <c r="W36" s="29">
        <f t="shared" si="1"/>
        <v>1</v>
      </c>
      <c r="X36" s="48">
        <f>_xll.qlBondCleanPriceFromZSpread(G36,Y36,Z36,AA36,AB36,AC36,AD36,AE36)</f>
        <v>98.924316406246163</v>
      </c>
      <c r="Y36" s="31" t="str">
        <f t="shared" si="2"/>
        <v>USAADF#0008</v>
      </c>
      <c r="Z36" s="29">
        <f t="shared" si="3"/>
        <v>3.3365457773773415E-3</v>
      </c>
      <c r="AA36" s="29" t="str">
        <f t="shared" si="12"/>
        <v>30/360</v>
      </c>
      <c r="AB36" s="29" t="s">
        <v>49</v>
      </c>
      <c r="AC36" s="29" t="str">
        <f t="shared" si="13"/>
        <v>Semiannual</v>
      </c>
      <c r="AD36" s="30">
        <f t="shared" ref="AD36" si="32">AD34</f>
        <v>44560</v>
      </c>
      <c r="AE36" s="29">
        <f t="shared" si="7"/>
        <v>1</v>
      </c>
      <c r="AG36" s="68"/>
      <c r="AH36" s="49"/>
    </row>
    <row r="37" spans="1:34" ht="18" x14ac:dyDescent="0.25">
      <c r="A37" s="64">
        <f>VLOOKUP(FixBondObj!C36,ScheduleObj!Q:AB,12,FALSE)</f>
        <v>98.559547424316406</v>
      </c>
      <c r="B37" s="98" t="e">
        <f>_xll.qlBondCleanPrice(G37,_xll.ohTrigger($A$1))</f>
        <v>#NUM!</v>
      </c>
      <c r="C37" s="100" t="b">
        <f>_xll.qlInstrumentSetPricingEngine(G37,F37,_xll.ohTrigger($A$1))</f>
        <v>1</v>
      </c>
      <c r="D37" s="67" t="str">
        <f>VLOOKUP(FixBondObj!C36,ScheduleObj!Q:AA,11,FALSE)</f>
        <v>A-(S &amp; P)</v>
      </c>
      <c r="E37" s="32" t="str">
        <f>VLOOKUP(MID(D37,1,FIND("(",D37)-1),'ql-USCorp'!$A$81:$B$110,2,FALSE)</f>
        <v>A</v>
      </c>
      <c r="F37" s="31" t="str">
        <f>VLOOKUP(E37,'ql-USCorp'!$A$72:$B$75,2,FALSE)</f>
        <v>USAEng#0008</v>
      </c>
      <c r="G37" s="31" t="str">
        <f>FixBondObj!A36</f>
        <v>obj_000cc#0008</v>
      </c>
      <c r="H37" s="65">
        <f>VLOOKUP(FixBondObj!C36,ScheduleObj!Q:V,6,FALSE)</f>
        <v>3000000</v>
      </c>
      <c r="I37" s="57">
        <f t="shared" si="0"/>
        <v>2956786.4227294922</v>
      </c>
      <c r="J37" s="66"/>
      <c r="K37" s="53">
        <f>_xll.qlBondBpsFromYield(G37,M37,P37,Q37,R37,AD37,AE37)*H37/100</f>
        <v>1421.1373937600938</v>
      </c>
      <c r="L37" s="52">
        <f>_xll.qlBondDurationFromYield(G37,M37,P37,Q37,R37,"Modified",AD37,AE37)</f>
        <v>4.4770389364750134</v>
      </c>
      <c r="M37" s="51">
        <f>_xll.qlBondYieldFromCleanPrice(G37,A37,P37,Q37,R37,S37,T37,U37,V37,W37)</f>
        <v>2.2068780412152413E-2</v>
      </c>
      <c r="N37" s="101">
        <f>_xll.qlBondZSpreadFromCleanPrice(G37,A37,O37,P37,Q37,R37,S37,T37,U37,V37,W37)/0.01%</f>
        <v>27.826173663775563</v>
      </c>
      <c r="O37" s="31" t="str">
        <f>VLOOKUP(E37,'ql-USCorp'!$A$72:$C$75,3,FALSE)</f>
        <v>USADF#0008</v>
      </c>
      <c r="P37" s="29" t="str">
        <f>FixBondObj!I36</f>
        <v>30/360</v>
      </c>
      <c r="Q37" s="29" t="s">
        <v>49</v>
      </c>
      <c r="R37" s="29" t="str">
        <f>VLOOKUP(VLOOKUP(FixBondObj!C36,ScheduleObj!Q:W,7,FALSE),Reference!$A$2:$B$4,2,FALSE)</f>
        <v>Semiannual</v>
      </c>
      <c r="S37" s="30">
        <f t="shared" si="8"/>
        <v>44560</v>
      </c>
      <c r="U37" s="29">
        <f t="shared" si="9"/>
        <v>100</v>
      </c>
      <c r="V37" s="29">
        <f t="shared" si="10"/>
        <v>0.05</v>
      </c>
      <c r="W37" s="29">
        <f t="shared" si="1"/>
        <v>1</v>
      </c>
      <c r="X37" s="48">
        <f>_xll.qlBondCleanPriceFromZSpread(G37,Y37,Z37,AA37,AB37,AC37,AD37,AE37)</f>
        <v>98.559547424310892</v>
      </c>
      <c r="Y37" s="31" t="str">
        <f t="shared" si="2"/>
        <v>USADF#0008</v>
      </c>
      <c r="Z37" s="29">
        <f t="shared" si="3"/>
        <v>2.7826173663775566E-3</v>
      </c>
      <c r="AA37" s="29" t="str">
        <f t="shared" si="12"/>
        <v>30/360</v>
      </c>
      <c r="AB37" s="29" t="s">
        <v>49</v>
      </c>
      <c r="AC37" s="29" t="str">
        <f t="shared" si="13"/>
        <v>Semiannual</v>
      </c>
      <c r="AD37" s="30">
        <f t="shared" ref="AD37" si="33">AD36</f>
        <v>44560</v>
      </c>
      <c r="AE37" s="29">
        <f t="shared" si="7"/>
        <v>1</v>
      </c>
      <c r="AG37" s="68"/>
      <c r="AH37" s="49"/>
    </row>
    <row r="38" spans="1:34" ht="18" x14ac:dyDescent="0.25">
      <c r="A38" s="64">
        <f>VLOOKUP(FixBondObj!C37,ScheduleObj!Q:AB,12,FALSE)</f>
        <v>109.24400329589839</v>
      </c>
      <c r="B38" s="98" t="e">
        <f>_xll.qlBondCleanPrice(G38,_xll.ohTrigger($A$1))</f>
        <v>#NUM!</v>
      </c>
      <c r="C38" s="100" t="b">
        <f>_xll.qlInstrumentSetPricingEngine(G38,F38,_xll.ohTrigger($A$1))</f>
        <v>1</v>
      </c>
      <c r="D38" s="67" t="str">
        <f>VLOOKUP(FixBondObj!C37,ScheduleObj!Q:AA,11,FALSE)</f>
        <v>A1(Moody's)</v>
      </c>
      <c r="E38" s="32" t="str">
        <f>VLOOKUP(MID(D38,1,FIND("(",D38)-1),'ql-USCorp'!$A$81:$B$110,2,FALSE)</f>
        <v>A</v>
      </c>
      <c r="F38" s="31" t="str">
        <f>VLOOKUP(E38,'ql-USCorp'!$A$72:$B$75,2,FALSE)</f>
        <v>USAEng#0008</v>
      </c>
      <c r="G38" s="31" t="str">
        <f>FixBondObj!A37</f>
        <v>obj_000c1#0008</v>
      </c>
      <c r="H38" s="65">
        <f>VLOOKUP(FixBondObj!C37,ScheduleObj!Q:V,6,FALSE)</f>
        <v>5000000</v>
      </c>
      <c r="I38" s="57">
        <f t="shared" si="0"/>
        <v>5462200.1647949191</v>
      </c>
      <c r="J38" s="66"/>
      <c r="K38" s="53">
        <f>_xll.qlBondBpsFromYield(G38,M38,P38,Q38,R38,AD38,AE38)*H38/100</f>
        <v>3923.2222224609854</v>
      </c>
      <c r="L38" s="52">
        <f>_xll.qlBondDurationFromYield(G38,M38,P38,Q38,R38,"Modified",AD38,AE38)</f>
        <v>7.3193414633019778</v>
      </c>
      <c r="M38" s="51">
        <f>_xll.qlBondYieldFromCleanPrice(G38,A38,P38,Q38,R38,S38,T38,U38,V38,W38)</f>
        <v>-1.2116243933774525E-2</v>
      </c>
      <c r="N38" s="101">
        <f>_xll.qlBondZSpreadFromCleanPrice(G38,A38,O38,P38,Q38,R38,S38,T38,U38,V38,W38)/0.01%</f>
        <v>-352.19228946673667</v>
      </c>
      <c r="O38" s="31" t="str">
        <f>VLOOKUP(E38,'ql-USCorp'!$A$72:$C$75,3,FALSE)</f>
        <v>USADF#0008</v>
      </c>
      <c r="P38" s="29" t="str">
        <f>FixBondObj!I37</f>
        <v>30/360</v>
      </c>
      <c r="Q38" s="29" t="s">
        <v>49</v>
      </c>
      <c r="R38" s="29" t="str">
        <f>VLOOKUP(VLOOKUP(FixBondObj!C37,ScheduleObj!Q:W,7,FALSE),Reference!$A$2:$B$4,2,FALSE)</f>
        <v>Semiannual</v>
      </c>
      <c r="S38" s="30">
        <f t="shared" si="8"/>
        <v>44560</v>
      </c>
      <c r="U38" s="29">
        <f t="shared" si="9"/>
        <v>100</v>
      </c>
      <c r="V38" s="29">
        <f t="shared" si="10"/>
        <v>0.05</v>
      </c>
      <c r="W38" s="29">
        <f t="shared" si="1"/>
        <v>1</v>
      </c>
      <c r="X38" s="48">
        <f>_xll.qlBondCleanPriceFromZSpread(G38,Y38,Z38,AA38,AB38,AC38,AD38,AE38)</f>
        <v>109.24400329588039</v>
      </c>
      <c r="Y38" s="31" t="str">
        <f t="shared" si="2"/>
        <v>USADF#0008</v>
      </c>
      <c r="Z38" s="29">
        <f t="shared" si="3"/>
        <v>-3.5219228946673668E-2</v>
      </c>
      <c r="AA38" s="29" t="str">
        <f t="shared" si="12"/>
        <v>30/360</v>
      </c>
      <c r="AB38" s="29" t="s">
        <v>49</v>
      </c>
      <c r="AC38" s="29" t="str">
        <f t="shared" si="13"/>
        <v>Semiannual</v>
      </c>
      <c r="AD38" s="30">
        <f t="shared" ref="AD38" si="34">AD36</f>
        <v>44560</v>
      </c>
      <c r="AE38" s="29">
        <f t="shared" si="7"/>
        <v>1</v>
      </c>
      <c r="AG38" s="68"/>
      <c r="AH38" s="49"/>
    </row>
    <row r="39" spans="1:34" ht="18" x14ac:dyDescent="0.25">
      <c r="A39" s="64">
        <f>VLOOKUP(FixBondObj!C38,ScheduleObj!Q:AB,12,FALSE)</f>
        <v>97.255996704101563</v>
      </c>
      <c r="B39" s="98" t="e">
        <f>_xll.qlBondCleanPrice(G39,_xll.ohTrigger($A$1))</f>
        <v>#NUM!</v>
      </c>
      <c r="C39" s="100" t="b">
        <f>_xll.qlInstrumentSetPricingEngine(G39,F39,_xll.ohTrigger($A$1))</f>
        <v>1</v>
      </c>
      <c r="D39" s="67" t="str">
        <f>VLOOKUP(FixBondObj!C38,ScheduleObj!Q:AA,11,FALSE)</f>
        <v>A1(Moody's)</v>
      </c>
      <c r="E39" s="32" t="str">
        <f>VLOOKUP(MID(D39,1,FIND("(",D39)-1),'ql-USCorp'!$A$81:$B$110,2,FALSE)</f>
        <v>A</v>
      </c>
      <c r="F39" s="31" t="str">
        <f>VLOOKUP(E39,'ql-USCorp'!$A$72:$B$75,2,FALSE)</f>
        <v>USAEng#0008</v>
      </c>
      <c r="G39" s="31" t="str">
        <f>FixBondObj!A38</f>
        <v>obj_000e1#0008</v>
      </c>
      <c r="H39" s="65">
        <f>VLOOKUP(FixBondObj!C38,ScheduleObj!Q:V,6,FALSE)</f>
        <v>3000000</v>
      </c>
      <c r="I39" s="57">
        <f t="shared" si="0"/>
        <v>2917679.9011230469</v>
      </c>
      <c r="J39" s="66"/>
      <c r="K39" s="53">
        <f>_xll.qlBondBpsFromYield(G39,M39,P39,Q39,R39,AD39,AE39)*H39/100</f>
        <v>1301.9728617127571</v>
      </c>
      <c r="L39" s="52">
        <f>_xll.qlBondDurationFromYield(G39,M39,P39,Q39,R39,"Modified",AD39,AE39)</f>
        <v>4.0507174860747366</v>
      </c>
      <c r="M39" s="51">
        <f>_xll.qlBondYieldFromCleanPrice(G39,A39,P39,Q39,R39,S39,T39,U39,V39,W39)</f>
        <v>1.6832525188848382E-2</v>
      </c>
      <c r="N39" s="101">
        <f>_xll.qlBondZSpreadFromCleanPrice(G39,A39,O39,P39,Q39,R39,S39,T39,U39,V39,W39)/0.01%</f>
        <v>-15.659843056120167</v>
      </c>
      <c r="O39" s="31" t="str">
        <f>VLOOKUP(E39,'ql-USCorp'!$A$72:$C$75,3,FALSE)</f>
        <v>USADF#0008</v>
      </c>
      <c r="P39" s="29" t="str">
        <f>FixBondObj!I38</f>
        <v>30/360</v>
      </c>
      <c r="Q39" s="29" t="s">
        <v>49</v>
      </c>
      <c r="R39" s="29" t="str">
        <f>VLOOKUP(VLOOKUP(FixBondObj!C38,ScheduleObj!Q:W,7,FALSE),Reference!$A$2:$B$4,2,FALSE)</f>
        <v>Semiannual</v>
      </c>
      <c r="S39" s="30">
        <f t="shared" si="8"/>
        <v>44560</v>
      </c>
      <c r="U39" s="29">
        <f t="shared" si="9"/>
        <v>100</v>
      </c>
      <c r="V39" s="29">
        <f t="shared" si="10"/>
        <v>0.05</v>
      </c>
      <c r="W39" s="29">
        <f t="shared" si="1"/>
        <v>1</v>
      </c>
      <c r="X39" s="48">
        <f>_xll.qlBondCleanPriceFromZSpread(G39,Y39,Z39,AA39,AB39,AC39,AD39,AE39)</f>
        <v>97.255996704060649</v>
      </c>
      <c r="Y39" s="31" t="str">
        <f t="shared" si="2"/>
        <v>USADF#0008</v>
      </c>
      <c r="Z39" s="29">
        <f t="shared" si="3"/>
        <v>-1.5659843056120167E-3</v>
      </c>
      <c r="AA39" s="29" t="str">
        <f t="shared" si="12"/>
        <v>30/360</v>
      </c>
      <c r="AB39" s="29" t="s">
        <v>49</v>
      </c>
      <c r="AC39" s="29" t="str">
        <f t="shared" si="13"/>
        <v>Semiannual</v>
      </c>
      <c r="AD39" s="30">
        <f t="shared" ref="AD39" si="35">AD38</f>
        <v>44560</v>
      </c>
      <c r="AE39" s="29">
        <f t="shared" si="7"/>
        <v>1</v>
      </c>
      <c r="AG39" s="68"/>
      <c r="AH39" s="49"/>
    </row>
    <row r="40" spans="1:34" ht="18" x14ac:dyDescent="0.25">
      <c r="A40" s="64">
        <f>VLOOKUP(FixBondObj!C39,ScheduleObj!Q:AB,12,FALSE)</f>
        <v>96</v>
      </c>
      <c r="B40" s="98" t="e">
        <f>_xll.qlBondCleanPrice(G40,_xll.ohTrigger($A$1))</f>
        <v>#NUM!</v>
      </c>
      <c r="C40" s="100" t="b">
        <f>_xll.qlInstrumentSetPricingEngine(G40,F40,_xll.ohTrigger($A$1))</f>
        <v>1</v>
      </c>
      <c r="D40" s="67" t="str">
        <f>VLOOKUP(FixBondObj!C39,ScheduleObj!Q:AA,11,FALSE)</f>
        <v>A2(Moody's)</v>
      </c>
      <c r="E40" s="32" t="str">
        <f>VLOOKUP(MID(D40,1,FIND("(",D40)-1),'ql-USCorp'!$A$81:$B$110,2,FALSE)</f>
        <v>A</v>
      </c>
      <c r="F40" s="31" t="str">
        <f>VLOOKUP(E40,'ql-USCorp'!$A$72:$B$75,2,FALSE)</f>
        <v>USAEng#0008</v>
      </c>
      <c r="G40" s="31" t="str">
        <f>FixBondObj!A39</f>
        <v>obj_000c5#0008</v>
      </c>
      <c r="H40" s="65">
        <f>VLOOKUP(FixBondObj!C39,ScheduleObj!Q:V,6,FALSE)</f>
        <v>5000000</v>
      </c>
      <c r="I40" s="57">
        <f t="shared" si="0"/>
        <v>4800000</v>
      </c>
      <c r="J40" s="66"/>
      <c r="K40" s="53">
        <f>_xll.qlBondBpsFromYield(G40,M40,P40,Q40,R40,AD40,AE40)*H40/100</f>
        <v>4205.6290509034443</v>
      </c>
      <c r="L40" s="52">
        <f>_xll.qlBondDurationFromYield(G40,M40,P40,Q40,R40,"Modified",AD40,AE40)</f>
        <v>8.1369142426064958</v>
      </c>
      <c r="M40" s="51">
        <f>_xll.qlBondYieldFromCleanPrice(G40,A40,P40,Q40,R40,S40,T40,U40,V40,W40)</f>
        <v>1.5900337976627058E-2</v>
      </c>
      <c r="N40" s="101">
        <f>_xll.qlBondZSpreadFromCleanPrice(G40,A40,O40,P40,Q40,R40,S40,T40,U40,V40,W40)/0.01%</f>
        <v>-88.625158532036394</v>
      </c>
      <c r="O40" s="31" t="str">
        <f>VLOOKUP(E40,'ql-USCorp'!$A$72:$C$75,3,FALSE)</f>
        <v>USADF#0008</v>
      </c>
      <c r="P40" s="29" t="str">
        <f>FixBondObj!I39</f>
        <v>30/360</v>
      </c>
      <c r="Q40" s="29" t="s">
        <v>49</v>
      </c>
      <c r="R40" s="29" t="str">
        <f>VLOOKUP(VLOOKUP(FixBondObj!C39,ScheduleObj!Q:W,7,FALSE),Reference!$A$2:$B$4,2,FALSE)</f>
        <v>Semiannual</v>
      </c>
      <c r="S40" s="30">
        <f t="shared" si="8"/>
        <v>44560</v>
      </c>
      <c r="U40" s="29">
        <f t="shared" si="9"/>
        <v>100</v>
      </c>
      <c r="V40" s="29">
        <f t="shared" si="10"/>
        <v>0.05</v>
      </c>
      <c r="W40" s="29">
        <f t="shared" si="1"/>
        <v>1</v>
      </c>
      <c r="X40" s="48">
        <f>_xll.qlBondCleanPriceFromZSpread(G40,Y40,Z40,AA40,AB40,AC40,AD40,AE40)</f>
        <v>95.999999998730758</v>
      </c>
      <c r="Y40" s="31" t="str">
        <f t="shared" si="2"/>
        <v>USADF#0008</v>
      </c>
      <c r="Z40" s="29">
        <f t="shared" si="3"/>
        <v>-8.8625158532036393E-3</v>
      </c>
      <c r="AA40" s="29" t="str">
        <f t="shared" si="12"/>
        <v>30/360</v>
      </c>
      <c r="AB40" s="29" t="s">
        <v>49</v>
      </c>
      <c r="AC40" s="29" t="str">
        <f t="shared" si="13"/>
        <v>Semiannual</v>
      </c>
      <c r="AD40" s="30">
        <f t="shared" ref="AD40" si="36">AD38</f>
        <v>44560</v>
      </c>
      <c r="AE40" s="29">
        <f t="shared" si="7"/>
        <v>1</v>
      </c>
      <c r="AG40" s="68"/>
      <c r="AH40" s="49"/>
    </row>
    <row r="41" spans="1:34" ht="18" x14ac:dyDescent="0.25">
      <c r="A41" s="64">
        <f>VLOOKUP(FixBondObj!C40,ScheduleObj!Q:AB,12,FALSE)</f>
        <v>96.05999755859375</v>
      </c>
      <c r="B41" s="98" t="e">
        <f>_xll.qlBondCleanPrice(G41,_xll.ohTrigger($A$1))</f>
        <v>#NUM!</v>
      </c>
      <c r="C41" s="100" t="b">
        <f>_xll.qlInstrumentSetPricingEngine(G41,F41,_xll.ohTrigger($A$1))</f>
        <v>1</v>
      </c>
      <c r="D41" s="67" t="str">
        <f>VLOOKUP(FixBondObj!C40,ScheduleObj!Q:AA,11,FALSE)</f>
        <v>AA+(S &amp; P)</v>
      </c>
      <c r="E41" s="32" t="str">
        <f>VLOOKUP(MID(D41,1,FIND("(",D41)-1),'ql-USCorp'!$A$81:$B$110,2,FALSE)</f>
        <v>AA</v>
      </c>
      <c r="F41" s="31" t="str">
        <f>VLOOKUP(E41,'ql-USCorp'!$A$72:$B$75,2,FALSE)</f>
        <v>USAAEng#0008</v>
      </c>
      <c r="G41" s="31" t="str">
        <f>FixBondObj!A40</f>
        <v>obj_000d5#0008</v>
      </c>
      <c r="H41" s="65">
        <f>VLOOKUP(FixBondObj!C40,ScheduleObj!Q:V,6,FALSE)</f>
        <v>3000000</v>
      </c>
      <c r="I41" s="57">
        <f t="shared" si="0"/>
        <v>2881799.9267578125</v>
      </c>
      <c r="J41" s="66"/>
      <c r="K41" s="53">
        <f>_xll.qlBondBpsFromYield(G41,M41,P41,Q41,R41,AD41,AE41)*H41/100</f>
        <v>2570.0481308466028</v>
      </c>
      <c r="L41" s="52">
        <f>_xll.qlBondDurationFromYield(G41,M41,P41,Q41,R41,"Modified",AD41,AE41)</f>
        <v>8.2452523848183912</v>
      </c>
      <c r="M41" s="51">
        <f>_xll.qlBondYieldFromCleanPrice(G41,A41,P41,Q41,R41,S41,T41,U41,V41,W41)</f>
        <v>2.3065231579169638E-2</v>
      </c>
      <c r="N41" s="101">
        <f>_xll.qlBondZSpreadFromCleanPrice(G41,A41,O41,P41,Q41,R41,S41,T41,U41,V41,W41)/0.01%</f>
        <v>-2.336650763972683</v>
      </c>
      <c r="O41" s="31" t="str">
        <f>VLOOKUP(E41,'ql-USCorp'!$A$72:$C$75,3,FALSE)</f>
        <v>USAADF#0008</v>
      </c>
      <c r="P41" s="29" t="str">
        <f>FixBondObj!I40</f>
        <v>30/360</v>
      </c>
      <c r="Q41" s="29" t="s">
        <v>49</v>
      </c>
      <c r="R41" s="29" t="str">
        <f>VLOOKUP(VLOOKUP(FixBondObj!C40,ScheduleObj!Q:W,7,FALSE),Reference!$A$2:$B$4,2,FALSE)</f>
        <v>Semiannual</v>
      </c>
      <c r="S41" s="30">
        <f t="shared" si="8"/>
        <v>44560</v>
      </c>
      <c r="U41" s="29">
        <f t="shared" si="9"/>
        <v>100</v>
      </c>
      <c r="V41" s="29">
        <f t="shared" si="10"/>
        <v>0.05</v>
      </c>
      <c r="W41" s="29">
        <f t="shared" si="1"/>
        <v>1</v>
      </c>
      <c r="X41" s="48">
        <f>_xll.qlBondCleanPriceFromZSpread(G41,Y41,Z41,AA41,AB41,AC41,AD41,AE41)</f>
        <v>96.059997555888998</v>
      </c>
      <c r="Y41" s="31" t="str">
        <f t="shared" si="2"/>
        <v>USAADF#0008</v>
      </c>
      <c r="Z41" s="29">
        <f t="shared" si="3"/>
        <v>-2.3366507639726832E-4</v>
      </c>
      <c r="AA41" s="29" t="str">
        <f t="shared" si="12"/>
        <v>30/360</v>
      </c>
      <c r="AB41" s="29" t="s">
        <v>49</v>
      </c>
      <c r="AC41" s="29" t="str">
        <f t="shared" si="13"/>
        <v>Semiannual</v>
      </c>
      <c r="AD41" s="30">
        <f t="shared" ref="AD41" si="37">AD40</f>
        <v>44560</v>
      </c>
      <c r="AE41" s="29">
        <f t="shared" si="7"/>
        <v>1</v>
      </c>
      <c r="AG41" s="68"/>
      <c r="AH41" s="49"/>
    </row>
    <row r="42" spans="1:34" ht="18" x14ac:dyDescent="0.25">
      <c r="A42" s="64">
        <f>VLOOKUP(FixBondObj!C41,ScheduleObj!Q:AB,12,FALSE)</f>
        <v>96.676002502441406</v>
      </c>
      <c r="B42" s="98" t="e">
        <f>_xll.qlBondCleanPrice(G42,_xll.ohTrigger($A$1))</f>
        <v>#NUM!</v>
      </c>
      <c r="C42" s="100" t="b">
        <f>_xll.qlInstrumentSetPricingEngine(G42,F42,_xll.ohTrigger($A$1))</f>
        <v>1</v>
      </c>
      <c r="D42" s="67" t="str">
        <f>VLOOKUP(FixBondObj!C41,ScheduleObj!Q:AA,11,FALSE)</f>
        <v>AA-(Fitch)</v>
      </c>
      <c r="E42" s="32" t="str">
        <f>VLOOKUP(MID(D42,1,FIND("(",D42)-1),'ql-USCorp'!$A$81:$B$110,2,FALSE)</f>
        <v>AA</v>
      </c>
      <c r="F42" s="31" t="str">
        <f>VLOOKUP(E42,'ql-USCorp'!$A$72:$B$75,2,FALSE)</f>
        <v>USAAEng#0008</v>
      </c>
      <c r="G42" s="31" t="str">
        <f>FixBondObj!A41</f>
        <v>obj_000d7#0008</v>
      </c>
      <c r="H42" s="65">
        <f>VLOOKUP(FixBondObj!C41,ScheduleObj!Q:V,6,FALSE)</f>
        <v>10000000</v>
      </c>
      <c r="I42" s="57">
        <f t="shared" si="0"/>
        <v>9667600.2502441406</v>
      </c>
      <c r="J42" s="66"/>
      <c r="K42" s="53">
        <f>_xll.qlBondBpsFromYield(G42,M42,P42,Q42,R42,AD42,AE42)*H42/100</f>
        <v>8675.7101917092295</v>
      </c>
      <c r="L42" s="52">
        <f>_xll.qlBondDurationFromYield(G42,M42,P42,Q42,R42,"Modified",AD42,AE42)</f>
        <v>8.333385693254618</v>
      </c>
      <c r="M42" s="51">
        <f>_xll.qlBondYieldFromCleanPrice(G42,A42,P42,Q42,R42,S42,T42,U42,V42,W42)</f>
        <v>2.0271032438054684E-2</v>
      </c>
      <c r="N42" s="101">
        <f>_xll.qlBondZSpreadFromCleanPrice(G42,A42,O42,P42,Q42,R42,S42,T42,U42,V42,W42)/0.01%</f>
        <v>-30.304257598364632</v>
      </c>
      <c r="O42" s="31" t="str">
        <f>VLOOKUP(E42,'ql-USCorp'!$A$72:$C$75,3,FALSE)</f>
        <v>USAADF#0008</v>
      </c>
      <c r="P42" s="29" t="str">
        <f>FixBondObj!I41</f>
        <v>30/360</v>
      </c>
      <c r="Q42" s="29" t="s">
        <v>49</v>
      </c>
      <c r="R42" s="29" t="str">
        <f>VLOOKUP(VLOOKUP(FixBondObj!C41,ScheduleObj!Q:W,7,FALSE),Reference!$A$2:$B$4,2,FALSE)</f>
        <v>Semiannual</v>
      </c>
      <c r="S42" s="30">
        <f t="shared" si="8"/>
        <v>44560</v>
      </c>
      <c r="U42" s="29">
        <f t="shared" si="9"/>
        <v>100</v>
      </c>
      <c r="V42" s="29">
        <f t="shared" si="10"/>
        <v>0.05</v>
      </c>
      <c r="W42" s="29">
        <f t="shared" si="1"/>
        <v>1</v>
      </c>
      <c r="X42" s="48">
        <f>_xll.qlBondCleanPriceFromZSpread(G42,Y42,Z42,AA42,AB42,AC42,AD42,AE42)</f>
        <v>96.676002486166439</v>
      </c>
      <c r="Y42" s="31" t="str">
        <f t="shared" si="2"/>
        <v>USAADF#0008</v>
      </c>
      <c r="Z42" s="29">
        <f t="shared" si="3"/>
        <v>-3.0304257598364635E-3</v>
      </c>
      <c r="AA42" s="29" t="str">
        <f t="shared" si="12"/>
        <v>30/360</v>
      </c>
      <c r="AB42" s="29" t="s">
        <v>49</v>
      </c>
      <c r="AC42" s="29" t="str">
        <f t="shared" si="13"/>
        <v>Semiannual</v>
      </c>
      <c r="AD42" s="30">
        <f t="shared" ref="AD42" si="38">AD40</f>
        <v>44560</v>
      </c>
      <c r="AE42" s="29">
        <f t="shared" si="7"/>
        <v>1</v>
      </c>
      <c r="AG42" s="68"/>
      <c r="AH42" s="49"/>
    </row>
    <row r="43" spans="1:34" ht="18" x14ac:dyDescent="0.25">
      <c r="A43" s="64">
        <f>VLOOKUP(FixBondObj!C42,ScheduleObj!Q:AB,12,FALSE)</f>
        <v>99.672996520996094</v>
      </c>
      <c r="B43" s="98" t="e">
        <f>_xll.qlBondCleanPrice(G43,_xll.ohTrigger($A$1))</f>
        <v>#NUM!</v>
      </c>
      <c r="C43" s="100" t="b">
        <f>_xll.qlInstrumentSetPricingEngine(G43,F43,_xll.ohTrigger($A$1))</f>
        <v>1</v>
      </c>
      <c r="D43" s="67" t="str">
        <f>VLOOKUP(FixBondObj!C42,ScheduleObj!Q:AA,11,FALSE)</f>
        <v>A-(S &amp; P)</v>
      </c>
      <c r="E43" s="32" t="str">
        <f>VLOOKUP(MID(D43,1,FIND("(",D43)-1),'ql-USCorp'!$A$81:$B$110,2,FALSE)</f>
        <v>A</v>
      </c>
      <c r="F43" s="31" t="str">
        <f>VLOOKUP(E43,'ql-USCorp'!$A$72:$B$75,2,FALSE)</f>
        <v>USAEng#0008</v>
      </c>
      <c r="G43" s="31" t="str">
        <f>FixBondObj!A42</f>
        <v>obj_000d1#0008</v>
      </c>
      <c r="H43" s="65">
        <f>VLOOKUP(FixBondObj!C42,ScheduleObj!Q:V,6,FALSE)</f>
        <v>10000000</v>
      </c>
      <c r="I43" s="57">
        <f t="shared" si="0"/>
        <v>9967299.6520996094</v>
      </c>
      <c r="J43" s="66"/>
      <c r="K43" s="53">
        <f>_xll.qlBondBpsFromYield(G43,M43,P43,Q43,R43,AD43,AE43)*H43/100</f>
        <v>8138.2008133701256</v>
      </c>
      <c r="L43" s="52">
        <f>_xll.qlBondDurationFromYield(G43,M43,P43,Q43,R43,"Modified",AD43,AE43)</f>
        <v>8.0877176521442298</v>
      </c>
      <c r="M43" s="51">
        <f>_xll.qlBondYieldFromCleanPrice(G43,A43,P43,Q43,R43,S43,T43,U43,V43,W43)</f>
        <v>9.9545477254316221E-3</v>
      </c>
      <c r="N43" s="101">
        <f>_xll.qlBondZSpreadFromCleanPrice(G43,A43,O43,P43,Q43,R43,S43,T43,U43,V43,W43)/0.01%</f>
        <v>-145.92610161278409</v>
      </c>
      <c r="O43" s="31" t="str">
        <f>VLOOKUP(E43,'ql-USCorp'!$A$72:$C$75,3,FALSE)</f>
        <v>USADF#0008</v>
      </c>
      <c r="P43" s="29" t="str">
        <f>FixBondObj!I42</f>
        <v>30/360</v>
      </c>
      <c r="Q43" s="29" t="s">
        <v>49</v>
      </c>
      <c r="R43" s="29" t="str">
        <f>VLOOKUP(VLOOKUP(FixBondObj!C42,ScheduleObj!Q:W,7,FALSE),Reference!$A$2:$B$4,2,FALSE)</f>
        <v>Semiannual</v>
      </c>
      <c r="S43" s="30">
        <f t="shared" si="8"/>
        <v>44560</v>
      </c>
      <c r="U43" s="29">
        <f t="shared" si="9"/>
        <v>100</v>
      </c>
      <c r="V43" s="29">
        <f t="shared" si="10"/>
        <v>0.05</v>
      </c>
      <c r="W43" s="29">
        <f t="shared" si="1"/>
        <v>1</v>
      </c>
      <c r="X43" s="48">
        <f>_xll.qlBondCleanPriceFromZSpread(G43,Y43,Z43,AA43,AB43,AC43,AD43,AE43)</f>
        <v>99.672996520992271</v>
      </c>
      <c r="Y43" s="31" t="str">
        <f t="shared" si="2"/>
        <v>USADF#0008</v>
      </c>
      <c r="Z43" s="29">
        <f t="shared" si="3"/>
        <v>-1.459261016127841E-2</v>
      </c>
      <c r="AA43" s="29" t="str">
        <f t="shared" si="12"/>
        <v>30/360</v>
      </c>
      <c r="AB43" s="29" t="s">
        <v>49</v>
      </c>
      <c r="AC43" s="29" t="str">
        <f t="shared" si="13"/>
        <v>Semiannual</v>
      </c>
      <c r="AD43" s="30">
        <f t="shared" ref="AD43" si="39">AD42</f>
        <v>44560</v>
      </c>
      <c r="AE43" s="29">
        <f t="shared" si="7"/>
        <v>1</v>
      </c>
      <c r="AG43" s="68"/>
      <c r="AH43" s="49"/>
    </row>
    <row r="44" spans="1:34" ht="18" x14ac:dyDescent="0.25">
      <c r="A44" s="64">
        <f>VLOOKUP(FixBondObj!C43,ScheduleObj!Q:AB,12,FALSE)</f>
        <v>98.654998779296875</v>
      </c>
      <c r="B44" s="98" t="e">
        <f>_xll.qlBondCleanPrice(G44,_xll.ohTrigger($A$1))</f>
        <v>#NUM!</v>
      </c>
      <c r="C44" s="100" t="b">
        <f>_xll.qlInstrumentSetPricingEngine(G44,F44,_xll.ohTrigger($A$1))</f>
        <v>1</v>
      </c>
      <c r="D44" s="67" t="str">
        <f>VLOOKUP(FixBondObj!C43,ScheduleObj!Q:AA,11,FALSE)</f>
        <v>A(S &amp; P)</v>
      </c>
      <c r="E44" s="32" t="str">
        <f>VLOOKUP(MID(D44,1,FIND("(",D44)-1),'ql-USCorp'!$A$81:$B$110,2,FALSE)</f>
        <v>A</v>
      </c>
      <c r="F44" s="31" t="str">
        <f>VLOOKUP(E44,'ql-USCorp'!$A$72:$B$75,2,FALSE)</f>
        <v>USAEng#0008</v>
      </c>
      <c r="G44" s="31" t="str">
        <f>FixBondObj!A43</f>
        <v>obj_000e2#0008</v>
      </c>
      <c r="H44" s="65">
        <f>VLOOKUP(FixBondObj!C43,ScheduleObj!Q:V,6,FALSE)</f>
        <v>3000000</v>
      </c>
      <c r="I44" s="57">
        <f t="shared" si="0"/>
        <v>2959649.9633789063</v>
      </c>
      <c r="J44" s="66"/>
      <c r="K44" s="53">
        <f>_xll.qlBondBpsFromYield(G44,M44,P44,Q44,R44,AD44,AE44)*H44/100</f>
        <v>1014.0095203234603</v>
      </c>
      <c r="L44" s="52">
        <f>_xll.qlBondDurationFromYield(G44,M44,P44,Q44,R44,"Modified",AD44,AE44)</f>
        <v>3.390600445466907</v>
      </c>
      <c r="M44" s="51">
        <f>_xll.qlBondYieldFromCleanPrice(G44,A44,P44,Q44,R44,S44,T44,U44,V44,W44)</f>
        <v>1.6489082969352611E-2</v>
      </c>
      <c r="N44" s="101">
        <f>_xll.qlBondZSpreadFromCleanPrice(G44,A44,O44,P44,Q44,R44,S44,T44,U44,V44,W44)/0.01%</f>
        <v>-4.3710383120699445</v>
      </c>
      <c r="O44" s="31" t="str">
        <f>VLOOKUP(E44,'ql-USCorp'!$A$72:$C$75,3,FALSE)</f>
        <v>USADF#0008</v>
      </c>
      <c r="P44" s="29" t="str">
        <f>FixBondObj!I43</f>
        <v>30/360</v>
      </c>
      <c r="Q44" s="29" t="s">
        <v>49</v>
      </c>
      <c r="R44" s="29" t="str">
        <f>VLOOKUP(VLOOKUP(FixBondObj!C43,ScheduleObj!Q:W,7,FALSE),Reference!$A$2:$B$4,2,FALSE)</f>
        <v>Semiannual</v>
      </c>
      <c r="S44" s="30">
        <f t="shared" si="8"/>
        <v>44560</v>
      </c>
      <c r="U44" s="29">
        <f t="shared" si="9"/>
        <v>100</v>
      </c>
      <c r="V44" s="29">
        <f t="shared" si="10"/>
        <v>0.05</v>
      </c>
      <c r="W44" s="29">
        <f t="shared" si="1"/>
        <v>1</v>
      </c>
      <c r="X44" s="48">
        <f>_xll.qlBondCleanPriceFromZSpread(G44,Y44,Z44,AA44,AB44,AC44,AD44,AE44)</f>
        <v>98.654998779296363</v>
      </c>
      <c r="Y44" s="31" t="str">
        <f t="shared" si="2"/>
        <v>USADF#0008</v>
      </c>
      <c r="Z44" s="29">
        <f t="shared" si="3"/>
        <v>-4.3710383120699445E-4</v>
      </c>
      <c r="AA44" s="29" t="str">
        <f t="shared" si="12"/>
        <v>30/360</v>
      </c>
      <c r="AB44" s="29" t="s">
        <v>49</v>
      </c>
      <c r="AC44" s="29" t="str">
        <f t="shared" si="13"/>
        <v>Semiannual</v>
      </c>
      <c r="AD44" s="30">
        <f t="shared" ref="AD44" si="40">AD42</f>
        <v>44560</v>
      </c>
      <c r="AE44" s="29">
        <f t="shared" si="7"/>
        <v>1</v>
      </c>
      <c r="AG44" s="68"/>
      <c r="AH44" s="49"/>
    </row>
    <row r="45" spans="1:34" ht="18" x14ac:dyDescent="0.25">
      <c r="A45" s="64">
        <f>VLOOKUP(FixBondObj!C44,ScheduleObj!Q:AB,12,FALSE)</f>
        <v>98.907997131347656</v>
      </c>
      <c r="B45" s="98" t="e">
        <f>_xll.qlBondCleanPrice(G45,_xll.ohTrigger($A$1))</f>
        <v>#NUM!</v>
      </c>
      <c r="C45" s="100" t="b">
        <f>_xll.qlInstrumentSetPricingEngine(G45,F45,_xll.ohTrigger($A$1))</f>
        <v>1</v>
      </c>
      <c r="D45" s="67" t="str">
        <f>VLOOKUP(FixBondObj!C44,ScheduleObj!Q:AA,11,FALSE)</f>
        <v>A1(Moody's)</v>
      </c>
      <c r="E45" s="32" t="str">
        <f>VLOOKUP(MID(D45,1,FIND("(",D45)-1),'ql-USCorp'!$A$81:$B$110,2,FALSE)</f>
        <v>A</v>
      </c>
      <c r="F45" s="31" t="str">
        <f>VLOOKUP(E45,'ql-USCorp'!$A$72:$B$75,2,FALSE)</f>
        <v>USAEng#0008</v>
      </c>
      <c r="G45" s="31" t="str">
        <f>FixBondObj!A44</f>
        <v>obj_000d8#0008</v>
      </c>
      <c r="H45" s="65">
        <f>VLOOKUP(FixBondObj!C44,ScheduleObj!Q:V,6,FALSE)</f>
        <v>10000000</v>
      </c>
      <c r="I45" s="57">
        <f t="shared" si="0"/>
        <v>9890799.7131347656</v>
      </c>
      <c r="J45" s="66"/>
      <c r="K45" s="53">
        <f>_xll.qlBondBpsFromYield(G45,M45,P45,Q45,R45,AD45,AE45)*H45/100</f>
        <v>7997.0874968488397</v>
      </c>
      <c r="L45" s="52">
        <f>_xll.qlBondDurationFromYield(G45,M45,P45,Q45,R45,"Modified",AD45,AE45)</f>
        <v>8.0369164694795376</v>
      </c>
      <c r="M45" s="51">
        <f>_xll.qlBondYieldFromCleanPrice(G45,A45,P45,Q45,R45,S45,T45,U45,V45,W45)</f>
        <v>1.3865476407594984E-2</v>
      </c>
      <c r="N45" s="101">
        <f>_xll.qlBondZSpreadFromCleanPrice(G45,A45,O45,P45,Q45,R45,S45,T45,U45,V45,W45)/0.01%</f>
        <v>-107.30440611577376</v>
      </c>
      <c r="O45" s="31" t="str">
        <f>VLOOKUP(E45,'ql-USCorp'!$A$72:$C$75,3,FALSE)</f>
        <v>USADF#0008</v>
      </c>
      <c r="P45" s="29" t="str">
        <f>FixBondObj!I44</f>
        <v>30/360</v>
      </c>
      <c r="Q45" s="29" t="s">
        <v>49</v>
      </c>
      <c r="R45" s="29" t="str">
        <f>VLOOKUP(VLOOKUP(FixBondObj!C44,ScheduleObj!Q:W,7,FALSE),Reference!$A$2:$B$4,2,FALSE)</f>
        <v>Semiannual</v>
      </c>
      <c r="S45" s="30">
        <f t="shared" si="8"/>
        <v>44560</v>
      </c>
      <c r="U45" s="29">
        <f t="shared" si="9"/>
        <v>100</v>
      </c>
      <c r="V45" s="29">
        <f t="shared" si="10"/>
        <v>0.05</v>
      </c>
      <c r="W45" s="29">
        <f t="shared" si="1"/>
        <v>1</v>
      </c>
      <c r="X45" s="48">
        <f>_xll.qlBondCleanPriceFromZSpread(G45,Y45,Z45,AA45,AB45,AC45,AD45,AE45)</f>
        <v>98.907997131002219</v>
      </c>
      <c r="Y45" s="31" t="str">
        <f t="shared" si="2"/>
        <v>USADF#0008</v>
      </c>
      <c r="Z45" s="29">
        <f t="shared" si="3"/>
        <v>-1.0730440611577376E-2</v>
      </c>
      <c r="AA45" s="29" t="str">
        <f t="shared" si="12"/>
        <v>30/360</v>
      </c>
      <c r="AB45" s="29" t="s">
        <v>49</v>
      </c>
      <c r="AC45" s="29" t="str">
        <f t="shared" si="13"/>
        <v>Semiannual</v>
      </c>
      <c r="AD45" s="30">
        <f t="shared" ref="AD45" si="41">AD44</f>
        <v>44560</v>
      </c>
      <c r="AE45" s="29">
        <f t="shared" si="7"/>
        <v>1</v>
      </c>
      <c r="AG45" s="68"/>
      <c r="AH45" s="49"/>
    </row>
    <row r="46" spans="1:34" ht="18" x14ac:dyDescent="0.25">
      <c r="A46" s="64">
        <f>VLOOKUP(FixBondObj!C45,ScheduleObj!Q:AB,12,FALSE)</f>
        <v>99.976997375488281</v>
      </c>
      <c r="B46" s="98" t="e">
        <f>_xll.qlBondCleanPrice(G46,_xll.ohTrigger($A$1))</f>
        <v>#NUM!</v>
      </c>
      <c r="C46" s="100" t="b">
        <f>_xll.qlInstrumentSetPricingEngine(G46,F46,_xll.ohTrigger($A$1))</f>
        <v>1</v>
      </c>
      <c r="D46" s="67" t="str">
        <f>VLOOKUP(FixBondObj!C45,ScheduleObj!Q:AA,11,FALSE)</f>
        <v>A1(Moody's)</v>
      </c>
      <c r="E46" s="32" t="str">
        <f>VLOOKUP(MID(D46,1,FIND("(",D46)-1),'ql-USCorp'!$A$81:$B$110,2,FALSE)</f>
        <v>A</v>
      </c>
      <c r="F46" s="31" t="str">
        <f>VLOOKUP(E46,'ql-USCorp'!$A$72:$B$75,2,FALSE)</f>
        <v>USAEng#0008</v>
      </c>
      <c r="G46" s="31" t="str">
        <f>FixBondObj!A45</f>
        <v>obj_000c9#0008</v>
      </c>
      <c r="H46" s="65">
        <f>VLOOKUP(FixBondObj!C45,ScheduleObj!Q:V,6,FALSE)</f>
        <v>2000000</v>
      </c>
      <c r="I46" s="57">
        <f t="shared" si="0"/>
        <v>1999539.9475097656</v>
      </c>
      <c r="J46" s="66"/>
      <c r="K46" s="53">
        <f>_xll.qlBondBpsFromYield(G46,M46,P46,Q46,R46,AD46,AE46)*H46/100</f>
        <v>393.22817243388192</v>
      </c>
      <c r="L46" s="52">
        <f>_xll.qlBondDurationFromYield(G46,M46,P46,Q46,R46,"Modified",AD46,AE46)</f>
        <v>1.5080962249333862</v>
      </c>
      <c r="M46" s="51">
        <f>_xll.qlBondYieldFromCleanPrice(G46,A46,P46,Q46,R46,S46,T46,U46,V46,W46)</f>
        <v>2.1397464332357063E-2</v>
      </c>
      <c r="N46" s="101">
        <f>_xll.qlBondZSpreadFromCleanPrice(G46,A46,O46,P46,Q46,R46,S46,T46,U46,V46,W46)/0.01%</f>
        <v>97.574655094273709</v>
      </c>
      <c r="O46" s="31" t="str">
        <f>VLOOKUP(E46,'ql-USCorp'!$A$72:$C$75,3,FALSE)</f>
        <v>USADF#0008</v>
      </c>
      <c r="P46" s="29" t="str">
        <f>FixBondObj!I45</f>
        <v>30/360</v>
      </c>
      <c r="Q46" s="29" t="s">
        <v>49</v>
      </c>
      <c r="R46" s="29" t="str">
        <f>VLOOKUP(VLOOKUP(FixBondObj!C45,ScheduleObj!Q:W,7,FALSE),Reference!$A$2:$B$4,2,FALSE)</f>
        <v>Semiannual</v>
      </c>
      <c r="S46" s="30">
        <f t="shared" si="8"/>
        <v>44560</v>
      </c>
      <c r="U46" s="29">
        <f t="shared" si="9"/>
        <v>100</v>
      </c>
      <c r="V46" s="29">
        <f t="shared" si="10"/>
        <v>0.05</v>
      </c>
      <c r="W46" s="29">
        <f t="shared" si="1"/>
        <v>1</v>
      </c>
      <c r="X46" s="48">
        <f>_xll.qlBondCleanPriceFromZSpread(G46,Y46,Z46,AA46,AB46,AC46,AD46,AE46)</f>
        <v>99.976997374397072</v>
      </c>
      <c r="Y46" s="31" t="str">
        <f t="shared" si="2"/>
        <v>USADF#0008</v>
      </c>
      <c r="Z46" s="29">
        <f t="shared" si="3"/>
        <v>9.7574655094273717E-3</v>
      </c>
      <c r="AA46" s="29" t="str">
        <f t="shared" si="12"/>
        <v>30/360</v>
      </c>
      <c r="AB46" s="29" t="s">
        <v>49</v>
      </c>
      <c r="AC46" s="29" t="str">
        <f t="shared" si="13"/>
        <v>Semiannual</v>
      </c>
      <c r="AD46" s="30">
        <f t="shared" ref="AD46" si="42">AD44</f>
        <v>44560</v>
      </c>
      <c r="AE46" s="29">
        <f t="shared" si="7"/>
        <v>1</v>
      </c>
      <c r="AG46" s="68"/>
      <c r="AH46" s="49"/>
    </row>
    <row r="47" spans="1:34" ht="18" x14ac:dyDescent="0.25">
      <c r="A47" s="64">
        <f>VLOOKUP(FixBondObj!C46,ScheduleObj!Q:AB,12,FALSE)</f>
        <v>100.0019989013672</v>
      </c>
      <c r="B47" s="98" t="e">
        <f>_xll.qlBondCleanPrice(G47,_xll.ohTrigger($A$1))</f>
        <v>#NUM!</v>
      </c>
      <c r="C47" s="100" t="b">
        <f>_xll.qlInstrumentSetPricingEngine(G47,F47,_xll.ohTrigger($A$1))</f>
        <v>1</v>
      </c>
      <c r="D47" s="67" t="str">
        <f>VLOOKUP(FixBondObj!C46,ScheduleObj!Q:AA,11,FALSE)</f>
        <v>A1(Moody's)</v>
      </c>
      <c r="E47" s="32" t="str">
        <f>VLOOKUP(MID(D47,1,FIND("(",D47)-1),'ql-USCorp'!$A$81:$B$110,2,FALSE)</f>
        <v>A</v>
      </c>
      <c r="F47" s="31" t="str">
        <f>VLOOKUP(E47,'ql-USCorp'!$A$72:$B$75,2,FALSE)</f>
        <v>USAEng#0008</v>
      </c>
      <c r="G47" s="31" t="str">
        <f>FixBondObj!A46</f>
        <v>obj_000e4#0008</v>
      </c>
      <c r="H47" s="65">
        <f>VLOOKUP(FixBondObj!C46,ScheduleObj!Q:V,6,FALSE)</f>
        <v>500000</v>
      </c>
      <c r="I47" s="57">
        <f t="shared" si="0"/>
        <v>500009.994506836</v>
      </c>
      <c r="J47" s="66"/>
      <c r="K47" s="53">
        <f>_xll.qlBondBpsFromYield(G47,M47,P47,Q47,R47,AD47,AE47)*H47/100</f>
        <v>99.163872762887607</v>
      </c>
      <c r="L47" s="52">
        <f>_xll.qlBondDurationFromYield(G47,M47,P47,Q47,R47,"Modified",AD47,AE47)</f>
        <v>1.5717214909947468</v>
      </c>
      <c r="M47" s="51">
        <f>_xll.qlBondYieldFromCleanPrice(G47,A47,P47,Q47,R47,S47,T47,U47,V47,W47)</f>
        <v>9.9861199453845639E-3</v>
      </c>
      <c r="N47" s="101">
        <f>_xll.qlBondZSpreadFromCleanPrice(G47,A47,O47,P47,Q47,R47,S47,T47,U47,V47,W47)/0.01%</f>
        <v>-16.46428386708055</v>
      </c>
      <c r="O47" s="31" t="str">
        <f>VLOOKUP(E47,'ql-USCorp'!$A$72:$C$75,3,FALSE)</f>
        <v>USADF#0008</v>
      </c>
      <c r="P47" s="29" t="str">
        <f>FixBondObj!I46</f>
        <v>30/360</v>
      </c>
      <c r="Q47" s="29" t="s">
        <v>49</v>
      </c>
      <c r="R47" s="29" t="str">
        <f>VLOOKUP(VLOOKUP(FixBondObj!C46,ScheduleObj!Q:W,7,FALSE),Reference!$A$2:$B$4,2,FALSE)</f>
        <v>Semiannual</v>
      </c>
      <c r="S47" s="30">
        <f t="shared" si="8"/>
        <v>44560</v>
      </c>
      <c r="U47" s="29">
        <f t="shared" si="9"/>
        <v>100</v>
      </c>
      <c r="V47" s="29">
        <f t="shared" si="10"/>
        <v>0.05</v>
      </c>
      <c r="W47" s="29">
        <f t="shared" si="1"/>
        <v>1</v>
      </c>
      <c r="X47" s="48">
        <f>_xll.qlBondCleanPriceFromZSpread(G47,Y47,Z47,AA47,AB47,AC47,AD47,AE47)</f>
        <v>100.00199889831022</v>
      </c>
      <c r="Y47" s="31" t="str">
        <f t="shared" si="2"/>
        <v>USADF#0008</v>
      </c>
      <c r="Z47" s="29">
        <f t="shared" si="3"/>
        <v>-1.646428386708055E-3</v>
      </c>
      <c r="AA47" s="29" t="str">
        <f t="shared" si="12"/>
        <v>30/360</v>
      </c>
      <c r="AB47" s="29" t="s">
        <v>49</v>
      </c>
      <c r="AC47" s="29" t="str">
        <f t="shared" si="13"/>
        <v>Semiannual</v>
      </c>
      <c r="AD47" s="30">
        <f t="shared" ref="AD47" si="43">AD46</f>
        <v>44560</v>
      </c>
      <c r="AE47" s="29">
        <f t="shared" si="7"/>
        <v>1</v>
      </c>
      <c r="AG47" s="68"/>
      <c r="AH47" s="49"/>
    </row>
    <row r="48" spans="1:34" ht="18" x14ac:dyDescent="0.25">
      <c r="A48" s="64">
        <f>VLOOKUP(FixBondObj!C47,ScheduleObj!Q:AB,12,FALSE)</f>
        <v>96.851997375488281</v>
      </c>
      <c r="B48" s="98" t="e">
        <f>_xll.qlBondCleanPrice(G48,_xll.ohTrigger($A$1))</f>
        <v>#NUM!</v>
      </c>
      <c r="C48" s="100" t="b">
        <f>_xll.qlInstrumentSetPricingEngine(G48,F48,_xll.ohTrigger($A$1))</f>
        <v>1</v>
      </c>
      <c r="D48" s="67" t="str">
        <f>VLOOKUP(FixBondObj!C47,ScheduleObj!Q:AA,11,FALSE)</f>
        <v>Aa3(Moody's)</v>
      </c>
      <c r="E48" s="32" t="str">
        <f>VLOOKUP(MID(D48,1,FIND("(",D48)-1),'ql-USCorp'!$A$81:$B$110,2,FALSE)</f>
        <v>AA</v>
      </c>
      <c r="F48" s="31" t="str">
        <f>VLOOKUP(E48,'ql-USCorp'!$A$72:$B$75,2,FALSE)</f>
        <v>USAAEng#0008</v>
      </c>
      <c r="G48" s="31" t="str">
        <f>FixBondObj!A47</f>
        <v>obj_000de#0008</v>
      </c>
      <c r="H48" s="65">
        <f>VLOOKUP(FixBondObj!C47,ScheduleObj!Q:V,6,FALSE)</f>
        <v>10000000</v>
      </c>
      <c r="I48" s="57">
        <f t="shared" si="0"/>
        <v>9685199.7375488281</v>
      </c>
      <c r="J48" s="66"/>
      <c r="K48" s="53">
        <f>_xll.qlBondBpsFromYield(G48,M48,P48,Q48,R48,AD48,AE48)*H48/100</f>
        <v>8475.6566042303439</v>
      </c>
      <c r="L48" s="52">
        <f>_xll.qlBondDurationFromYield(G48,M48,P48,Q48,R48,"Modified",AD48,AE48)</f>
        <v>8.2005569262962457</v>
      </c>
      <c r="M48" s="51">
        <f>_xll.qlBondYieldFromCleanPrice(G48,A48,P48,Q48,R48,S48,T48,U48,V48,W48)</f>
        <v>1.3880193708576266E-2</v>
      </c>
      <c r="N48" s="101">
        <f>_xll.qlBondZSpreadFromCleanPrice(G48,A48,O48,P48,Q48,R48,S48,T48,U48,V48,W48)/0.01%</f>
        <v>-89.909514455995378</v>
      </c>
      <c r="O48" s="31" t="str">
        <f>VLOOKUP(E48,'ql-USCorp'!$A$72:$C$75,3,FALSE)</f>
        <v>USAADF#0008</v>
      </c>
      <c r="P48" s="29" t="str">
        <f>FixBondObj!I47</f>
        <v>30/360</v>
      </c>
      <c r="Q48" s="29" t="s">
        <v>49</v>
      </c>
      <c r="R48" s="29" t="str">
        <f>VLOOKUP(VLOOKUP(FixBondObj!C47,ScheduleObj!Q:W,7,FALSE),Reference!$A$2:$B$4,2,FALSE)</f>
        <v>Semiannual</v>
      </c>
      <c r="S48" s="30">
        <f t="shared" si="8"/>
        <v>44560</v>
      </c>
      <c r="U48" s="29">
        <f t="shared" si="9"/>
        <v>100</v>
      </c>
      <c r="V48" s="29">
        <f t="shared" si="10"/>
        <v>0.05</v>
      </c>
      <c r="W48" s="29">
        <f t="shared" si="1"/>
        <v>1</v>
      </c>
      <c r="X48" s="48">
        <f>_xll.qlBondCleanPriceFromZSpread(G48,Y48,Z48,AA48,AB48,AC48,AD48,AE48)</f>
        <v>96.851997374244519</v>
      </c>
      <c r="Y48" s="31" t="str">
        <f t="shared" si="2"/>
        <v>USAADF#0008</v>
      </c>
      <c r="Z48" s="29">
        <f t="shared" si="3"/>
        <v>-8.9909514455995387E-3</v>
      </c>
      <c r="AA48" s="29" t="str">
        <f t="shared" si="12"/>
        <v>30/360</v>
      </c>
      <c r="AB48" s="29" t="s">
        <v>49</v>
      </c>
      <c r="AC48" s="29" t="str">
        <f t="shared" si="13"/>
        <v>Semiannual</v>
      </c>
      <c r="AD48" s="30">
        <f t="shared" ref="AD48" si="44">AD46</f>
        <v>44560</v>
      </c>
      <c r="AE48" s="29">
        <f t="shared" si="7"/>
        <v>1</v>
      </c>
      <c r="AG48" s="68"/>
      <c r="AH48" s="49"/>
    </row>
    <row r="49" spans="1:34" ht="18" x14ac:dyDescent="0.25">
      <c r="A49" s="64">
        <f>VLOOKUP(FixBondObj!C48,ScheduleObj!Q:AB,12,FALSE)</f>
        <v>98.244003295898438</v>
      </c>
      <c r="B49" s="98" t="e">
        <f>_xll.qlBondCleanPrice(G49,_xll.ohTrigger($A$1))</f>
        <v>#NUM!</v>
      </c>
      <c r="C49" s="100" t="b">
        <f>_xll.qlInstrumentSetPricingEngine(G49,F49,_xll.ohTrigger($A$1))</f>
        <v>1</v>
      </c>
      <c r="D49" s="67" t="str">
        <f>VLOOKUP(FixBondObj!C48,ScheduleObj!Q:AA,11,FALSE)</f>
        <v>A1(Moody's)</v>
      </c>
      <c r="E49" s="32" t="str">
        <f>VLOOKUP(MID(D49,1,FIND("(",D49)-1),'ql-USCorp'!$A$81:$B$110,2,FALSE)</f>
        <v>A</v>
      </c>
      <c r="F49" s="31" t="str">
        <f>VLOOKUP(E49,'ql-USCorp'!$A$72:$B$75,2,FALSE)</f>
        <v>USAEng#0008</v>
      </c>
      <c r="G49" s="31" t="str">
        <f>FixBondObj!A48</f>
        <v>obj_000dd#0008</v>
      </c>
      <c r="H49" s="65">
        <f>VLOOKUP(FixBondObj!C48,ScheduleObj!Q:V,6,FALSE)</f>
        <v>2000000</v>
      </c>
      <c r="I49" s="57">
        <f t="shared" si="0"/>
        <v>1964880.0659179688</v>
      </c>
      <c r="J49" s="66"/>
      <c r="K49" s="53">
        <f>_xll.qlBondBpsFromYield(G49,M49,P49,Q49,R49,AD49,AE49)*H49/100</f>
        <v>860.9995566402448</v>
      </c>
      <c r="L49" s="52">
        <f>_xll.qlBondDurationFromYield(G49,M49,P49,Q49,R49,"Modified",AD49,AE49)</f>
        <v>3.9869636762796135</v>
      </c>
      <c r="M49" s="51">
        <f>_xll.qlBondYieldFromCleanPrice(G49,A49,P49,Q49,R49,S49,T49,U49,V49,W49)</f>
        <v>2.0662110245600353E-2</v>
      </c>
      <c r="N49" s="101">
        <f>_xll.qlBondZSpreadFromCleanPrice(G49,A49,O49,P49,Q49,R49,S49,T49,U49,V49,W49)/0.01%</f>
        <v>22.603710752491217</v>
      </c>
      <c r="O49" s="31" t="str">
        <f>VLOOKUP(E49,'ql-USCorp'!$A$72:$C$75,3,FALSE)</f>
        <v>USADF#0008</v>
      </c>
      <c r="P49" s="29" t="str">
        <f>FixBondObj!I48</f>
        <v>30/360</v>
      </c>
      <c r="Q49" s="29" t="s">
        <v>49</v>
      </c>
      <c r="R49" s="29" t="str">
        <f>VLOOKUP(VLOOKUP(FixBondObj!C48,ScheduleObj!Q:W,7,FALSE),Reference!$A$2:$B$4,2,FALSE)</f>
        <v>Semiannual</v>
      </c>
      <c r="S49" s="30">
        <f t="shared" si="8"/>
        <v>44560</v>
      </c>
      <c r="U49" s="29">
        <f t="shared" si="9"/>
        <v>100</v>
      </c>
      <c r="V49" s="29">
        <f t="shared" si="10"/>
        <v>0.05</v>
      </c>
      <c r="W49" s="29">
        <f t="shared" si="1"/>
        <v>1</v>
      </c>
      <c r="X49" s="48">
        <f>_xll.qlBondCleanPriceFromZSpread(G49,Y49,Z49,AA49,AB49,AC49,AD49,AE49)</f>
        <v>98.244003295896533</v>
      </c>
      <c r="Y49" s="31" t="str">
        <f t="shared" si="2"/>
        <v>USADF#0008</v>
      </c>
      <c r="Z49" s="29">
        <f t="shared" si="3"/>
        <v>2.2603710752491218E-3</v>
      </c>
      <c r="AA49" s="29" t="str">
        <f t="shared" si="12"/>
        <v>30/360</v>
      </c>
      <c r="AB49" s="29" t="s">
        <v>49</v>
      </c>
      <c r="AC49" s="29" t="str">
        <f t="shared" si="13"/>
        <v>Semiannual</v>
      </c>
      <c r="AD49" s="30">
        <f t="shared" ref="AD49" si="45">AD48</f>
        <v>44560</v>
      </c>
      <c r="AE49" s="29">
        <f t="shared" si="7"/>
        <v>1</v>
      </c>
      <c r="AG49" s="68"/>
      <c r="AH49" s="49"/>
    </row>
    <row r="50" spans="1:34" ht="18" x14ac:dyDescent="0.25">
      <c r="A50" s="64">
        <f>VLOOKUP(FixBondObj!C49,ScheduleObj!Q:AB,12,FALSE)</f>
        <v>98.765998840332031</v>
      </c>
      <c r="B50" s="98" t="e">
        <f>_xll.qlBondCleanPrice(G50,_xll.ohTrigger($A$1))</f>
        <v>#NUM!</v>
      </c>
      <c r="C50" s="100" t="b">
        <f>_xll.qlInstrumentSetPricingEngine(G50,F50,_xll.ohTrigger($A$1))</f>
        <v>1</v>
      </c>
      <c r="D50" s="67" t="str">
        <f>VLOOKUP(FixBondObj!C49,ScheduleObj!Q:AA,11,FALSE)</f>
        <v>A(S &amp; P)</v>
      </c>
      <c r="E50" s="32" t="str">
        <f>VLOOKUP(MID(D50,1,FIND("(",D50)-1),'ql-USCorp'!$A$81:$B$110,2,FALSE)</f>
        <v>A</v>
      </c>
      <c r="F50" s="31" t="str">
        <f>VLOOKUP(E50,'ql-USCorp'!$A$72:$B$75,2,FALSE)</f>
        <v>USAEng#0008</v>
      </c>
      <c r="G50" s="31" t="str">
        <f>FixBondObj!A49</f>
        <v>obj_000c3#0008</v>
      </c>
      <c r="H50" s="65">
        <f>VLOOKUP(FixBondObj!C49,ScheduleObj!Q:V,6,FALSE)</f>
        <v>2000000</v>
      </c>
      <c r="I50" s="57">
        <f t="shared" si="0"/>
        <v>1975319.9768066406</v>
      </c>
      <c r="J50" s="66"/>
      <c r="K50" s="53">
        <f>_xll.qlBondBpsFromYield(G50,M50,P50,Q50,R50,AD50,AE50)*H50/100</f>
        <v>868.48381691950544</v>
      </c>
      <c r="L50" s="52">
        <f>_xll.qlBondDurationFromYield(G50,M50,P50,Q50,R50,"Modified",AD50,AE50)</f>
        <v>4.1843536356569606</v>
      </c>
      <c r="M50" s="51">
        <f>_xll.qlBondYieldFromCleanPrice(G50,A50,P50,Q50,R50,S50,T50,U50,V50,W50)</f>
        <v>1.5457483242861933E-2</v>
      </c>
      <c r="N50" s="101">
        <f>_xll.qlBondZSpreadFromCleanPrice(G50,A50,O50,P50,Q50,R50,S50,T50,U50,V50,W50)/0.01%</f>
        <v>-31.668269045659937</v>
      </c>
      <c r="O50" s="31" t="str">
        <f>VLOOKUP(E50,'ql-USCorp'!$A$72:$C$75,3,FALSE)</f>
        <v>USADF#0008</v>
      </c>
      <c r="P50" s="29" t="str">
        <f>FixBondObj!I49</f>
        <v>30/360</v>
      </c>
      <c r="Q50" s="29" t="s">
        <v>49</v>
      </c>
      <c r="R50" s="29" t="str">
        <f>VLOOKUP(VLOOKUP(FixBondObj!C49,ScheduleObj!Q:W,7,FALSE),Reference!$A$2:$B$4,2,FALSE)</f>
        <v>Semiannual</v>
      </c>
      <c r="S50" s="30">
        <f t="shared" si="8"/>
        <v>44560</v>
      </c>
      <c r="U50" s="29">
        <f t="shared" si="9"/>
        <v>100</v>
      </c>
      <c r="V50" s="29">
        <f t="shared" si="10"/>
        <v>0.05</v>
      </c>
      <c r="W50" s="29">
        <f t="shared" si="1"/>
        <v>1</v>
      </c>
      <c r="X50" s="48">
        <f>_xll.qlBondCleanPriceFromZSpread(G50,Y50,Z50,AA50,AB50,AC50,AD50,AE50)</f>
        <v>98.765998840293733</v>
      </c>
      <c r="Y50" s="31" t="str">
        <f t="shared" si="2"/>
        <v>USADF#0008</v>
      </c>
      <c r="Z50" s="29">
        <f t="shared" si="3"/>
        <v>-3.1668269045659939E-3</v>
      </c>
      <c r="AA50" s="29" t="str">
        <f t="shared" si="12"/>
        <v>30/360</v>
      </c>
      <c r="AB50" s="29" t="s">
        <v>49</v>
      </c>
      <c r="AC50" s="29" t="str">
        <f t="shared" si="13"/>
        <v>Semiannual</v>
      </c>
      <c r="AD50" s="30">
        <f t="shared" ref="AD50" si="46">AD48</f>
        <v>44560</v>
      </c>
      <c r="AE50" s="29">
        <f t="shared" si="7"/>
        <v>1</v>
      </c>
      <c r="AG50" s="68"/>
      <c r="AH50" s="49"/>
    </row>
    <row r="51" spans="1:34" x14ac:dyDescent="0.25">
      <c r="B51" s="98" t="str">
        <f ca="1">_xll.ohRangeRetrieveError(B55)</f>
        <v/>
      </c>
      <c r="G51" s="31"/>
    </row>
    <row r="52" spans="1:34" x14ac:dyDescent="0.25">
      <c r="A52" s="64">
        <f>VLOOKUP(FlotBondObj!C2,ScheduleObj!Q:AB,12,FALSE)</f>
        <v>101.5690002441406</v>
      </c>
      <c r="B52" s="98" t="e">
        <f>_xll.qlBondCleanPrice(G52,_xll.ohTrigger($A$1))</f>
        <v>#NUM!</v>
      </c>
      <c r="C52" s="100" t="b">
        <f>_xll.qlInstrumentSetPricingEngine(G52,F52,_xll.ohTrigger($A$1))</f>
        <v>1</v>
      </c>
      <c r="D52" s="32" t="s">
        <v>387</v>
      </c>
      <c r="E52" s="32" t="str">
        <f>VLOOKUP(MID(D52,1,FIND("(",D52)-1),'ql-USCorp'!$A$81:$B$110,2,FALSE)</f>
        <v>A</v>
      </c>
      <c r="F52" s="31" t="str">
        <f>VLOOKUP(E52,'ql-AUCorp'!$A$83:$C$86,2,FALSE)</f>
        <v>AUDAEng#0008</v>
      </c>
      <c r="G52" s="31" t="str">
        <f>FlotBondObj!A2</f>
        <v>obj_001bd#0012</v>
      </c>
      <c r="H52" s="65">
        <f>FlotBondObj!G2</f>
        <v>15000000</v>
      </c>
      <c r="J52" s="29" t="s">
        <v>363</v>
      </c>
      <c r="K52" s="53">
        <f>_xll.qlBondBpsFromYield(G52,M52,P52,Q52,R52,AD52,AE52)*H52/100</f>
        <v>4026.0719808270528</v>
      </c>
      <c r="L52" s="52">
        <f>_xll.qlBondDurationFromYield(G52,M52,P52,Q52,R52,"Modified",AD52,AE52)</f>
        <v>2.6266471025398919</v>
      </c>
      <c r="M52" s="51">
        <f>_xll.qlBondYieldFromCleanPrice(G52,A52,P52,Q52,R52,S52,T52,U52,V52,W52)</f>
        <v>1.5429545906521385E-2</v>
      </c>
      <c r="N52" s="101">
        <f>_xll.qlBondZSpreadFromCleanPrice(G52,A52,O52,P52,Q52,R52,S52,T52,U52,V52,W52)/0.01%</f>
        <v>-12.032588264250405</v>
      </c>
      <c r="O52" s="31" t="str">
        <f>VLOOKUP(E52,'ql-AUCorp'!$A$83:$C$86,3,FALSE)</f>
        <v>AUDADF#0008</v>
      </c>
      <c r="P52" s="29" t="str">
        <f>P50</f>
        <v>30/360</v>
      </c>
      <c r="Q52" s="29" t="str">
        <f>Q50</f>
        <v>Compounded</v>
      </c>
      <c r="R52" s="29" t="s">
        <v>483</v>
      </c>
      <c r="S52" s="30">
        <f>S50</f>
        <v>44560</v>
      </c>
      <c r="U52" s="29">
        <v>100</v>
      </c>
      <c r="V52" s="29">
        <f>V50</f>
        <v>0.05</v>
      </c>
      <c r="W52" s="29">
        <f t="shared" si="1"/>
        <v>1</v>
      </c>
      <c r="X52" s="48">
        <f>_xll.qlBondCleanPriceFromZSpread(G52,Y52,Z52,AA52,AB52,AC52,AD52,AE52)</f>
        <v>101.56900024413993</v>
      </c>
      <c r="Y52" s="31" t="str">
        <f>O52</f>
        <v>AUDADF#0008</v>
      </c>
      <c r="Z52" s="29">
        <f>N52*0.01%</f>
        <v>-1.2032588264250406E-3</v>
      </c>
      <c r="AA52" s="29" t="str">
        <f>P52</f>
        <v>30/360</v>
      </c>
      <c r="AB52" s="29" t="s">
        <v>49</v>
      </c>
      <c r="AC52" s="29" t="str">
        <f>R52</f>
        <v>Quarterly</v>
      </c>
      <c r="AD52" s="30">
        <f>S52</f>
        <v>44560</v>
      </c>
      <c r="AE52" s="29">
        <f>$A$1</f>
        <v>1</v>
      </c>
    </row>
    <row r="53" spans="1:34" x14ac:dyDescent="0.25">
      <c r="A53" s="64">
        <f>VLOOKUP(FlotBondObj!C3,ScheduleObj!Q:AB,12,FALSE)</f>
        <v>100.8519973754883</v>
      </c>
      <c r="B53" s="98" t="e">
        <f>_xll.qlBondCleanPrice(G53,_xll.ohTrigger($A$1))</f>
        <v>#NUM!</v>
      </c>
      <c r="C53" s="100" t="b">
        <f>_xll.qlInstrumentSetPricingEngine(G53,F53,_xll.ohTrigger($A$1))</f>
        <v>1</v>
      </c>
      <c r="D53" s="32" t="s">
        <v>388</v>
      </c>
      <c r="E53" s="32" t="str">
        <f>VLOOKUP(MID(D53,1,FIND("(",D53)-1),'ql-USCorp'!$A$81:$B$110,2,FALSE)</f>
        <v>A</v>
      </c>
      <c r="F53" s="31" t="str">
        <f>VLOOKUP(E53,'ql-AUCorp'!$A$83:$C$86,2,FALSE)</f>
        <v>AUDAEng#0008</v>
      </c>
      <c r="G53" s="31" t="str">
        <f>FlotBondObj!A3</f>
        <v>obj_00207#0012</v>
      </c>
      <c r="H53" s="65">
        <f>FlotBondObj!G3</f>
        <v>8000000</v>
      </c>
      <c r="J53" s="29" t="s">
        <v>363</v>
      </c>
      <c r="K53" s="53">
        <f>_xll.qlBondBpsFromYield(G53,M53,P53,Q53,R53,AD53,AE53)*H53/100</f>
        <v>2528.8556414649065</v>
      </c>
      <c r="L53" s="52">
        <f>_xll.qlBondDurationFromYield(G53,M53,P53,Q53,R53,"Modified",AD53,AE53)</f>
        <v>3.0250405221606131</v>
      </c>
      <c r="M53" s="51">
        <f>_xll.qlBondYieldFromCleanPrice(G53,A53,P53,Q53,R53,S53,T53,U53,V53,W53)</f>
        <v>1.7278917373344308E-2</v>
      </c>
      <c r="N53" s="101">
        <f>_xll.qlBondZSpreadFromCleanPrice(G53,A53,O53,P53,Q53,R53,S53,T53,U53,V53,W53)/0.01%</f>
        <v>-10.570030675342023</v>
      </c>
      <c r="O53" s="31" t="str">
        <f>VLOOKUP(E53,'ql-AUCorp'!$A$83:$C$86,3,FALSE)</f>
        <v>AUDADF#0008</v>
      </c>
      <c r="P53" s="29" t="str">
        <f>P52</f>
        <v>30/360</v>
      </c>
      <c r="Q53" s="29" t="str">
        <f>Q52</f>
        <v>Compounded</v>
      </c>
      <c r="R53" s="29" t="str">
        <f>R52</f>
        <v>Quarterly</v>
      </c>
      <c r="S53" s="30">
        <f>S52</f>
        <v>44560</v>
      </c>
      <c r="U53" s="29">
        <f>U52</f>
        <v>100</v>
      </c>
      <c r="V53" s="29">
        <f>V52</f>
        <v>0.05</v>
      </c>
      <c r="W53" s="29">
        <f>W52</f>
        <v>1</v>
      </c>
      <c r="X53" s="48">
        <f>_xll.qlBondCleanPriceFromZSpread(G53,Y53,Z53,AA53,AB53,AC53,AD53,AE53)</f>
        <v>100.85199737548822</v>
      </c>
      <c r="Y53" s="31" t="str">
        <f t="shared" ref="Y53:Y111" si="47">O53</f>
        <v>AUDADF#0008</v>
      </c>
      <c r="Z53" s="29">
        <f t="shared" ref="Z53:Z111" si="48">N53*0.01%</f>
        <v>-1.0570030675342023E-3</v>
      </c>
      <c r="AA53" s="29" t="str">
        <f t="shared" ref="AA53:AA111" si="49">P53</f>
        <v>30/360</v>
      </c>
      <c r="AB53" s="29" t="s">
        <v>49</v>
      </c>
      <c r="AC53" s="29" t="str">
        <f t="shared" ref="AC53:AC111" si="50">R53</f>
        <v>Quarterly</v>
      </c>
      <c r="AD53" s="30">
        <f t="shared" ref="AD53:AD111" si="51">S53</f>
        <v>44560</v>
      </c>
      <c r="AE53" s="29">
        <f t="shared" ref="AE53:AE111" si="52">$A$1</f>
        <v>1</v>
      </c>
    </row>
    <row r="54" spans="1:34" x14ac:dyDescent="0.25">
      <c r="A54" s="64">
        <f>VLOOKUP(FlotBondObj!C4,ScheduleObj!Q:AB,12,FALSE)</f>
        <v>100.8629989624023</v>
      </c>
      <c r="B54" s="98" t="e">
        <f>_xll.qlBondCleanPrice(G54,_xll.ohTrigger($A$1))</f>
        <v>#NUM!</v>
      </c>
      <c r="C54" s="100" t="b">
        <f>_xll.qlInstrumentSetPricingEngine(G54,F54,_xll.ohTrigger($A$1))</f>
        <v>1</v>
      </c>
      <c r="D54" s="32" t="s">
        <v>121</v>
      </c>
      <c r="E54" s="32" t="str">
        <f>VLOOKUP(MID(D54,1,FIND("(",D54)-1),'ql-USCorp'!$A$81:$B$110,2,FALSE)</f>
        <v>AA</v>
      </c>
      <c r="F54" s="31" t="str">
        <f>VLOOKUP(E54,'ql-AUCorp'!$A$83:$C$86,2,FALSE)</f>
        <v>AUDAAEng#0008</v>
      </c>
      <c r="G54" s="31" t="str">
        <f>FlotBondObj!A4</f>
        <v>obj_00205#0012</v>
      </c>
      <c r="H54" s="65">
        <f>FlotBondObj!G4</f>
        <v>2000000</v>
      </c>
      <c r="J54" s="29" t="s">
        <v>363</v>
      </c>
      <c r="K54" s="53">
        <f>_xll.qlBondBpsFromYield(G54,M54,P54,Q54,R54,AD54,AE54)*H54/100</f>
        <v>198.86694344052898</v>
      </c>
      <c r="L54" s="52">
        <f>_xll.qlBondDurationFromYield(G54,M54,P54,Q54,R54,"Modified",AD54,AE54)</f>
        <v>0.88548203883231502</v>
      </c>
      <c r="M54" s="51">
        <f>_xll.qlBondYieldFromCleanPrice(G54,A54,P54,Q54,R54,S54,T54,U54,V54,W54)</f>
        <v>5.6071151252463508E-3</v>
      </c>
      <c r="N54" s="101">
        <f>_xll.qlBondZSpreadFromCleanPrice(G54,A54,O54,P54,Q54,R54,S54,T54,U54,V54,W54)/0.01%</f>
        <v>8.0037478339296246</v>
      </c>
      <c r="O54" s="31" t="str">
        <f>VLOOKUP(E54,'ql-AUCorp'!$A$83:$C$86,3,FALSE)</f>
        <v>AUDAADF#0008</v>
      </c>
      <c r="P54" s="29" t="str">
        <f t="shared" ref="P54:P111" si="53">P53</f>
        <v>30/360</v>
      </c>
      <c r="Q54" s="29" t="str">
        <f t="shared" ref="Q54:Q111" si="54">Q53</f>
        <v>Compounded</v>
      </c>
      <c r="R54" s="29" t="str">
        <f t="shared" ref="R54:R111" si="55">R53</f>
        <v>Quarterly</v>
      </c>
      <c r="S54" s="30">
        <f t="shared" ref="S54:S111" si="56">S53</f>
        <v>44560</v>
      </c>
      <c r="U54" s="29">
        <f>U53</f>
        <v>100</v>
      </c>
      <c r="V54" s="29">
        <f t="shared" ref="V54" si="57">V52</f>
        <v>0.05</v>
      </c>
      <c r="W54" s="29">
        <f t="shared" si="1"/>
        <v>1</v>
      </c>
      <c r="X54" s="48">
        <f>_xll.qlBondCleanPriceFromZSpread(G54,Y54,Z54,AA54,AB54,AC54,AD54,AE54)</f>
        <v>100.86299896225712</v>
      </c>
      <c r="Y54" s="31" t="str">
        <f t="shared" si="47"/>
        <v>AUDAADF#0008</v>
      </c>
      <c r="Z54" s="29">
        <f t="shared" si="48"/>
        <v>8.0037478339296255E-4</v>
      </c>
      <c r="AA54" s="29" t="str">
        <f t="shared" si="49"/>
        <v>30/360</v>
      </c>
      <c r="AB54" s="29" t="s">
        <v>49</v>
      </c>
      <c r="AC54" s="29" t="str">
        <f t="shared" si="50"/>
        <v>Quarterly</v>
      </c>
      <c r="AD54" s="30">
        <f t="shared" si="51"/>
        <v>44560</v>
      </c>
      <c r="AE54" s="29">
        <f t="shared" si="52"/>
        <v>1</v>
      </c>
    </row>
    <row r="55" spans="1:34" x14ac:dyDescent="0.25">
      <c r="A55" s="64">
        <f>VLOOKUP(FlotBondObj!C5,ScheduleObj!Q:AB,12,FALSE)</f>
        <v>102.0849990844727</v>
      </c>
      <c r="B55" s="98" t="e">
        <f>_xll.qlBondCleanPrice(G55,_xll.ohTrigger($A$1))</f>
        <v>#NUM!</v>
      </c>
      <c r="C55" s="100" t="b">
        <f>_xll.qlInstrumentSetPricingEngine(G55,F55,_xll.ohTrigger($A$1))</f>
        <v>1</v>
      </c>
      <c r="D55" s="32" t="s">
        <v>389</v>
      </c>
      <c r="E55" s="32" t="str">
        <f>VLOOKUP(MID(D55,1,FIND("(",D55)-1),'ql-USCorp'!$A$81:$B$110,2,FALSE)</f>
        <v>A</v>
      </c>
      <c r="F55" s="31" t="str">
        <f>VLOOKUP(E55,'ql-AUCorp'!$A$83:$C$86,2,FALSE)</f>
        <v>AUDAEng#0008</v>
      </c>
      <c r="G55" s="31" t="str">
        <f>FlotBondObj!A5</f>
        <v>obj_00211#0012</v>
      </c>
      <c r="H55" s="65">
        <f>FlotBondObj!G5</f>
        <v>15000000</v>
      </c>
      <c r="J55" s="29" t="s">
        <v>363</v>
      </c>
      <c r="K55" s="53">
        <f>_xll.qlBondBpsFromYield(G55,M55,P55,Q55,R55,AD55,AE55)*H55/100</f>
        <v>5086.3535366463111</v>
      </c>
      <c r="L55" s="52">
        <f>_xll.qlBondDurationFromYield(G55,M55,P55,Q55,R55,"Modified",AD55,AE55)</f>
        <v>3.3049517203977201</v>
      </c>
      <c r="M55" s="51">
        <f>_xll.qlBondYieldFromCleanPrice(G55,A55,P55,Q55,R55,S55,T55,U55,V55,W55)</f>
        <v>1.7206224989518532E-2</v>
      </c>
      <c r="N55" s="101">
        <f>_xll.qlBondZSpreadFromCleanPrice(G55,A55,O55,P55,Q55,R55,S55,T55,U55,V55,W55)/0.01%</f>
        <v>-23.648913857909164</v>
      </c>
      <c r="O55" s="31" t="str">
        <f>VLOOKUP(E55,'ql-AUCorp'!$A$83:$C$86,3,FALSE)</f>
        <v>AUDADF#0008</v>
      </c>
      <c r="P55" s="29" t="str">
        <f t="shared" si="53"/>
        <v>30/360</v>
      </c>
      <c r="Q55" s="29" t="str">
        <f t="shared" si="54"/>
        <v>Compounded</v>
      </c>
      <c r="R55" s="29" t="str">
        <f t="shared" si="55"/>
        <v>Quarterly</v>
      </c>
      <c r="S55" s="30">
        <f t="shared" si="56"/>
        <v>44560</v>
      </c>
      <c r="U55" s="29">
        <f t="shared" ref="U55:U111" si="58">U54</f>
        <v>100</v>
      </c>
      <c r="V55" s="29">
        <f t="shared" ref="V55" si="59">V54</f>
        <v>0.05</v>
      </c>
      <c r="W55" s="29">
        <f t="shared" ref="W55" si="60">W54</f>
        <v>1</v>
      </c>
      <c r="X55" s="48">
        <f>_xll.qlBondCleanPriceFromZSpread(G55,Y55,Z55,AA55,AB55,AC55,AD55,AE55)</f>
        <v>102.08499908446882</v>
      </c>
      <c r="Y55" s="31" t="str">
        <f t="shared" si="47"/>
        <v>AUDADF#0008</v>
      </c>
      <c r="Z55" s="29">
        <f t="shared" si="48"/>
        <v>-2.3648913857909166E-3</v>
      </c>
      <c r="AA55" s="29" t="str">
        <f t="shared" si="49"/>
        <v>30/360</v>
      </c>
      <c r="AB55" s="29" t="s">
        <v>49</v>
      </c>
      <c r="AC55" s="29" t="str">
        <f t="shared" si="50"/>
        <v>Quarterly</v>
      </c>
      <c r="AD55" s="30">
        <f t="shared" si="51"/>
        <v>44560</v>
      </c>
      <c r="AE55" s="29">
        <f t="shared" si="52"/>
        <v>1</v>
      </c>
    </row>
    <row r="56" spans="1:34" x14ac:dyDescent="0.25">
      <c r="A56" s="64">
        <f>VLOOKUP(FlotBondObj!C6,ScheduleObj!Q:AB,12,FALSE)</f>
        <v>100.9649963378906</v>
      </c>
      <c r="B56" s="98" t="e">
        <f>_xll.qlBondCleanPrice(G56,_xll.ohTrigger($A$1))</f>
        <v>#NUM!</v>
      </c>
      <c r="C56" s="100" t="b">
        <f>_xll.qlInstrumentSetPricingEngine(G56,F56,_xll.ohTrigger($A$1))</f>
        <v>1</v>
      </c>
      <c r="D56" s="32" t="s">
        <v>389</v>
      </c>
      <c r="E56" s="32" t="str">
        <f>VLOOKUP(MID(D56,1,FIND("(",D56)-1),'ql-USCorp'!$A$81:$B$110,2,FALSE)</f>
        <v>A</v>
      </c>
      <c r="F56" s="31" t="str">
        <f>VLOOKUP(E56,'ql-AUCorp'!$A$83:$C$86,2,FALSE)</f>
        <v>AUDAEng#0008</v>
      </c>
      <c r="G56" s="31" t="str">
        <f>FlotBondObj!A6</f>
        <v>obj_0020e#0012</v>
      </c>
      <c r="H56" s="65">
        <f>FlotBondObj!G6</f>
        <v>4000000</v>
      </c>
      <c r="J56" s="29" t="s">
        <v>363</v>
      </c>
      <c r="K56" s="53">
        <f>_xll.qlBondBpsFromYield(G56,M56,P56,Q56,R56,AD56,AE56)*H56/100</f>
        <v>696.40525985993952</v>
      </c>
      <c r="L56" s="52">
        <f>_xll.qlBondDurationFromYield(G56,M56,P56,Q56,R56,"Modified",AD56,AE56)</f>
        <v>1.5257363732333757</v>
      </c>
      <c r="M56" s="51">
        <f>_xll.qlBondYieldFromCleanPrice(G56,A56,P56,Q56,R56,S56,T56,U56,V56,W56)</f>
        <v>1.0495413201637573E-2</v>
      </c>
      <c r="N56" s="101">
        <f>_xll.qlBondZSpreadFromCleanPrice(G56,A56,O56,P56,Q56,R56,S56,T56,U56,V56,W56)/0.01%</f>
        <v>-1.9432230569370941</v>
      </c>
      <c r="O56" s="31" t="str">
        <f>VLOOKUP(E56,'ql-AUCorp'!$A$83:$C$86,3,FALSE)</f>
        <v>AUDADF#0008</v>
      </c>
      <c r="P56" s="29" t="str">
        <f t="shared" si="53"/>
        <v>30/360</v>
      </c>
      <c r="Q56" s="29" t="str">
        <f t="shared" si="54"/>
        <v>Compounded</v>
      </c>
      <c r="R56" s="29" t="str">
        <f t="shared" si="55"/>
        <v>Quarterly</v>
      </c>
      <c r="S56" s="30">
        <f t="shared" si="56"/>
        <v>44560</v>
      </c>
      <c r="U56" s="29">
        <f t="shared" si="58"/>
        <v>100</v>
      </c>
      <c r="V56" s="29">
        <f t="shared" ref="V56" si="61">V54</f>
        <v>0.05</v>
      </c>
      <c r="W56" s="29">
        <f t="shared" si="1"/>
        <v>1</v>
      </c>
      <c r="X56" s="48">
        <f>_xll.qlBondCleanPriceFromZSpread(G56,Y56,Z56,AA56,AB56,AC56,AD56,AE56)</f>
        <v>100.96499633538296</v>
      </c>
      <c r="Y56" s="31" t="str">
        <f t="shared" si="47"/>
        <v>AUDADF#0008</v>
      </c>
      <c r="Z56" s="29">
        <f t="shared" si="48"/>
        <v>-1.9432230569370941E-4</v>
      </c>
      <c r="AA56" s="29" t="str">
        <f t="shared" si="49"/>
        <v>30/360</v>
      </c>
      <c r="AB56" s="29" t="s">
        <v>49</v>
      </c>
      <c r="AC56" s="29" t="str">
        <f t="shared" si="50"/>
        <v>Quarterly</v>
      </c>
      <c r="AD56" s="30">
        <f t="shared" si="51"/>
        <v>44560</v>
      </c>
      <c r="AE56" s="29">
        <f t="shared" si="52"/>
        <v>1</v>
      </c>
    </row>
    <row r="57" spans="1:34" x14ac:dyDescent="0.25">
      <c r="A57" s="64">
        <f>VLOOKUP(FlotBondObj!C7,ScheduleObj!Q:AB,12,FALSE)</f>
        <v>100.54100036621089</v>
      </c>
      <c r="B57" s="98" t="e">
        <f>_xll.qlBondCleanPrice(G57,_xll.ohTrigger($A$1))</f>
        <v>#NUM!</v>
      </c>
      <c r="C57" s="100" t="b">
        <f>_xll.qlInstrumentSetPricingEngine(G57,F57,_xll.ohTrigger($A$1))</f>
        <v>1</v>
      </c>
      <c r="D57" s="32" t="s">
        <v>387</v>
      </c>
      <c r="E57" s="32" t="str">
        <f>VLOOKUP(MID(D57,1,FIND("(",D57)-1),'ql-USCorp'!$A$81:$B$110,2,FALSE)</f>
        <v>A</v>
      </c>
      <c r="F57" s="31" t="str">
        <f>VLOOKUP(E57,'ql-AUCorp'!$A$83:$C$86,2,FALSE)</f>
        <v>AUDAEng#0008</v>
      </c>
      <c r="G57" s="31" t="str">
        <f>FlotBondObj!A7</f>
        <v>obj_00206#0012</v>
      </c>
      <c r="H57" s="65">
        <f>FlotBondObj!G7</f>
        <v>4500000</v>
      </c>
      <c r="J57" s="29" t="s">
        <v>363</v>
      </c>
      <c r="K57" s="53">
        <f>_xll.qlBondBpsFromYield(G57,M57,P57,Q57,R57,AD57,AE57)*H57/100</f>
        <v>886.85494912631975</v>
      </c>
      <c r="L57" s="52">
        <f>_xll.qlBondDurationFromYield(G57,M57,P57,Q57,R57,"Modified",AD57,AE57)</f>
        <v>1.7874155369228475</v>
      </c>
      <c r="M57" s="51">
        <f>_xll.qlBondYieldFromCleanPrice(G57,A57,P57,Q57,R57,S57,T57,U57,V57,W57)</f>
        <v>1.2723383896313611E-2</v>
      </c>
      <c r="N57" s="101">
        <f>_xll.qlBondZSpreadFromCleanPrice(G57,A57,O57,P57,Q57,R57,S57,T57,U57,V57,W57)/0.01%</f>
        <v>6.6382352701306742</v>
      </c>
      <c r="O57" s="31" t="str">
        <f>VLOOKUP(E57,'ql-AUCorp'!$A$83:$C$86,3,FALSE)</f>
        <v>AUDADF#0008</v>
      </c>
      <c r="P57" s="29" t="str">
        <f t="shared" si="53"/>
        <v>30/360</v>
      </c>
      <c r="Q57" s="29" t="str">
        <f t="shared" si="54"/>
        <v>Compounded</v>
      </c>
      <c r="R57" s="29" t="str">
        <f t="shared" si="55"/>
        <v>Quarterly</v>
      </c>
      <c r="S57" s="30">
        <f t="shared" si="56"/>
        <v>44560</v>
      </c>
      <c r="U57" s="29">
        <f t="shared" si="58"/>
        <v>100</v>
      </c>
      <c r="V57" s="29">
        <f t="shared" ref="V57" si="62">V56</f>
        <v>0.05</v>
      </c>
      <c r="W57" s="29">
        <f t="shared" ref="W57" si="63">W56</f>
        <v>1</v>
      </c>
      <c r="X57" s="48">
        <f>_xll.qlBondCleanPriceFromZSpread(G57,Y57,Z57,AA57,AB57,AC57,AD57,AE57)</f>
        <v>100.54100036941455</v>
      </c>
      <c r="Y57" s="31" t="str">
        <f t="shared" si="47"/>
        <v>AUDADF#0008</v>
      </c>
      <c r="Z57" s="29">
        <f t="shared" si="48"/>
        <v>6.6382352701306743E-4</v>
      </c>
      <c r="AA57" s="29" t="str">
        <f t="shared" si="49"/>
        <v>30/360</v>
      </c>
      <c r="AB57" s="29" t="s">
        <v>49</v>
      </c>
      <c r="AC57" s="29" t="str">
        <f t="shared" si="50"/>
        <v>Quarterly</v>
      </c>
      <c r="AD57" s="30">
        <f t="shared" si="51"/>
        <v>44560</v>
      </c>
      <c r="AE57" s="29">
        <f t="shared" si="52"/>
        <v>1</v>
      </c>
    </row>
    <row r="58" spans="1:34" x14ac:dyDescent="0.25">
      <c r="A58" s="64">
        <f>VLOOKUP(FlotBondObj!C8,ScheduleObj!Q:AB,12,FALSE)</f>
        <v>101.5690002441406</v>
      </c>
      <c r="B58" s="98" t="e">
        <f>_xll.qlBondCleanPrice(G58,_xll.ohTrigger($A$1))</f>
        <v>#NUM!</v>
      </c>
      <c r="C58" s="100" t="b">
        <f>_xll.qlInstrumentSetPricingEngine(G58,F58,_xll.ohTrigger($A$1))</f>
        <v>1</v>
      </c>
      <c r="D58" s="32" t="s">
        <v>387</v>
      </c>
      <c r="E58" s="32" t="str">
        <f>VLOOKUP(MID(D58,1,FIND("(",D58)-1),'ql-USCorp'!$A$81:$B$110,2,FALSE)</f>
        <v>A</v>
      </c>
      <c r="F58" s="31" t="str">
        <f>VLOOKUP(E58,'ql-AUCorp'!$A$83:$C$86,2,FALSE)</f>
        <v>AUDAEng#0008</v>
      </c>
      <c r="G58" s="31" t="str">
        <f>FlotBondObj!A8</f>
        <v>obj_00203#0012</v>
      </c>
      <c r="H58" s="65">
        <f>FlotBondObj!G8</f>
        <v>15000000</v>
      </c>
      <c r="J58" s="29" t="s">
        <v>363</v>
      </c>
      <c r="K58" s="53">
        <f>_xll.qlBondBpsFromYield(G58,M58,P58,Q58,R58,AD58,AE58)*H58/100</f>
        <v>4026.0719808270528</v>
      </c>
      <c r="L58" s="52">
        <f>_xll.qlBondDurationFromYield(G58,M58,P58,Q58,R58,"Modified",AD58,AE58)</f>
        <v>2.6266471025398919</v>
      </c>
      <c r="M58" s="51">
        <f>_xll.qlBondYieldFromCleanPrice(G58,A58,P58,Q58,R58,S58,T58,U58,V58,W58)</f>
        <v>1.5429545906521385E-2</v>
      </c>
      <c r="N58" s="101">
        <f>_xll.qlBondZSpreadFromCleanPrice(G58,A58,O58,P58,Q58,R58,S58,T58,U58,V58,W58)/0.01%</f>
        <v>-12.032588264250405</v>
      </c>
      <c r="O58" s="31" t="str">
        <f>VLOOKUP(E58,'ql-AUCorp'!$A$83:$C$86,3,FALSE)</f>
        <v>AUDADF#0008</v>
      </c>
      <c r="P58" s="29" t="str">
        <f t="shared" si="53"/>
        <v>30/360</v>
      </c>
      <c r="Q58" s="29" t="str">
        <f t="shared" si="54"/>
        <v>Compounded</v>
      </c>
      <c r="R58" s="29" t="str">
        <f t="shared" si="55"/>
        <v>Quarterly</v>
      </c>
      <c r="S58" s="30">
        <f t="shared" si="56"/>
        <v>44560</v>
      </c>
      <c r="U58" s="29">
        <f t="shared" si="58"/>
        <v>100</v>
      </c>
      <c r="V58" s="29">
        <f t="shared" ref="V58" si="64">V56</f>
        <v>0.05</v>
      </c>
      <c r="W58" s="29">
        <f t="shared" si="1"/>
        <v>1</v>
      </c>
      <c r="X58" s="48">
        <f>_xll.qlBondCleanPriceFromZSpread(G58,Y58,Z58,AA58,AB58,AC58,AD58,AE58)</f>
        <v>101.56900024413993</v>
      </c>
      <c r="Y58" s="31" t="str">
        <f t="shared" si="47"/>
        <v>AUDADF#0008</v>
      </c>
      <c r="Z58" s="29">
        <f t="shared" si="48"/>
        <v>-1.2032588264250406E-3</v>
      </c>
      <c r="AA58" s="29" t="str">
        <f t="shared" si="49"/>
        <v>30/360</v>
      </c>
      <c r="AB58" s="29" t="s">
        <v>49</v>
      </c>
      <c r="AC58" s="29" t="str">
        <f t="shared" si="50"/>
        <v>Quarterly</v>
      </c>
      <c r="AD58" s="30">
        <f t="shared" si="51"/>
        <v>44560</v>
      </c>
      <c r="AE58" s="29">
        <f t="shared" si="52"/>
        <v>1</v>
      </c>
    </row>
    <row r="59" spans="1:34" x14ac:dyDescent="0.25">
      <c r="A59" s="64">
        <f>VLOOKUP(FlotBondObj!C9,ScheduleObj!Q:AB,12,FALSE)</f>
        <v>100.8519973754883</v>
      </c>
      <c r="B59" s="98" t="e">
        <f>_xll.qlBondCleanPrice(G59,_xll.ohTrigger($A$1))</f>
        <v>#NUM!</v>
      </c>
      <c r="C59" s="100" t="b">
        <f>_xll.qlInstrumentSetPricingEngine(G59,F59,_xll.ohTrigger($A$1))</f>
        <v>1</v>
      </c>
      <c r="D59" s="32" t="s">
        <v>388</v>
      </c>
      <c r="E59" s="32" t="str">
        <f>VLOOKUP(MID(D59,1,FIND("(",D59)-1),'ql-USCorp'!$A$81:$B$110,2,FALSE)</f>
        <v>A</v>
      </c>
      <c r="F59" s="31" t="str">
        <f>VLOOKUP(E59,'ql-AUCorp'!$A$83:$C$86,2,FALSE)</f>
        <v>AUDAEng#0008</v>
      </c>
      <c r="G59" s="31" t="str">
        <f>FlotBondObj!A9</f>
        <v>obj_00204#0012</v>
      </c>
      <c r="H59" s="65">
        <f>FlotBondObj!G9</f>
        <v>8000000</v>
      </c>
      <c r="J59" s="29" t="s">
        <v>363</v>
      </c>
      <c r="K59" s="53">
        <f>_xll.qlBondBpsFromYield(G59,M59,P59,Q59,R59,AD59,AE59)*H59/100</f>
        <v>2528.8556414649065</v>
      </c>
      <c r="L59" s="52">
        <f>_xll.qlBondDurationFromYield(G59,M59,P59,Q59,R59,"Modified",AD59,AE59)</f>
        <v>3.0250405221606131</v>
      </c>
      <c r="M59" s="51">
        <f>_xll.qlBondYieldFromCleanPrice(G59,A59,P59,Q59,R59,S59,T59,U59,V59,W59)</f>
        <v>1.7278917373344308E-2</v>
      </c>
      <c r="N59" s="101">
        <f>_xll.qlBondZSpreadFromCleanPrice(G59,A59,O59,P59,Q59,R59,S59,T59,U59,V59,W59)/0.01%</f>
        <v>-10.570030675342023</v>
      </c>
      <c r="O59" s="31" t="str">
        <f>VLOOKUP(E59,'ql-AUCorp'!$A$83:$C$86,3,FALSE)</f>
        <v>AUDADF#0008</v>
      </c>
      <c r="P59" s="29" t="str">
        <f t="shared" si="53"/>
        <v>30/360</v>
      </c>
      <c r="Q59" s="29" t="str">
        <f t="shared" si="54"/>
        <v>Compounded</v>
      </c>
      <c r="R59" s="29" t="str">
        <f t="shared" si="55"/>
        <v>Quarterly</v>
      </c>
      <c r="S59" s="30">
        <f t="shared" si="56"/>
        <v>44560</v>
      </c>
      <c r="U59" s="29">
        <f t="shared" si="58"/>
        <v>100</v>
      </c>
      <c r="V59" s="29">
        <f t="shared" ref="V59" si="65">V58</f>
        <v>0.05</v>
      </c>
      <c r="W59" s="29">
        <f t="shared" ref="W59" si="66">W58</f>
        <v>1</v>
      </c>
      <c r="X59" s="48">
        <f>_xll.qlBondCleanPriceFromZSpread(G59,Y59,Z59,AA59,AB59,AC59,AD59,AE59)</f>
        <v>100.85199737548822</v>
      </c>
      <c r="Y59" s="31" t="str">
        <f t="shared" si="47"/>
        <v>AUDADF#0008</v>
      </c>
      <c r="Z59" s="29">
        <f t="shared" si="48"/>
        <v>-1.0570030675342023E-3</v>
      </c>
      <c r="AA59" s="29" t="str">
        <f t="shared" si="49"/>
        <v>30/360</v>
      </c>
      <c r="AB59" s="29" t="s">
        <v>49</v>
      </c>
      <c r="AC59" s="29" t="str">
        <f t="shared" si="50"/>
        <v>Quarterly</v>
      </c>
      <c r="AD59" s="30">
        <f t="shared" si="51"/>
        <v>44560</v>
      </c>
      <c r="AE59" s="29">
        <f t="shared" si="52"/>
        <v>1</v>
      </c>
    </row>
    <row r="60" spans="1:34" x14ac:dyDescent="0.25">
      <c r="A60" s="64">
        <f>VLOOKUP(FlotBondObj!C10,ScheduleObj!Q:AB,12,FALSE)</f>
        <v>100.3720016479492</v>
      </c>
      <c r="B60" s="98" t="e">
        <f>_xll.qlBondCleanPrice(G60,_xll.ohTrigger($A$1))</f>
        <v>#NUM!</v>
      </c>
      <c r="C60" s="100" t="b">
        <f>_xll.qlInstrumentSetPricingEngine(G60,F60,_xll.ohTrigger($A$1))</f>
        <v>1</v>
      </c>
      <c r="D60" s="32" t="s">
        <v>389</v>
      </c>
      <c r="E60" s="32" t="str">
        <f>VLOOKUP(MID(D60,1,FIND("(",D60)-1),'ql-USCorp'!$A$81:$B$110,2,FALSE)</f>
        <v>A</v>
      </c>
      <c r="F60" s="31" t="str">
        <f>VLOOKUP(E60,'ql-AUCorp'!$A$83:$C$86,2,FALSE)</f>
        <v>AUDAEng#0008</v>
      </c>
      <c r="G60" s="31" t="str">
        <f>FlotBondObj!A10</f>
        <v>obj_00208#0012</v>
      </c>
      <c r="H60" s="65">
        <f>FlotBondObj!G10</f>
        <v>15950000</v>
      </c>
      <c r="J60" s="29" t="s">
        <v>363</v>
      </c>
      <c r="K60" s="53">
        <f>_xll.qlBondBpsFromYield(G60,M60,P60,Q60,R60,AD60,AE60)*H60/100</f>
        <v>1194.1462377674982</v>
      </c>
      <c r="L60" s="52">
        <f>_xll.qlBondDurationFromYield(G60,M60,P60,Q60,R60,"Modified",AD60,AE60)</f>
        <v>0.63095612397769829</v>
      </c>
      <c r="M60" s="51">
        <f>_xll.qlBondYieldFromCleanPrice(G60,A60,P60,Q60,R60,S60,T60,U60,V60,W60)</f>
        <v>4.5955559561774162E-3</v>
      </c>
      <c r="N60" s="101">
        <f>_xll.qlBondZSpreadFromCleanPrice(G60,A60,O60,P60,Q60,R60,S60,T60,U60,V60,W60)/0.01%</f>
        <v>1.0981901414335931</v>
      </c>
      <c r="O60" s="31" t="str">
        <f>VLOOKUP(E60,'ql-AUCorp'!$A$83:$C$86,3,FALSE)</f>
        <v>AUDADF#0008</v>
      </c>
      <c r="P60" s="29" t="str">
        <f t="shared" si="53"/>
        <v>30/360</v>
      </c>
      <c r="Q60" s="29" t="str">
        <f t="shared" si="54"/>
        <v>Compounded</v>
      </c>
      <c r="R60" s="29" t="str">
        <f t="shared" si="55"/>
        <v>Quarterly</v>
      </c>
      <c r="S60" s="30">
        <f t="shared" si="56"/>
        <v>44560</v>
      </c>
      <c r="U60" s="29">
        <f t="shared" si="58"/>
        <v>100</v>
      </c>
      <c r="V60" s="29">
        <f t="shared" ref="V60" si="67">V58</f>
        <v>0.05</v>
      </c>
      <c r="W60" s="29">
        <f t="shared" si="1"/>
        <v>1</v>
      </c>
      <c r="X60" s="48">
        <f>_xll.qlBondCleanPriceFromZSpread(G60,Y60,Z60,AA60,AB60,AC60,AD60,AE60)</f>
        <v>100.37200164792132</v>
      </c>
      <c r="Y60" s="31" t="str">
        <f t="shared" si="47"/>
        <v>AUDADF#0008</v>
      </c>
      <c r="Z60" s="29">
        <f t="shared" si="48"/>
        <v>1.0981901414335931E-4</v>
      </c>
      <c r="AA60" s="29" t="str">
        <f t="shared" si="49"/>
        <v>30/360</v>
      </c>
      <c r="AB60" s="29" t="s">
        <v>49</v>
      </c>
      <c r="AC60" s="29" t="str">
        <f t="shared" si="50"/>
        <v>Quarterly</v>
      </c>
      <c r="AD60" s="30">
        <f t="shared" si="51"/>
        <v>44560</v>
      </c>
      <c r="AE60" s="29">
        <f t="shared" si="52"/>
        <v>1</v>
      </c>
    </row>
    <row r="61" spans="1:34" x14ac:dyDescent="0.25">
      <c r="A61" s="64">
        <f>VLOOKUP(FlotBondObj!C11,ScheduleObj!Q:AB,12,FALSE)</f>
        <v>100.8629989624023</v>
      </c>
      <c r="B61" s="98" t="e">
        <f>_xll.qlBondCleanPrice(G61,_xll.ohTrigger($A$1))</f>
        <v>#NUM!</v>
      </c>
      <c r="C61" s="100" t="b">
        <f>_xll.qlInstrumentSetPricingEngine(G61,F61,_xll.ohTrigger($A$1))</f>
        <v>1</v>
      </c>
      <c r="D61" s="32" t="s">
        <v>121</v>
      </c>
      <c r="E61" s="32" t="str">
        <f>VLOOKUP(MID(D61,1,FIND("(",D61)-1),'ql-USCorp'!$A$81:$B$110,2,FALSE)</f>
        <v>AA</v>
      </c>
      <c r="F61" s="31" t="str">
        <f>VLOOKUP(E61,'ql-AUCorp'!$A$83:$C$86,2,FALSE)</f>
        <v>AUDAAEng#0008</v>
      </c>
      <c r="G61" s="31" t="str">
        <f>FlotBondObj!A11</f>
        <v>obj_0020a#0012</v>
      </c>
      <c r="H61" s="65">
        <f>FlotBondObj!G11</f>
        <v>2000000</v>
      </c>
      <c r="J61" s="29" t="s">
        <v>363</v>
      </c>
      <c r="K61" s="53">
        <f>_xll.qlBondBpsFromYield(G61,M61,P61,Q61,R61,AD61,AE61)*H61/100</f>
        <v>198.86694344052898</v>
      </c>
      <c r="L61" s="52">
        <f>_xll.qlBondDurationFromYield(G61,M61,P61,Q61,R61,"Modified",AD61,AE61)</f>
        <v>0.88548203883231502</v>
      </c>
      <c r="M61" s="51">
        <f>_xll.qlBondYieldFromCleanPrice(G61,A61,P61,Q61,R61,S61,T61,U61,V61,W61)</f>
        <v>5.6071151252463508E-3</v>
      </c>
      <c r="N61" s="101">
        <f>_xll.qlBondZSpreadFromCleanPrice(G61,A61,O61,P61,Q61,R61,S61,T61,U61,V61,W61)/0.01%</f>
        <v>8.0037478339296246</v>
      </c>
      <c r="O61" s="31" t="str">
        <f>VLOOKUP(E61,'ql-AUCorp'!$A$83:$C$86,3,FALSE)</f>
        <v>AUDAADF#0008</v>
      </c>
      <c r="P61" s="29" t="str">
        <f t="shared" si="53"/>
        <v>30/360</v>
      </c>
      <c r="Q61" s="29" t="str">
        <f t="shared" si="54"/>
        <v>Compounded</v>
      </c>
      <c r="R61" s="29" t="str">
        <f t="shared" si="55"/>
        <v>Quarterly</v>
      </c>
      <c r="S61" s="30">
        <f t="shared" si="56"/>
        <v>44560</v>
      </c>
      <c r="U61" s="29">
        <f t="shared" si="58"/>
        <v>100</v>
      </c>
      <c r="V61" s="29">
        <f t="shared" ref="V61" si="68">V60</f>
        <v>0.05</v>
      </c>
      <c r="W61" s="29">
        <f t="shared" ref="W61" si="69">W60</f>
        <v>1</v>
      </c>
      <c r="X61" s="48">
        <f>_xll.qlBondCleanPriceFromZSpread(G61,Y61,Z61,AA61,AB61,AC61,AD61,AE61)</f>
        <v>100.86299896225712</v>
      </c>
      <c r="Y61" s="31" t="str">
        <f t="shared" si="47"/>
        <v>AUDAADF#0008</v>
      </c>
      <c r="Z61" s="29">
        <f t="shared" si="48"/>
        <v>8.0037478339296255E-4</v>
      </c>
      <c r="AA61" s="29" t="str">
        <f t="shared" si="49"/>
        <v>30/360</v>
      </c>
      <c r="AB61" s="29" t="s">
        <v>49</v>
      </c>
      <c r="AC61" s="29" t="str">
        <f t="shared" si="50"/>
        <v>Quarterly</v>
      </c>
      <c r="AD61" s="30">
        <f t="shared" si="51"/>
        <v>44560</v>
      </c>
      <c r="AE61" s="29">
        <f t="shared" si="52"/>
        <v>1</v>
      </c>
    </row>
    <row r="62" spans="1:34" x14ac:dyDescent="0.25">
      <c r="A62" s="64">
        <f>VLOOKUP(FlotBondObj!C12,ScheduleObj!Q:AB,12,FALSE)</f>
        <v>101.18800354003911</v>
      </c>
      <c r="B62" s="98" t="e">
        <f>_xll.qlBondCleanPrice(G62,_xll.ohTrigger($A$1))</f>
        <v>#NUM!</v>
      </c>
      <c r="C62" s="100" t="b">
        <f>_xll.qlInstrumentSetPricingEngine(G62,F62,_xll.ohTrigger($A$1))</f>
        <v>1</v>
      </c>
      <c r="D62" s="32" t="s">
        <v>388</v>
      </c>
      <c r="E62" s="32" t="str">
        <f>VLOOKUP(MID(D62,1,FIND("(",D62)-1),'ql-USCorp'!$A$81:$B$110,2,FALSE)</f>
        <v>A</v>
      </c>
      <c r="F62" s="31" t="str">
        <f>VLOOKUP(E62,'ql-AUCorp'!$A$83:$C$86,2,FALSE)</f>
        <v>AUDAEng#0008</v>
      </c>
      <c r="G62" s="31" t="str">
        <f>FlotBondObj!A12</f>
        <v>obj_00209#0012</v>
      </c>
      <c r="H62" s="65">
        <f>FlotBondObj!G12</f>
        <v>4000000</v>
      </c>
      <c r="J62" s="29" t="s">
        <v>363</v>
      </c>
      <c r="K62" s="53">
        <f>_xll.qlBondBpsFromYield(G62,M62,P62,Q62,R62,AD62,AE62)*H62/100</f>
        <v>595.41824434838827</v>
      </c>
      <c r="L62" s="52">
        <f>_xll.qlBondDurationFromYield(G62,M62,P62,Q62,R62,"Modified",AD62,AE62)</f>
        <v>1.3876430876501995</v>
      </c>
      <c r="M62" s="51">
        <f>_xll.qlBondYieldFromCleanPrice(G62,A62,P62,Q62,R62,S62,T62,U62,V62,W62)</f>
        <v>9.84354120191187E-3</v>
      </c>
      <c r="N62" s="101">
        <f>_xll.qlBondZSpreadFromCleanPrice(G62,A62,O62,P62,Q62,R62,S62,T62,U62,V62,W62)/0.01%</f>
        <v>0.91164944077007071</v>
      </c>
      <c r="O62" s="31" t="str">
        <f>VLOOKUP(E62,'ql-AUCorp'!$A$83:$C$86,3,FALSE)</f>
        <v>AUDADF#0008</v>
      </c>
      <c r="P62" s="29" t="str">
        <f t="shared" si="53"/>
        <v>30/360</v>
      </c>
      <c r="Q62" s="29" t="str">
        <f t="shared" si="54"/>
        <v>Compounded</v>
      </c>
      <c r="R62" s="29" t="str">
        <f t="shared" si="55"/>
        <v>Quarterly</v>
      </c>
      <c r="S62" s="30">
        <f t="shared" si="56"/>
        <v>44560</v>
      </c>
      <c r="U62" s="29">
        <f t="shared" si="58"/>
        <v>100</v>
      </c>
      <c r="V62" s="29">
        <f t="shared" ref="V62" si="70">V60</f>
        <v>0.05</v>
      </c>
      <c r="W62" s="29">
        <f t="shared" si="1"/>
        <v>1</v>
      </c>
      <c r="X62" s="48">
        <f>_xll.qlBondCleanPriceFromZSpread(G62,Y62,Z62,AA62,AB62,AC62,AD62,AE62)</f>
        <v>101.18800353854419</v>
      </c>
      <c r="Y62" s="31" t="str">
        <f t="shared" si="47"/>
        <v>AUDADF#0008</v>
      </c>
      <c r="Z62" s="29">
        <f t="shared" si="48"/>
        <v>9.1164944077007078E-5</v>
      </c>
      <c r="AA62" s="29" t="str">
        <f t="shared" si="49"/>
        <v>30/360</v>
      </c>
      <c r="AB62" s="29" t="s">
        <v>49</v>
      </c>
      <c r="AC62" s="29" t="str">
        <f t="shared" si="50"/>
        <v>Quarterly</v>
      </c>
      <c r="AD62" s="30">
        <f t="shared" si="51"/>
        <v>44560</v>
      </c>
      <c r="AE62" s="29">
        <f t="shared" si="52"/>
        <v>1</v>
      </c>
    </row>
    <row r="63" spans="1:34" x14ac:dyDescent="0.25">
      <c r="A63" s="64">
        <f>VLOOKUP(FlotBondObj!C13,ScheduleObj!Q:AB,12,FALSE)</f>
        <v>100.9649963378906</v>
      </c>
      <c r="B63" s="98" t="e">
        <f>_xll.qlBondCleanPrice(G63,_xll.ohTrigger($A$1))</f>
        <v>#NUM!</v>
      </c>
      <c r="C63" s="100" t="b">
        <f>_xll.qlInstrumentSetPricingEngine(G63,F63,_xll.ohTrigger($A$1))</f>
        <v>1</v>
      </c>
      <c r="D63" s="32" t="s">
        <v>389</v>
      </c>
      <c r="E63" s="32" t="str">
        <f>VLOOKUP(MID(D63,1,FIND("(",D63)-1),'ql-USCorp'!$A$81:$B$110,2,FALSE)</f>
        <v>A</v>
      </c>
      <c r="F63" s="31" t="str">
        <f>VLOOKUP(E63,'ql-AUCorp'!$A$83:$C$86,2,FALSE)</f>
        <v>AUDAEng#0008</v>
      </c>
      <c r="G63" s="31" t="str">
        <f>FlotBondObj!A13</f>
        <v>obj_0020b#0012</v>
      </c>
      <c r="H63" s="65">
        <f>FlotBondObj!G13</f>
        <v>4000000</v>
      </c>
      <c r="J63" s="29" t="s">
        <v>363</v>
      </c>
      <c r="K63" s="53">
        <f>_xll.qlBondBpsFromYield(G63,M63,P63,Q63,R63,AD63,AE63)*H63/100</f>
        <v>696.40525985993952</v>
      </c>
      <c r="L63" s="52">
        <f>_xll.qlBondDurationFromYield(G63,M63,P63,Q63,R63,"Modified",AD63,AE63)</f>
        <v>1.5257363732333757</v>
      </c>
      <c r="M63" s="51">
        <f>_xll.qlBondYieldFromCleanPrice(G63,A63,P63,Q63,R63,S63,T63,U63,V63,W63)</f>
        <v>1.0495413201637573E-2</v>
      </c>
      <c r="N63" s="101">
        <f>_xll.qlBondZSpreadFromCleanPrice(G63,A63,O63,P63,Q63,R63,S63,T63,U63,V63,W63)/0.01%</f>
        <v>-1.9432230569370941</v>
      </c>
      <c r="O63" s="31" t="str">
        <f>VLOOKUP(E63,'ql-AUCorp'!$A$83:$C$86,3,FALSE)</f>
        <v>AUDADF#0008</v>
      </c>
      <c r="P63" s="29" t="str">
        <f t="shared" si="53"/>
        <v>30/360</v>
      </c>
      <c r="Q63" s="29" t="str">
        <f t="shared" si="54"/>
        <v>Compounded</v>
      </c>
      <c r="R63" s="29" t="str">
        <f t="shared" si="55"/>
        <v>Quarterly</v>
      </c>
      <c r="S63" s="30">
        <f t="shared" si="56"/>
        <v>44560</v>
      </c>
      <c r="U63" s="29">
        <f t="shared" si="58"/>
        <v>100</v>
      </c>
      <c r="V63" s="29">
        <f t="shared" ref="V63" si="71">V62</f>
        <v>0.05</v>
      </c>
      <c r="W63" s="29">
        <f t="shared" ref="W63" si="72">W62</f>
        <v>1</v>
      </c>
      <c r="X63" s="48">
        <f>_xll.qlBondCleanPriceFromZSpread(G63,Y63,Z63,AA63,AB63,AC63,AD63,AE63)</f>
        <v>100.96499633538296</v>
      </c>
      <c r="Y63" s="31" t="str">
        <f t="shared" si="47"/>
        <v>AUDADF#0008</v>
      </c>
      <c r="Z63" s="29">
        <f t="shared" si="48"/>
        <v>-1.9432230569370941E-4</v>
      </c>
      <c r="AA63" s="29" t="str">
        <f t="shared" si="49"/>
        <v>30/360</v>
      </c>
      <c r="AB63" s="29" t="s">
        <v>49</v>
      </c>
      <c r="AC63" s="29" t="str">
        <f t="shared" si="50"/>
        <v>Quarterly</v>
      </c>
      <c r="AD63" s="30">
        <f t="shared" si="51"/>
        <v>44560</v>
      </c>
      <c r="AE63" s="29">
        <f t="shared" si="52"/>
        <v>1</v>
      </c>
    </row>
    <row r="64" spans="1:34" x14ac:dyDescent="0.25">
      <c r="A64" s="64">
        <f>VLOOKUP(FlotBondObj!C14,ScheduleObj!Q:AB,12,FALSE)</f>
        <v>101.11900329589839</v>
      </c>
      <c r="B64" s="98" t="e">
        <f>_xll.qlBondCleanPrice(G64,_xll.ohTrigger($A$1))</f>
        <v>#NUM!</v>
      </c>
      <c r="C64" s="100" t="b">
        <f>_xll.qlInstrumentSetPricingEngine(G64,F64,_xll.ohTrigger($A$1))</f>
        <v>1</v>
      </c>
      <c r="D64" s="32" t="s">
        <v>121</v>
      </c>
      <c r="E64" s="32" t="str">
        <f>VLOOKUP(MID(D64,1,FIND("(",D64)-1),'ql-USCorp'!$A$81:$B$110,2,FALSE)</f>
        <v>AA</v>
      </c>
      <c r="F64" s="31" t="str">
        <f>VLOOKUP(E64,'ql-AUCorp'!$A$83:$C$86,2,FALSE)</f>
        <v>AUDAAEng#0008</v>
      </c>
      <c r="G64" s="31" t="str">
        <f>FlotBondObj!A14</f>
        <v>obj_0020f#0012</v>
      </c>
      <c r="H64" s="65">
        <f>FlotBondObj!G14</f>
        <v>4000000</v>
      </c>
      <c r="J64" s="29" t="s">
        <v>363</v>
      </c>
      <c r="K64" s="53">
        <f>_xll.qlBondBpsFromYield(G64,M64,P64,Q64,R64,AD64,AE64)*H64/100</f>
        <v>1457.0249651769993</v>
      </c>
      <c r="L64" s="52">
        <f>_xll.qlBondDurationFromYield(G64,M64,P64,Q64,R64,"Modified",AD64,AE64)</f>
        <v>3.4647591102028632</v>
      </c>
      <c r="M64" s="51">
        <f>_xll.qlBondYieldFromCleanPrice(G64,A64,P64,Q64,R64,S64,T64,U64,V64,W64)</f>
        <v>1.7640398652479058E-2</v>
      </c>
      <c r="N64" s="101">
        <f>_xll.qlBondZSpreadFromCleanPrice(G64,A64,O64,P64,Q64,R64,S64,T64,U64,V64,W64)/0.01%</f>
        <v>-11.848662314983438</v>
      </c>
      <c r="O64" s="31" t="str">
        <f>VLOOKUP(E64,'ql-AUCorp'!$A$83:$C$86,3,FALSE)</f>
        <v>AUDAADF#0008</v>
      </c>
      <c r="P64" s="29" t="str">
        <f t="shared" si="53"/>
        <v>30/360</v>
      </c>
      <c r="Q64" s="29" t="str">
        <f t="shared" si="54"/>
        <v>Compounded</v>
      </c>
      <c r="R64" s="29" t="str">
        <f t="shared" si="55"/>
        <v>Quarterly</v>
      </c>
      <c r="S64" s="30">
        <f t="shared" si="56"/>
        <v>44560</v>
      </c>
      <c r="U64" s="29">
        <f t="shared" si="58"/>
        <v>100</v>
      </c>
      <c r="V64" s="29">
        <f t="shared" ref="V64" si="73">V62</f>
        <v>0.05</v>
      </c>
      <c r="W64" s="29">
        <f t="shared" si="1"/>
        <v>1</v>
      </c>
      <c r="X64" s="48">
        <f>_xll.qlBondCleanPriceFromZSpread(G64,Y64,Z64,AA64,AB64,AC64,AD64,AE64)</f>
        <v>101.11900329589811</v>
      </c>
      <c r="Y64" s="31" t="str">
        <f t="shared" si="47"/>
        <v>AUDAADF#0008</v>
      </c>
      <c r="Z64" s="29">
        <f t="shared" si="48"/>
        <v>-1.1848662314983438E-3</v>
      </c>
      <c r="AA64" s="29" t="str">
        <f t="shared" si="49"/>
        <v>30/360</v>
      </c>
      <c r="AB64" s="29" t="s">
        <v>49</v>
      </c>
      <c r="AC64" s="29" t="str">
        <f t="shared" si="50"/>
        <v>Quarterly</v>
      </c>
      <c r="AD64" s="30">
        <f t="shared" si="51"/>
        <v>44560</v>
      </c>
      <c r="AE64" s="29">
        <f t="shared" si="52"/>
        <v>1</v>
      </c>
    </row>
    <row r="65" spans="1:31" x14ac:dyDescent="0.25">
      <c r="A65" s="64">
        <f>VLOOKUP(FlotBondObj!C15,ScheduleObj!Q:AB,12,FALSE)</f>
        <v>100.963996887207</v>
      </c>
      <c r="B65" s="98" t="e">
        <f>_xll.qlBondCleanPrice(G65,_xll.ohTrigger($A$1))</f>
        <v>#NUM!</v>
      </c>
      <c r="C65" s="100" t="b">
        <f>_xll.qlInstrumentSetPricingEngine(G65,F65,_xll.ohTrigger($A$1))</f>
        <v>1</v>
      </c>
      <c r="D65" s="32" t="s">
        <v>386</v>
      </c>
      <c r="E65" s="32" t="str">
        <f>VLOOKUP(MID(D65,1,FIND("(",D65)-1),'ql-USCorp'!$A$81:$B$110,2,FALSE)</f>
        <v>BBB</v>
      </c>
      <c r="F65" s="31" t="str">
        <f>VLOOKUP(E65,'ql-AUCorp'!$A$83:$C$86,2,FALSE)</f>
        <v>AUDBBBEng#0008</v>
      </c>
      <c r="G65" s="31" t="str">
        <f>FlotBondObj!A15</f>
        <v>obj_0020c#0012</v>
      </c>
      <c r="H65" s="65">
        <f>FlotBondObj!G15</f>
        <v>3000000</v>
      </c>
      <c r="J65" s="29" t="s">
        <v>363</v>
      </c>
      <c r="K65" s="53">
        <f>_xll.qlBondBpsFromYield(G65,M65,P65,Q65,R65,AD65,AE65)*H65/100</f>
        <v>1083.2568131077319</v>
      </c>
      <c r="L65" s="52">
        <f>_xll.qlBondDurationFromYield(G65,M65,P65,Q65,R65,"Modified",AD65,AE65)</f>
        <v>3.5219023288864588</v>
      </c>
      <c r="M65" s="51">
        <f>_xll.qlBondYieldFromCleanPrice(G65,A65,P65,Q65,R65,S65,T65,U65,V65,W65)</f>
        <v>1.9167832078412182E-2</v>
      </c>
      <c r="N65" s="101">
        <f>_xll.qlBondZSpreadFromCleanPrice(G65,A65,O65,P65,Q65,R65,S65,T65,U65,V65,W65)/0.01%</f>
        <v>-39.422867107679302</v>
      </c>
      <c r="O65" s="31" t="str">
        <f>VLOOKUP(E65,'ql-AUCorp'!$A$83:$C$86,3,FALSE)</f>
        <v>AUDBBBDF#0008</v>
      </c>
      <c r="P65" s="29" t="str">
        <f t="shared" si="53"/>
        <v>30/360</v>
      </c>
      <c r="Q65" s="29" t="str">
        <f t="shared" si="54"/>
        <v>Compounded</v>
      </c>
      <c r="R65" s="29" t="str">
        <f t="shared" si="55"/>
        <v>Quarterly</v>
      </c>
      <c r="S65" s="30">
        <f t="shared" si="56"/>
        <v>44560</v>
      </c>
      <c r="U65" s="29">
        <f t="shared" si="58"/>
        <v>100</v>
      </c>
      <c r="V65" s="29">
        <f t="shared" ref="V65" si="74">V64</f>
        <v>0.05</v>
      </c>
      <c r="W65" s="29">
        <f t="shared" ref="W65" si="75">W64</f>
        <v>1</v>
      </c>
      <c r="X65" s="48">
        <f>_xll.qlBondCleanPriceFromZSpread(G65,Y65,Z65,AA65,AB65,AC65,AD65,AE65)</f>
        <v>100.9639968872028</v>
      </c>
      <c r="Y65" s="31" t="str">
        <f t="shared" si="47"/>
        <v>AUDBBBDF#0008</v>
      </c>
      <c r="Z65" s="29">
        <f t="shared" si="48"/>
        <v>-3.9422867107679303E-3</v>
      </c>
      <c r="AA65" s="29" t="str">
        <f t="shared" si="49"/>
        <v>30/360</v>
      </c>
      <c r="AB65" s="29" t="s">
        <v>49</v>
      </c>
      <c r="AC65" s="29" t="str">
        <f t="shared" si="50"/>
        <v>Quarterly</v>
      </c>
      <c r="AD65" s="30">
        <f t="shared" si="51"/>
        <v>44560</v>
      </c>
      <c r="AE65" s="29">
        <f t="shared" si="52"/>
        <v>1</v>
      </c>
    </row>
    <row r="66" spans="1:31" x14ac:dyDescent="0.25">
      <c r="A66" s="64">
        <f>VLOOKUP(FlotBondObj!C16,ScheduleObj!Q:AB,12,FALSE)</f>
        <v>100.54100036621089</v>
      </c>
      <c r="B66" s="98" t="e">
        <f>_xll.qlBondCleanPrice(G66,_xll.ohTrigger($A$1))</f>
        <v>#NUM!</v>
      </c>
      <c r="C66" s="100" t="b">
        <f>_xll.qlInstrumentSetPricingEngine(G66,F66,_xll.ohTrigger($A$1))</f>
        <v>1</v>
      </c>
      <c r="D66" s="32" t="s">
        <v>387</v>
      </c>
      <c r="E66" s="32" t="str">
        <f>VLOOKUP(MID(D66,1,FIND("(",D66)-1),'ql-USCorp'!$A$81:$B$110,2,FALSE)</f>
        <v>A</v>
      </c>
      <c r="F66" s="31" t="str">
        <f>VLOOKUP(E66,'ql-AUCorp'!$A$83:$C$86,2,FALSE)</f>
        <v>AUDAEng#0008</v>
      </c>
      <c r="G66" s="31" t="str">
        <f>FlotBondObj!A16</f>
        <v>obj_0020d#0012</v>
      </c>
      <c r="H66" s="65">
        <f>FlotBondObj!G16</f>
        <v>4500000</v>
      </c>
      <c r="J66" s="29" t="s">
        <v>363</v>
      </c>
      <c r="K66" s="53">
        <f>_xll.qlBondBpsFromYield(G66,M66,P66,Q66,R66,AD66,AE66)*H66/100</f>
        <v>886.85494912631975</v>
      </c>
      <c r="L66" s="52">
        <f>_xll.qlBondDurationFromYield(G66,M66,P66,Q66,R66,"Modified",AD66,AE66)</f>
        <v>1.7874155369228475</v>
      </c>
      <c r="M66" s="51">
        <f>_xll.qlBondYieldFromCleanPrice(G66,A66,P66,Q66,R66,S66,T66,U66,V66,W66)</f>
        <v>1.2723383896313611E-2</v>
      </c>
      <c r="N66" s="101">
        <f>_xll.qlBondZSpreadFromCleanPrice(G66,A66,O66,P66,Q66,R66,S66,T66,U66,V66,W66)/0.01%</f>
        <v>6.6382352701306742</v>
      </c>
      <c r="O66" s="31" t="str">
        <f>VLOOKUP(E66,'ql-AUCorp'!$A$83:$C$86,3,FALSE)</f>
        <v>AUDADF#0008</v>
      </c>
      <c r="P66" s="29" t="str">
        <f t="shared" si="53"/>
        <v>30/360</v>
      </c>
      <c r="Q66" s="29" t="str">
        <f t="shared" si="54"/>
        <v>Compounded</v>
      </c>
      <c r="R66" s="29" t="str">
        <f t="shared" si="55"/>
        <v>Quarterly</v>
      </c>
      <c r="S66" s="30">
        <f t="shared" si="56"/>
        <v>44560</v>
      </c>
      <c r="U66" s="29">
        <f t="shared" si="58"/>
        <v>100</v>
      </c>
      <c r="V66" s="29">
        <f t="shared" ref="V66" si="76">V64</f>
        <v>0.05</v>
      </c>
      <c r="W66" s="29">
        <f t="shared" si="1"/>
        <v>1</v>
      </c>
      <c r="X66" s="48">
        <f>_xll.qlBondCleanPriceFromZSpread(G66,Y66,Z66,AA66,AB66,AC66,AD66,AE66)</f>
        <v>100.54100036941455</v>
      </c>
      <c r="Y66" s="31" t="str">
        <f t="shared" si="47"/>
        <v>AUDADF#0008</v>
      </c>
      <c r="Z66" s="29">
        <f t="shared" si="48"/>
        <v>6.6382352701306743E-4</v>
      </c>
      <c r="AA66" s="29" t="str">
        <f t="shared" si="49"/>
        <v>30/360</v>
      </c>
      <c r="AB66" s="29" t="s">
        <v>49</v>
      </c>
      <c r="AC66" s="29" t="str">
        <f t="shared" si="50"/>
        <v>Quarterly</v>
      </c>
      <c r="AD66" s="30">
        <f t="shared" si="51"/>
        <v>44560</v>
      </c>
      <c r="AE66" s="29">
        <f t="shared" si="52"/>
        <v>1</v>
      </c>
    </row>
    <row r="67" spans="1:31" x14ac:dyDescent="0.25">
      <c r="A67" s="64">
        <f>VLOOKUP(FlotBondObj!C17,ScheduleObj!Q:AB,12,FALSE)</f>
        <v>100.072998046875</v>
      </c>
      <c r="B67" s="98" t="e">
        <f>_xll.qlBondCleanPrice(G67,_xll.ohTrigger($A$1))</f>
        <v>#NUM!</v>
      </c>
      <c r="C67" s="100" t="b">
        <f>_xll.qlInstrumentSetPricingEngine(G67,F67,_xll.ohTrigger($A$1))</f>
        <v>1</v>
      </c>
      <c r="D67" s="32" t="s">
        <v>389</v>
      </c>
      <c r="E67" s="32" t="str">
        <f>VLOOKUP(MID(D67,1,FIND("(",D67)-1),'ql-USCorp'!$A$81:$B$110,2,FALSE)</f>
        <v>A</v>
      </c>
      <c r="F67" s="31" t="str">
        <f>VLOOKUP(E67,'ql-AUCorp'!$A$83:$C$86,2,FALSE)</f>
        <v>AUDAEng#0008</v>
      </c>
      <c r="G67" s="31" t="str">
        <f>FlotBondObj!A17</f>
        <v>obj_00210#0012</v>
      </c>
      <c r="H67" s="65">
        <f>FlotBondObj!G17</f>
        <v>3000000</v>
      </c>
      <c r="J67" s="29" t="s">
        <v>363</v>
      </c>
      <c r="K67" s="53">
        <f>_xll.qlBondBpsFromYield(G67,M67,P67,Q67,R67,AD67,AE67)*H67/100</f>
        <v>661.20986656891046</v>
      </c>
      <c r="L67" s="52">
        <f>_xll.qlBondDurationFromYield(G67,M67,P67,Q67,R67,"Modified",AD67,AE67)</f>
        <v>2.1616807897047865</v>
      </c>
      <c r="M67" s="51">
        <f>_xll.qlBondYieldFromCleanPrice(G67,A67,P67,Q67,R67,S67,T67,U67,V67,W67)</f>
        <v>1.5213124157078567E-2</v>
      </c>
      <c r="N67" s="101">
        <f>_xll.qlBondZSpreadFromCleanPrice(G67,A67,O67,P67,Q67,R67,S67,T67,U67,V67,W67)/0.01%</f>
        <v>11.118390228654679</v>
      </c>
      <c r="O67" s="31" t="str">
        <f>VLOOKUP(E67,'ql-AUCorp'!$A$83:$C$86,3,FALSE)</f>
        <v>AUDADF#0008</v>
      </c>
      <c r="P67" s="29" t="str">
        <f t="shared" si="53"/>
        <v>30/360</v>
      </c>
      <c r="Q67" s="29" t="str">
        <f t="shared" si="54"/>
        <v>Compounded</v>
      </c>
      <c r="R67" s="29" t="str">
        <f t="shared" si="55"/>
        <v>Quarterly</v>
      </c>
      <c r="S67" s="30">
        <f t="shared" si="56"/>
        <v>44560</v>
      </c>
      <c r="U67" s="29">
        <f t="shared" si="58"/>
        <v>100</v>
      </c>
      <c r="V67" s="29">
        <f t="shared" ref="V67" si="77">V66</f>
        <v>0.05</v>
      </c>
      <c r="W67" s="29">
        <f t="shared" ref="W67" si="78">W66</f>
        <v>1</v>
      </c>
      <c r="X67" s="48">
        <f>_xll.qlBondCleanPriceFromZSpread(G67,Y67,Z67,AA67,AB67,AC67,AD67,AE67)</f>
        <v>100.072998046875</v>
      </c>
      <c r="Y67" s="31" t="str">
        <f t="shared" si="47"/>
        <v>AUDADF#0008</v>
      </c>
      <c r="Z67" s="29">
        <f t="shared" si="48"/>
        <v>1.1118390228654679E-3</v>
      </c>
      <c r="AA67" s="29" t="str">
        <f t="shared" si="49"/>
        <v>30/360</v>
      </c>
      <c r="AB67" s="29" t="s">
        <v>49</v>
      </c>
      <c r="AC67" s="29" t="str">
        <f t="shared" si="50"/>
        <v>Quarterly</v>
      </c>
      <c r="AD67" s="30">
        <f t="shared" si="51"/>
        <v>44560</v>
      </c>
      <c r="AE67" s="29">
        <f t="shared" si="52"/>
        <v>1</v>
      </c>
    </row>
    <row r="68" spans="1:31" x14ac:dyDescent="0.25">
      <c r="A68" s="64">
        <f>VLOOKUP(FlotBondObj!C18,ScheduleObj!Q:AB,12,FALSE)</f>
        <v>101.9111404418945</v>
      </c>
      <c r="B68" s="98" t="e">
        <f>_xll.qlBondCleanPrice(G68,_xll.ohTrigger($A$1))</f>
        <v>#NUM!</v>
      </c>
      <c r="C68" s="100" t="b">
        <f>_xll.qlInstrumentSetPricingEngine(G68,F68,_xll.ohTrigger($A$1))</f>
        <v>1</v>
      </c>
      <c r="D68" s="32" t="s">
        <v>399</v>
      </c>
      <c r="E68" s="32" t="str">
        <f>VLOOKUP(MID(D68,1,FIND("(",D68)-1),'ql-USCorp'!$A$81:$B$110,2,FALSE)</f>
        <v>BBB</v>
      </c>
      <c r="F68" s="29" t="str">
        <f>VLOOKUP(E68,'ql-USCorp'!$A$72:$B$75,2,FALSE)</f>
        <v>USBBBEng#0008</v>
      </c>
      <c r="G68" s="31" t="str">
        <f>FlotBondObj!A18</f>
        <v>obj_001c4#0012</v>
      </c>
      <c r="H68" s="65">
        <f>FlotBondObj!G18</f>
        <v>5000000</v>
      </c>
      <c r="J68" s="29" t="s">
        <v>225</v>
      </c>
      <c r="K68" s="53">
        <f>_xll.qlBondBpsFromYield(G68,M68,P68,Q68,R68,AD68,AE68)*H68/100</f>
        <v>1225.4609289773803</v>
      </c>
      <c r="L68" s="52">
        <f>_xll.qlBondDurationFromYield(G68,M68,P68,Q68,R68,"Modified",AD68,AE68)</f>
        <v>2.3899594309265133</v>
      </c>
      <c r="M68" s="51">
        <f>_xll.qlBondYieldFromCleanPrice(G68,A68,P68,Q68,R68,S68,T68,U68,V68,W68)</f>
        <v>1.4174862032346431E-2</v>
      </c>
      <c r="N68" s="101">
        <f>_xll.qlBondZSpreadFromCleanPrice(G68,A68,O68,P68,Q68,R68,S68,T68,U68,V68,W68)/0.01%</f>
        <v>-71.314595315510687</v>
      </c>
      <c r="O68" s="31" t="str">
        <f>VLOOKUP(E68,'ql-USCorp'!$A$72:$C$75,3,FALSE)</f>
        <v>USBBBDF#0008</v>
      </c>
      <c r="P68" s="29" t="str">
        <f t="shared" si="53"/>
        <v>30/360</v>
      </c>
      <c r="Q68" s="29" t="str">
        <f t="shared" si="54"/>
        <v>Compounded</v>
      </c>
      <c r="R68" s="29" t="str">
        <f t="shared" si="55"/>
        <v>Quarterly</v>
      </c>
      <c r="S68" s="30">
        <f t="shared" si="56"/>
        <v>44560</v>
      </c>
      <c r="U68" s="29">
        <f t="shared" si="58"/>
        <v>100</v>
      </c>
      <c r="V68" s="29">
        <f t="shared" ref="V68" si="79">V66</f>
        <v>0.05</v>
      </c>
      <c r="W68" s="29">
        <f t="shared" ref="W68:W110" si="80">$A$1</f>
        <v>1</v>
      </c>
      <c r="X68" s="48">
        <f>_xll.qlBondCleanPriceFromZSpread(G68,Y68,Z68,AA68,AB68,AC68,AD68,AE68)</f>
        <v>101.91114043881829</v>
      </c>
      <c r="Y68" s="31" t="str">
        <f t="shared" si="47"/>
        <v>USBBBDF#0008</v>
      </c>
      <c r="Z68" s="29">
        <f t="shared" si="48"/>
        <v>-7.1314595315510694E-3</v>
      </c>
      <c r="AA68" s="29" t="str">
        <f t="shared" si="49"/>
        <v>30/360</v>
      </c>
      <c r="AB68" s="29" t="s">
        <v>49</v>
      </c>
      <c r="AC68" s="29" t="str">
        <f t="shared" si="50"/>
        <v>Quarterly</v>
      </c>
      <c r="AD68" s="30">
        <f t="shared" si="51"/>
        <v>44560</v>
      </c>
      <c r="AE68" s="29">
        <f t="shared" si="52"/>
        <v>1</v>
      </c>
    </row>
    <row r="69" spans="1:31" x14ac:dyDescent="0.25">
      <c r="A69" s="64">
        <f>VLOOKUP(FlotBondObj!C19,ScheduleObj!Q:AB,12,FALSE)</f>
        <v>101.3308792114258</v>
      </c>
      <c r="B69" s="98" t="e">
        <f>_xll.qlBondCleanPrice(G69,_xll.ohTrigger($A$1))</f>
        <v>#NUM!</v>
      </c>
      <c r="C69" s="100" t="b">
        <f>_xll.qlInstrumentSetPricingEngine(G69,F69,_xll.ohTrigger($A$1))</f>
        <v>1</v>
      </c>
      <c r="D69" s="32" t="s">
        <v>387</v>
      </c>
      <c r="E69" s="32" t="str">
        <f>VLOOKUP(MID(D69,1,FIND("(",D69)-1),'ql-USCorp'!$A$81:$B$110,2,FALSE)</f>
        <v>A</v>
      </c>
      <c r="F69" s="29" t="str">
        <f>VLOOKUP(E69,'ql-USCorp'!$A$72:$B$75,2,FALSE)</f>
        <v>USAEng#0008</v>
      </c>
      <c r="G69" s="31" t="str">
        <f>FlotBondObj!A19</f>
        <v>obj_001c5#0012</v>
      </c>
      <c r="H69" s="65">
        <f>FlotBondObj!G19</f>
        <v>3375000</v>
      </c>
      <c r="J69" s="29" t="s">
        <v>225</v>
      </c>
      <c r="K69" s="53">
        <f>_xll.qlBondBpsFromYield(G69,M69,P69,Q69,R69,AD69,AE69)*H69/100</f>
        <v>503.08082010939904</v>
      </c>
      <c r="L69" s="52">
        <f>_xll.qlBondDurationFromYield(G69,M69,P69,Q69,R69,"Modified",AD69,AE69)</f>
        <v>1.4396679360385296</v>
      </c>
      <c r="M69" s="51">
        <f>_xll.qlBondYieldFromCleanPrice(G69,A69,P69,Q69,R69,S69,T69,U69,V69,W69)</f>
        <v>7.5743916922435192E-3</v>
      </c>
      <c r="N69" s="101">
        <f>_xll.qlBondZSpreadFromCleanPrice(G69,A69,O69,P69,Q69,R69,S69,T69,U69,V69,W69)/0.01%</f>
        <v>-36.034343388522096</v>
      </c>
      <c r="O69" s="31" t="str">
        <f>VLOOKUP(E69,'ql-USCorp'!$A$72:$C$75,3,FALSE)</f>
        <v>USADF#0008</v>
      </c>
      <c r="P69" s="29" t="str">
        <f t="shared" si="53"/>
        <v>30/360</v>
      </c>
      <c r="Q69" s="29" t="str">
        <f t="shared" si="54"/>
        <v>Compounded</v>
      </c>
      <c r="R69" s="29" t="str">
        <f t="shared" si="55"/>
        <v>Quarterly</v>
      </c>
      <c r="S69" s="30">
        <f t="shared" si="56"/>
        <v>44560</v>
      </c>
      <c r="U69" s="29">
        <f t="shared" si="58"/>
        <v>100</v>
      </c>
      <c r="V69" s="29">
        <f t="shared" ref="V69" si="81">V68</f>
        <v>0.05</v>
      </c>
      <c r="W69" s="29">
        <f t="shared" ref="W69" si="82">W68</f>
        <v>1</v>
      </c>
      <c r="X69" s="48">
        <f>_xll.qlBondCleanPriceFromZSpread(G69,Y69,Z69,AA69,AB69,AC69,AD69,AE69)</f>
        <v>101.33087921269991</v>
      </c>
      <c r="Y69" s="31" t="str">
        <f t="shared" si="47"/>
        <v>USADF#0008</v>
      </c>
      <c r="Z69" s="29">
        <f t="shared" si="48"/>
        <v>-3.6034343388522097E-3</v>
      </c>
      <c r="AA69" s="29" t="str">
        <f t="shared" si="49"/>
        <v>30/360</v>
      </c>
      <c r="AB69" s="29" t="s">
        <v>49</v>
      </c>
      <c r="AC69" s="29" t="str">
        <f t="shared" si="50"/>
        <v>Quarterly</v>
      </c>
      <c r="AD69" s="30">
        <f t="shared" si="51"/>
        <v>44560</v>
      </c>
      <c r="AE69" s="29">
        <f t="shared" si="52"/>
        <v>1</v>
      </c>
    </row>
    <row r="70" spans="1:31" x14ac:dyDescent="0.25">
      <c r="A70" s="64">
        <f>VLOOKUP(FlotBondObj!C20,ScheduleObj!Q:AB,12,FALSE)</f>
        <v>100.41400146484381</v>
      </c>
      <c r="B70" s="98">
        <f>_xll.qlBondCleanPrice(G70,_xll.ohTrigger($A$1))</f>
        <v>100.40016312641569</v>
      </c>
      <c r="C70" s="100" t="b">
        <f>_xll.qlInstrumentSetPricingEngine(G70,F70,_xll.ohTrigger($A$1))</f>
        <v>1</v>
      </c>
      <c r="D70" s="32" t="s">
        <v>121</v>
      </c>
      <c r="E70" s="32" t="str">
        <f>VLOOKUP(MID(D70,1,FIND("(",D70)-1),'ql-USCorp'!$A$81:$B$110,2,FALSE)</f>
        <v>AA</v>
      </c>
      <c r="F70" s="29" t="str">
        <f>VLOOKUP(E70,'ql-USCorp'!$A$72:$B$75,2,FALSE)</f>
        <v>USAAEng#0008</v>
      </c>
      <c r="G70" s="31" t="str">
        <f>FlotBondObj!A20</f>
        <v>obj_001c6#0012</v>
      </c>
      <c r="H70" s="65">
        <f>FlotBondObj!G20</f>
        <v>2300000</v>
      </c>
      <c r="J70" s="29" t="s">
        <v>225</v>
      </c>
      <c r="K70" s="53">
        <f>_xll.qlBondBpsFromYield(G70,M70,P70,Q70,R70,AD70,AE70)*H70/100</f>
        <v>229.36315997739217</v>
      </c>
      <c r="L70" s="52">
        <f>_xll.qlBondDurationFromYield(G70,M70,P70,Q70,R70,"Modified",AD70,AE70)</f>
        <v>0.8539143133397199</v>
      </c>
      <c r="M70" s="51">
        <f>_xll.qlBondYieldFromCleanPrice(G70,A70,P70,Q70,R70,S70,T70,U70,V70,W70)</f>
        <v>5.7434230970218811E-3</v>
      </c>
      <c r="N70" s="101">
        <f>_xll.qlBondZSpreadFromCleanPrice(G70,A70,O70,P70,Q70,R70,S70,T70,U70,V70,W70)/0.01%</f>
        <v>-1.5866925219628443</v>
      </c>
      <c r="O70" s="31" t="str">
        <f>VLOOKUP(E70,'ql-USCorp'!$A$72:$C$75,3,FALSE)</f>
        <v>USAADF#0008</v>
      </c>
      <c r="P70" s="29" t="str">
        <f t="shared" si="53"/>
        <v>30/360</v>
      </c>
      <c r="Q70" s="29" t="str">
        <f t="shared" si="54"/>
        <v>Compounded</v>
      </c>
      <c r="R70" s="29" t="str">
        <f t="shared" si="55"/>
        <v>Quarterly</v>
      </c>
      <c r="S70" s="30">
        <f t="shared" si="56"/>
        <v>44560</v>
      </c>
      <c r="U70" s="29">
        <f t="shared" si="58"/>
        <v>100</v>
      </c>
      <c r="V70" s="29">
        <f t="shared" ref="V70" si="83">V68</f>
        <v>0.05</v>
      </c>
      <c r="W70" s="29">
        <f t="shared" si="80"/>
        <v>1</v>
      </c>
      <c r="X70" s="48">
        <f>_xll.qlBondCleanPriceFromZSpread(G70,Y70,Z70,AA70,AB70,AC70,AD70,AE70)</f>
        <v>100.41400146471204</v>
      </c>
      <c r="Y70" s="31" t="str">
        <f t="shared" si="47"/>
        <v>USAADF#0008</v>
      </c>
      <c r="Z70" s="29">
        <f t="shared" si="48"/>
        <v>-1.5866925219628443E-4</v>
      </c>
      <c r="AA70" s="29" t="str">
        <f t="shared" si="49"/>
        <v>30/360</v>
      </c>
      <c r="AB70" s="29" t="s">
        <v>49</v>
      </c>
      <c r="AC70" s="29" t="str">
        <f t="shared" si="50"/>
        <v>Quarterly</v>
      </c>
      <c r="AD70" s="30">
        <f t="shared" si="51"/>
        <v>44560</v>
      </c>
      <c r="AE70" s="29">
        <f t="shared" si="52"/>
        <v>1</v>
      </c>
    </row>
    <row r="71" spans="1:31" x14ac:dyDescent="0.25">
      <c r="A71" s="64">
        <f>VLOOKUP(FlotBondObj!C21,ScheduleObj!Q:AB,12,FALSE)</f>
        <v>100.1279983520508</v>
      </c>
      <c r="B71" s="98" t="e">
        <f>_xll.qlBondCleanPrice(G71,_xll.ohTrigger($A$1))</f>
        <v>#NUM!</v>
      </c>
      <c r="C71" s="100" t="b">
        <f>_xll.qlInstrumentSetPricingEngine(G71,F71,_xll.ohTrigger($A$1))</f>
        <v>1</v>
      </c>
      <c r="D71" s="32" t="s">
        <v>393</v>
      </c>
      <c r="E71" s="32" t="str">
        <f>VLOOKUP(MID(D71,1,FIND("(",D71)-1),'ql-USCorp'!$A$81:$B$110,2,FALSE)</f>
        <v>AA</v>
      </c>
      <c r="F71" s="29" t="str">
        <f>VLOOKUP(E71,'ql-USCorp'!$A$72:$B$75,2,FALSE)</f>
        <v>USAAEng#0008</v>
      </c>
      <c r="G71" s="31" t="str">
        <f>FlotBondObj!A21</f>
        <v>obj_001c7#0012</v>
      </c>
      <c r="H71" s="65">
        <f>FlotBondObj!G21</f>
        <v>5000000</v>
      </c>
      <c r="J71" s="29" t="s">
        <v>225</v>
      </c>
      <c r="K71" s="53">
        <f>_xll.qlBondBpsFromYield(G71,M71,P71,Q71,R71,AD71,AE71)*H71/100</f>
        <v>124.96752620618753</v>
      </c>
      <c r="L71" s="52">
        <f>_xll.qlBondDurationFromYield(G71,M71,P71,Q71,R71,"Modified",AD71,AE71)</f>
        <v>0.18604616641972102</v>
      </c>
      <c r="M71" s="51">
        <f>_xll.qlBondYieldFromCleanPrice(G71,A71,P71,Q71,R71,S71,T71,U71,V71,W71)</f>
        <v>1.3963134557381314E-3</v>
      </c>
      <c r="N71" s="101">
        <f>_xll.qlBondZSpreadFromCleanPrice(G71,A71,O71,P71,Q71,R71,S71,T71,U71,V71,W71)/0.01%</f>
        <v>-31.636865863240818</v>
      </c>
      <c r="O71" s="31" t="str">
        <f>VLOOKUP(E71,'ql-USCorp'!$A$72:$C$75,3,FALSE)</f>
        <v>USAADF#0008</v>
      </c>
      <c r="P71" s="29" t="str">
        <f t="shared" si="53"/>
        <v>30/360</v>
      </c>
      <c r="Q71" s="29" t="str">
        <f t="shared" si="54"/>
        <v>Compounded</v>
      </c>
      <c r="R71" s="29" t="str">
        <f t="shared" si="55"/>
        <v>Quarterly</v>
      </c>
      <c r="S71" s="30">
        <f t="shared" si="56"/>
        <v>44560</v>
      </c>
      <c r="U71" s="29">
        <f t="shared" si="58"/>
        <v>100</v>
      </c>
      <c r="V71" s="29">
        <f t="shared" ref="V71" si="84">V70</f>
        <v>0.05</v>
      </c>
      <c r="W71" s="29">
        <f t="shared" ref="W71" si="85">W70</f>
        <v>1</v>
      </c>
      <c r="X71" s="48">
        <f>_xll.qlBondCleanPriceFromZSpread(G71,Y71,Z71,AA71,AB71,AC71,AD71,AE71)</f>
        <v>100.12799835205094</v>
      </c>
      <c r="Y71" s="31" t="str">
        <f t="shared" si="47"/>
        <v>USAADF#0008</v>
      </c>
      <c r="Z71" s="29">
        <f t="shared" si="48"/>
        <v>-3.1636865863240819E-3</v>
      </c>
      <c r="AA71" s="29" t="str">
        <f t="shared" si="49"/>
        <v>30/360</v>
      </c>
      <c r="AB71" s="29" t="s">
        <v>49</v>
      </c>
      <c r="AC71" s="29" t="str">
        <f t="shared" si="50"/>
        <v>Quarterly</v>
      </c>
      <c r="AD71" s="30">
        <f t="shared" si="51"/>
        <v>44560</v>
      </c>
      <c r="AE71" s="29">
        <f t="shared" si="52"/>
        <v>1</v>
      </c>
    </row>
    <row r="72" spans="1:31" x14ac:dyDescent="0.25">
      <c r="A72" s="64">
        <f>VLOOKUP(FlotBondObj!C22,ScheduleObj!Q:AB,12,FALSE)</f>
        <v>100.3369979858398</v>
      </c>
      <c r="B72" s="98">
        <f>_xll.qlBondCleanPrice(G72,_xll.ohTrigger($A$1))</f>
        <v>100.23977201731674</v>
      </c>
      <c r="C72" s="100" t="b">
        <f>_xll.qlInstrumentSetPricingEngine(G72,F72,_xll.ohTrigger($A$1))</f>
        <v>1</v>
      </c>
      <c r="D72" s="32" t="s">
        <v>393</v>
      </c>
      <c r="E72" s="32" t="str">
        <f>VLOOKUP(MID(D72,1,FIND("(",D72)-1),'ql-USCorp'!$A$81:$B$110,2,FALSE)</f>
        <v>AA</v>
      </c>
      <c r="F72" s="29" t="str">
        <f>VLOOKUP(E72,'ql-USCorp'!$A$72:$B$75,2,FALSE)</f>
        <v>USAAEng#0008</v>
      </c>
      <c r="G72" s="31" t="str">
        <f>FlotBondObj!A22</f>
        <v>obj_001c8#0012</v>
      </c>
      <c r="H72" s="65">
        <f>FlotBondObj!G22</f>
        <v>4000000</v>
      </c>
      <c r="J72" s="29" t="s">
        <v>225</v>
      </c>
      <c r="K72" s="53">
        <f>_xll.qlBondBpsFromYield(G72,M72,P72,Q72,R72,AD72,AE72)*H72/100</f>
        <v>199.7960193523906</v>
      </c>
      <c r="L72" s="52">
        <f>_xll.qlBondDurationFromYield(G72,M72,P72,Q72,R72,"Modified",AD72,AE72)</f>
        <v>0.46018241331740867</v>
      </c>
      <c r="M72" s="51">
        <f>_xll.qlBondYieldFromCleanPrice(G72,A72,P72,Q72,R72,S72,T72,U72,V72,W72)</f>
        <v>3.0373381844535506E-3</v>
      </c>
      <c r="N72" s="101">
        <f>_xll.qlBondZSpreadFromCleanPrice(G72,A72,O72,P72,Q72,R72,S72,T72,U72,V72,W72)/0.01%</f>
        <v>-20.814136200740414</v>
      </c>
      <c r="O72" s="31" t="str">
        <f>VLOOKUP(E72,'ql-USCorp'!$A$72:$C$75,3,FALSE)</f>
        <v>USAADF#0008</v>
      </c>
      <c r="P72" s="29" t="str">
        <f t="shared" si="53"/>
        <v>30/360</v>
      </c>
      <c r="Q72" s="29" t="str">
        <f t="shared" si="54"/>
        <v>Compounded</v>
      </c>
      <c r="R72" s="29" t="str">
        <f t="shared" si="55"/>
        <v>Quarterly</v>
      </c>
      <c r="S72" s="30">
        <f t="shared" si="56"/>
        <v>44560</v>
      </c>
      <c r="U72" s="29">
        <f t="shared" si="58"/>
        <v>100</v>
      </c>
      <c r="V72" s="29">
        <f t="shared" ref="V72" si="86">V70</f>
        <v>0.05</v>
      </c>
      <c r="W72" s="29">
        <f t="shared" si="80"/>
        <v>1</v>
      </c>
      <c r="X72" s="48">
        <f>_xll.qlBondCleanPriceFromZSpread(G72,Y72,Z72,AA72,AB72,AC72,AD72,AE72)</f>
        <v>100.33699798584558</v>
      </c>
      <c r="Y72" s="31" t="str">
        <f t="shared" si="47"/>
        <v>USAADF#0008</v>
      </c>
      <c r="Z72" s="29">
        <f t="shared" si="48"/>
        <v>-2.0814136200740414E-3</v>
      </c>
      <c r="AA72" s="29" t="str">
        <f t="shared" si="49"/>
        <v>30/360</v>
      </c>
      <c r="AB72" s="29" t="s">
        <v>49</v>
      </c>
      <c r="AC72" s="29" t="str">
        <f t="shared" si="50"/>
        <v>Quarterly</v>
      </c>
      <c r="AD72" s="30">
        <f t="shared" si="51"/>
        <v>44560</v>
      </c>
      <c r="AE72" s="29">
        <f t="shared" si="52"/>
        <v>1</v>
      </c>
    </row>
    <row r="73" spans="1:31" x14ac:dyDescent="0.25">
      <c r="A73" s="64">
        <f>VLOOKUP(FlotBondObj!C23,ScheduleObj!Q:AB,12,FALSE)</f>
        <v>100.3460006713867</v>
      </c>
      <c r="B73" s="98" t="e">
        <f>_xll.qlBondCleanPrice(G73,_xll.ohTrigger($A$1))</f>
        <v>#NUM!</v>
      </c>
      <c r="C73" s="100" t="b">
        <f>_xll.qlInstrumentSetPricingEngine(G73,F73,_xll.ohTrigger($A$1))</f>
        <v>1</v>
      </c>
      <c r="D73" s="32" t="s">
        <v>394</v>
      </c>
      <c r="E73" s="32" t="str">
        <f>VLOOKUP(MID(D73,1,FIND("(",D73)-1),'ql-USCorp'!$A$81:$B$110,2,FALSE)</f>
        <v>A</v>
      </c>
      <c r="F73" s="29" t="str">
        <f>VLOOKUP(E73,'ql-USCorp'!$A$72:$B$75,2,FALSE)</f>
        <v>USAEng#0008</v>
      </c>
      <c r="G73" s="31" t="str">
        <f>FlotBondObj!A23</f>
        <v>obj_001c9#0012</v>
      </c>
      <c r="H73" s="65">
        <f>FlotBondObj!G23</f>
        <v>10000000</v>
      </c>
      <c r="J73" s="29" t="s">
        <v>225</v>
      </c>
      <c r="K73" s="53">
        <f>_xll.qlBondBpsFromYield(G73,M73,P73,Q73,R73,AD73,AE73)*H73/100</f>
        <v>1239.9319737101787</v>
      </c>
      <c r="L73" s="52">
        <f>_xll.qlBondDurationFromYield(G73,M73,P73,Q73,R73,"Modified",AD73,AE73)</f>
        <v>1.0212640733582319</v>
      </c>
      <c r="M73" s="51">
        <f>_xll.qlBondYieldFromCleanPrice(G73,A73,P73,Q73,R73,S73,T73,U73,V73,W73)</f>
        <v>6.8652996578440085E-3</v>
      </c>
      <c r="N73" s="101">
        <f>_xll.qlBondZSpreadFromCleanPrice(G73,A73,O73,P73,Q73,R73,S73,T73,U73,V73,W73)/0.01%</f>
        <v>-24.782002901339755</v>
      </c>
      <c r="O73" s="31" t="str">
        <f>VLOOKUP(E73,'ql-USCorp'!$A$72:$C$75,3,FALSE)</f>
        <v>USADF#0008</v>
      </c>
      <c r="P73" s="29" t="str">
        <f t="shared" si="53"/>
        <v>30/360</v>
      </c>
      <c r="Q73" s="29" t="str">
        <f t="shared" si="54"/>
        <v>Compounded</v>
      </c>
      <c r="R73" s="29" t="str">
        <f t="shared" si="55"/>
        <v>Quarterly</v>
      </c>
      <c r="S73" s="30">
        <f t="shared" si="56"/>
        <v>44560</v>
      </c>
      <c r="U73" s="29">
        <f t="shared" si="58"/>
        <v>100</v>
      </c>
      <c r="V73" s="29">
        <f t="shared" ref="V73" si="87">V72</f>
        <v>0.05</v>
      </c>
      <c r="W73" s="29">
        <f t="shared" ref="W73" si="88">W72</f>
        <v>1</v>
      </c>
      <c r="X73" s="48">
        <f>_xll.qlBondCleanPriceFromZSpread(G73,Y73,Z73,AA73,AB73,AC73,AD73,AE73)</f>
        <v>100.346000671642</v>
      </c>
      <c r="Y73" s="31" t="str">
        <f t="shared" si="47"/>
        <v>USADF#0008</v>
      </c>
      <c r="Z73" s="29">
        <f t="shared" si="48"/>
        <v>-2.4782002901339757E-3</v>
      </c>
      <c r="AA73" s="29" t="str">
        <f t="shared" si="49"/>
        <v>30/360</v>
      </c>
      <c r="AB73" s="29" t="s">
        <v>49</v>
      </c>
      <c r="AC73" s="29" t="str">
        <f t="shared" si="50"/>
        <v>Quarterly</v>
      </c>
      <c r="AD73" s="30">
        <f t="shared" si="51"/>
        <v>44560</v>
      </c>
      <c r="AE73" s="29">
        <f t="shared" si="52"/>
        <v>1</v>
      </c>
    </row>
    <row r="74" spans="1:31" x14ac:dyDescent="0.25">
      <c r="A74" s="64">
        <f>VLOOKUP(FlotBondObj!C24,ScheduleObj!Q:AB,12,FALSE)</f>
        <v>100.5120010375977</v>
      </c>
      <c r="B74" s="98" t="e">
        <f>_xll.qlBondCleanPrice(G74,_xll.ohTrigger($A$1))</f>
        <v>#NUM!</v>
      </c>
      <c r="C74" s="100" t="b">
        <f>_xll.qlInstrumentSetPricingEngine(G74,F74,_xll.ohTrigger($A$1))</f>
        <v>1</v>
      </c>
      <c r="D74" s="32" t="s">
        <v>121</v>
      </c>
      <c r="E74" s="32" t="str">
        <f>VLOOKUP(MID(D74,1,FIND("(",D74)-1),'ql-USCorp'!$A$81:$B$110,2,FALSE)</f>
        <v>AA</v>
      </c>
      <c r="F74" s="29" t="str">
        <f>VLOOKUP(E74,'ql-USCorp'!$A$72:$B$75,2,FALSE)</f>
        <v>USAAEng#0008</v>
      </c>
      <c r="G74" s="31" t="str">
        <f>FlotBondObj!A24</f>
        <v>obj_001ca#0012</v>
      </c>
      <c r="H74" s="65">
        <f>FlotBondObj!G24</f>
        <v>5000000</v>
      </c>
      <c r="J74" s="29" t="s">
        <v>225</v>
      </c>
      <c r="K74" s="53">
        <f>_xll.qlBondBpsFromYield(G74,M74,P74,Q74,R74,AD74,AE74)*H74/100</f>
        <v>621.57183636384968</v>
      </c>
      <c r="L74" s="52">
        <f>_xll.qlBondDurationFromYield(G74,M74,P74,Q74,R74,"Modified",AD74,AE74)</f>
        <v>1.0236446093420006</v>
      </c>
      <c r="M74" s="51">
        <f>_xll.qlBondYieldFromCleanPrice(G74,A74,P74,Q74,R74,S74,T74,U74,V74,W74)</f>
        <v>6.1699323127791302E-3</v>
      </c>
      <c r="N74" s="101">
        <f>_xll.qlBondZSpreadFromCleanPrice(G74,A74,O74,P74,Q74,R74,S74,T74,U74,V74,W74)/0.01%</f>
        <v>-0.94795744342013144</v>
      </c>
      <c r="O74" s="31" t="str">
        <f>VLOOKUP(E74,'ql-USCorp'!$A$72:$C$75,3,FALSE)</f>
        <v>USAADF#0008</v>
      </c>
      <c r="P74" s="29" t="str">
        <f t="shared" si="53"/>
        <v>30/360</v>
      </c>
      <c r="Q74" s="29" t="str">
        <f t="shared" si="54"/>
        <v>Compounded</v>
      </c>
      <c r="R74" s="29" t="str">
        <f t="shared" si="55"/>
        <v>Quarterly</v>
      </c>
      <c r="S74" s="30">
        <f t="shared" si="56"/>
        <v>44560</v>
      </c>
      <c r="U74" s="29">
        <f t="shared" si="58"/>
        <v>100</v>
      </c>
      <c r="V74" s="29">
        <f t="shared" ref="V74" si="89">V72</f>
        <v>0.05</v>
      </c>
      <c r="W74" s="29">
        <f t="shared" si="80"/>
        <v>1</v>
      </c>
      <c r="X74" s="48">
        <f>_xll.qlBondCleanPriceFromZSpread(G74,Y74,Z74,AA74,AB74,AC74,AD74,AE74)</f>
        <v>100.51200103726676</v>
      </c>
      <c r="Y74" s="31" t="str">
        <f t="shared" si="47"/>
        <v>USAADF#0008</v>
      </c>
      <c r="Z74" s="29">
        <f t="shared" si="48"/>
        <v>-9.4795744342013145E-5</v>
      </c>
      <c r="AA74" s="29" t="str">
        <f t="shared" si="49"/>
        <v>30/360</v>
      </c>
      <c r="AB74" s="29" t="s">
        <v>49</v>
      </c>
      <c r="AC74" s="29" t="str">
        <f t="shared" si="50"/>
        <v>Quarterly</v>
      </c>
      <c r="AD74" s="30">
        <f t="shared" si="51"/>
        <v>44560</v>
      </c>
      <c r="AE74" s="29">
        <f t="shared" si="52"/>
        <v>1</v>
      </c>
    </row>
    <row r="75" spans="1:31" x14ac:dyDescent="0.25">
      <c r="A75" s="64">
        <f>VLOOKUP(FlotBondObj!C25,ScheduleObj!Q:AB,12,FALSE)</f>
        <v>100.34799957275391</v>
      </c>
      <c r="B75" s="98">
        <f>_xll.qlBondCleanPrice(G75,_xll.ohTrigger($A$1))</f>
        <v>100.29774605551182</v>
      </c>
      <c r="C75" s="100" t="b">
        <f>_xll.qlInstrumentSetPricingEngine(G75,F75,_xll.ohTrigger($A$1))</f>
        <v>1</v>
      </c>
      <c r="D75" s="32" t="s">
        <v>121</v>
      </c>
      <c r="E75" s="32" t="str">
        <f>VLOOKUP(MID(D75,1,FIND("(",D75)-1),'ql-USCorp'!$A$81:$B$110,2,FALSE)</f>
        <v>AA</v>
      </c>
      <c r="F75" s="29" t="str">
        <f>VLOOKUP(E75,'ql-USCorp'!$A$72:$B$75,2,FALSE)</f>
        <v>USAAEng#0008</v>
      </c>
      <c r="G75" s="31" t="str">
        <f>FlotBondObj!A25</f>
        <v>obj_001cb#0012</v>
      </c>
      <c r="H75" s="65">
        <f>FlotBondObj!G25</f>
        <v>2000000</v>
      </c>
      <c r="J75" s="29" t="s">
        <v>225</v>
      </c>
      <c r="K75" s="53">
        <f>_xll.qlBondBpsFromYield(G75,M75,P75,Q75,R75,AD75,AE75)*H75/100</f>
        <v>199.37060205838384</v>
      </c>
      <c r="L75" s="52">
        <f>_xll.qlBondDurationFromYield(G75,M75,P75,Q75,R75,"Modified",AD75,AE75)</f>
        <v>0.94872385280871963</v>
      </c>
      <c r="M75" s="51">
        <f>_xll.qlBondYieldFromCleanPrice(G75,A75,P75,Q75,R75,S75,T75,U75,V75,W75)</f>
        <v>5.4609617358073615E-3</v>
      </c>
      <c r="N75" s="101">
        <f>_xll.qlBondZSpreadFromCleanPrice(G75,A75,O75,P75,Q75,R75,S75,T75,U75,V75,W75)/0.01%</f>
        <v>-5.2028225015852989</v>
      </c>
      <c r="O75" s="31" t="str">
        <f>VLOOKUP(E75,'ql-USCorp'!$A$72:$C$75,3,FALSE)</f>
        <v>USAADF#0008</v>
      </c>
      <c r="P75" s="29" t="str">
        <f t="shared" si="53"/>
        <v>30/360</v>
      </c>
      <c r="Q75" s="29" t="str">
        <f t="shared" si="54"/>
        <v>Compounded</v>
      </c>
      <c r="R75" s="29" t="str">
        <f t="shared" si="55"/>
        <v>Quarterly</v>
      </c>
      <c r="S75" s="30">
        <f t="shared" si="56"/>
        <v>44560</v>
      </c>
      <c r="U75" s="29">
        <f t="shared" si="58"/>
        <v>100</v>
      </c>
      <c r="V75" s="29">
        <f t="shared" ref="V75" si="90">V74</f>
        <v>0.05</v>
      </c>
      <c r="W75" s="29">
        <f t="shared" ref="W75" si="91">W74</f>
        <v>1</v>
      </c>
      <c r="X75" s="48">
        <f>_xll.qlBondCleanPriceFromZSpread(G75,Y75,Z75,AA75,AB75,AC75,AD75,AE75)</f>
        <v>100.3479995725323</v>
      </c>
      <c r="Y75" s="31" t="str">
        <f t="shared" si="47"/>
        <v>USAADF#0008</v>
      </c>
      <c r="Z75" s="29">
        <f t="shared" si="48"/>
        <v>-5.2028225015852991E-4</v>
      </c>
      <c r="AA75" s="29" t="str">
        <f t="shared" si="49"/>
        <v>30/360</v>
      </c>
      <c r="AB75" s="29" t="s">
        <v>49</v>
      </c>
      <c r="AC75" s="29" t="str">
        <f t="shared" si="50"/>
        <v>Quarterly</v>
      </c>
      <c r="AD75" s="30">
        <f t="shared" si="51"/>
        <v>44560</v>
      </c>
      <c r="AE75" s="29">
        <f t="shared" si="52"/>
        <v>1</v>
      </c>
    </row>
    <row r="76" spans="1:31" x14ac:dyDescent="0.25">
      <c r="A76" s="64">
        <f>VLOOKUP(FlotBondObj!C26,ScheduleObj!Q:AB,12,FALSE)</f>
        <v>100.34300231933589</v>
      </c>
      <c r="B76" s="98" t="e">
        <f>_xll.qlBondCleanPrice(G76,_xll.ohTrigger($A$1))</f>
        <v>#NUM!</v>
      </c>
      <c r="C76" s="100" t="b">
        <f>_xll.qlInstrumentSetPricingEngine(G76,F76,_xll.ohTrigger($A$1))</f>
        <v>1</v>
      </c>
      <c r="D76" s="32" t="s">
        <v>394</v>
      </c>
      <c r="E76" s="32" t="str">
        <f>VLOOKUP(MID(D76,1,FIND("(",D76)-1),'ql-USCorp'!$A$81:$B$110,2,FALSE)</f>
        <v>A</v>
      </c>
      <c r="F76" s="29" t="str">
        <f>VLOOKUP(E76,'ql-USCorp'!$A$72:$B$75,2,FALSE)</f>
        <v>USAEng#0008</v>
      </c>
      <c r="G76" s="31" t="str">
        <f>FlotBondObj!A26</f>
        <v>obj_001cc#0012</v>
      </c>
      <c r="H76" s="65">
        <f>FlotBondObj!G26</f>
        <v>20000000</v>
      </c>
      <c r="J76" s="29" t="s">
        <v>225</v>
      </c>
      <c r="K76" s="53">
        <f>_xll.qlBondBpsFromYield(G76,M76,P76,Q76,R76,AD76,AE76)*H76/100</f>
        <v>998.49967191878193</v>
      </c>
      <c r="L76" s="52">
        <f>_xll.qlBondDurationFromYield(G76,M76,P76,Q76,R76,"Modified",AD76,AE76)</f>
        <v>0.44043015145202918</v>
      </c>
      <c r="M76" s="51">
        <f>_xll.qlBondYieldFromCleanPrice(G76,A76,P76,Q76,R76,S76,T76,U76,V76,W76)</f>
        <v>4.74480258148164E-3</v>
      </c>
      <c r="N76" s="101">
        <f>_xll.qlBondZSpreadFromCleanPrice(G76,A76,O76,P76,Q76,R76,S76,T76,U76,V76,W76)/0.01%</f>
        <v>-45.411202110297118</v>
      </c>
      <c r="O76" s="31" t="str">
        <f>VLOOKUP(E76,'ql-USCorp'!$A$72:$C$75,3,FALSE)</f>
        <v>USADF#0008</v>
      </c>
      <c r="P76" s="29" t="str">
        <f t="shared" si="53"/>
        <v>30/360</v>
      </c>
      <c r="Q76" s="29" t="str">
        <f t="shared" si="54"/>
        <v>Compounded</v>
      </c>
      <c r="R76" s="29" t="str">
        <f t="shared" si="55"/>
        <v>Quarterly</v>
      </c>
      <c r="S76" s="30">
        <f t="shared" si="56"/>
        <v>44560</v>
      </c>
      <c r="U76" s="29">
        <f t="shared" si="58"/>
        <v>100</v>
      </c>
      <c r="V76" s="29">
        <f t="shared" ref="V76" si="92">V74</f>
        <v>0.05</v>
      </c>
      <c r="W76" s="29">
        <f t="shared" si="80"/>
        <v>1</v>
      </c>
      <c r="X76" s="48">
        <f>_xll.qlBondCleanPriceFromZSpread(G76,Y76,Z76,AA76,AB76,AC76,AD76,AE76)</f>
        <v>100.34300231933902</v>
      </c>
      <c r="Y76" s="31" t="str">
        <f t="shared" si="47"/>
        <v>USADF#0008</v>
      </c>
      <c r="Z76" s="29">
        <f t="shared" si="48"/>
        <v>-4.541120211029712E-3</v>
      </c>
      <c r="AA76" s="29" t="str">
        <f t="shared" si="49"/>
        <v>30/360</v>
      </c>
      <c r="AB76" s="29" t="s">
        <v>49</v>
      </c>
      <c r="AC76" s="29" t="str">
        <f t="shared" si="50"/>
        <v>Quarterly</v>
      </c>
      <c r="AD76" s="30">
        <f t="shared" si="51"/>
        <v>44560</v>
      </c>
      <c r="AE76" s="29">
        <f t="shared" si="52"/>
        <v>1</v>
      </c>
    </row>
    <row r="77" spans="1:31" x14ac:dyDescent="0.25">
      <c r="A77" s="64">
        <f>VLOOKUP(FlotBondObj!C27,ScheduleObj!Q:AB,12,FALSE)</f>
        <v>100.379997253418</v>
      </c>
      <c r="B77" s="98" t="e">
        <f>_xll.qlBondCleanPrice(G77,_xll.ohTrigger($A$1))</f>
        <v>#NUM!</v>
      </c>
      <c r="C77" s="100" t="b">
        <f>_xll.qlInstrumentSetPricingEngine(G77,F77,_xll.ohTrigger($A$1))</f>
        <v>1</v>
      </c>
      <c r="D77" s="32" t="s">
        <v>393</v>
      </c>
      <c r="E77" s="32" t="str">
        <f>VLOOKUP(MID(D77,1,FIND("(",D77)-1),'ql-USCorp'!$A$81:$B$110,2,FALSE)</f>
        <v>AA</v>
      </c>
      <c r="F77" s="29" t="str">
        <f>VLOOKUP(E77,'ql-USCorp'!$A$72:$B$75,2,FALSE)</f>
        <v>USAAEng#0008</v>
      </c>
      <c r="G77" s="31" t="str">
        <f>FlotBondObj!A27</f>
        <v>obj_001cd#0012</v>
      </c>
      <c r="H77" s="65">
        <f>FlotBondObj!G27</f>
        <v>10000000</v>
      </c>
      <c r="J77" s="29" t="s">
        <v>225</v>
      </c>
      <c r="K77" s="53">
        <f>_xll.qlBondBpsFromYield(G77,M77,P77,Q77,R77,AD77,AE77)*H77/100</f>
        <v>749.17072559519568</v>
      </c>
      <c r="L77" s="52">
        <f>_xll.qlBondDurationFromYield(G77,M77,P77,Q77,R77,"Modified",AD77,AE77)</f>
        <v>0.51152773868902057</v>
      </c>
      <c r="M77" s="51">
        <f>_xll.qlBondYieldFromCleanPrice(G77,A77,P77,Q77,R77,S77,T77,U77,V77,W77)</f>
        <v>4.1959238614514508E-3</v>
      </c>
      <c r="N77" s="101">
        <f>_xll.qlBondZSpreadFromCleanPrice(G77,A77,O77,P77,Q77,R77,S77,T77,U77,V77,W77)/0.01%</f>
        <v>-10.212710491040484</v>
      </c>
      <c r="O77" s="31" t="str">
        <f>VLOOKUP(E77,'ql-USCorp'!$A$72:$C$75,3,FALSE)</f>
        <v>USAADF#0008</v>
      </c>
      <c r="P77" s="29" t="str">
        <f t="shared" si="53"/>
        <v>30/360</v>
      </c>
      <c r="Q77" s="29" t="str">
        <f t="shared" si="54"/>
        <v>Compounded</v>
      </c>
      <c r="R77" s="29" t="str">
        <f t="shared" si="55"/>
        <v>Quarterly</v>
      </c>
      <c r="S77" s="30">
        <f t="shared" si="56"/>
        <v>44560</v>
      </c>
      <c r="U77" s="29">
        <f t="shared" si="58"/>
        <v>100</v>
      </c>
      <c r="V77" s="29">
        <f t="shared" ref="V77" si="93">V76</f>
        <v>0.05</v>
      </c>
      <c r="W77" s="29">
        <f t="shared" ref="W77" si="94">W76</f>
        <v>1</v>
      </c>
      <c r="X77" s="48">
        <f>_xll.qlBondCleanPriceFromZSpread(G77,Y77,Z77,AA77,AB77,AC77,AD77,AE77)</f>
        <v>100.37999725342885</v>
      </c>
      <c r="Y77" s="31" t="str">
        <f t="shared" si="47"/>
        <v>USAADF#0008</v>
      </c>
      <c r="Z77" s="29">
        <f t="shared" si="48"/>
        <v>-1.0212710491040485E-3</v>
      </c>
      <c r="AA77" s="29" t="str">
        <f t="shared" si="49"/>
        <v>30/360</v>
      </c>
      <c r="AB77" s="29" t="s">
        <v>49</v>
      </c>
      <c r="AC77" s="29" t="str">
        <f t="shared" si="50"/>
        <v>Quarterly</v>
      </c>
      <c r="AD77" s="30">
        <f t="shared" si="51"/>
        <v>44560</v>
      </c>
      <c r="AE77" s="29">
        <f t="shared" si="52"/>
        <v>1</v>
      </c>
    </row>
    <row r="78" spans="1:31" x14ac:dyDescent="0.25">
      <c r="A78" s="64">
        <f>VLOOKUP(FlotBondObj!C28,ScheduleObj!Q:AB,12,FALSE)</f>
        <v>100.572998046875</v>
      </c>
      <c r="B78" s="98" t="e">
        <f>_xll.qlBondCleanPrice(G78,_xll.ohTrigger($A$1))</f>
        <v>#NUM!</v>
      </c>
      <c r="C78" s="100" t="b">
        <f>_xll.qlInstrumentSetPricingEngine(G78,F78,_xll.ohTrigger($A$1))</f>
        <v>1</v>
      </c>
      <c r="D78" s="32" t="s">
        <v>393</v>
      </c>
      <c r="E78" s="32" t="str">
        <f>VLOOKUP(MID(D78,1,FIND("(",D78)-1),'ql-USCorp'!$A$81:$B$110,2,FALSE)</f>
        <v>AA</v>
      </c>
      <c r="F78" s="29" t="str">
        <f>VLOOKUP(E78,'ql-USCorp'!$A$72:$B$75,2,FALSE)</f>
        <v>USAAEng#0008</v>
      </c>
      <c r="G78" s="31" t="str">
        <f>FlotBondObj!A28</f>
        <v>obj_001ce#0012</v>
      </c>
      <c r="H78" s="65">
        <f>FlotBondObj!G28</f>
        <v>25000000</v>
      </c>
      <c r="J78" s="29" t="s">
        <v>225</v>
      </c>
      <c r="K78" s="53">
        <f>_xll.qlBondBpsFromYield(G78,M78,P78,Q78,R78,AD78,AE78)*H78/100</f>
        <v>2514.0782257375949</v>
      </c>
      <c r="L78" s="52">
        <f>_xll.qlBondDurationFromYield(G78,M78,P78,Q78,R78,"Modified",AD78,AE78)</f>
        <v>0.83364861858399364</v>
      </c>
      <c r="M78" s="51">
        <f>_xll.qlBondYieldFromCleanPrice(G78,A78,P78,Q78,R78,S78,T78,U78,V78,W78)</f>
        <v>5.8749060006067187E-3</v>
      </c>
      <c r="N78" s="101">
        <f>_xll.qlBondZSpreadFromCleanPrice(G78,A78,O78,P78,Q78,R78,S78,T78,U78,V78,W78)/0.01%</f>
        <v>0.34757191057631687</v>
      </c>
      <c r="O78" s="31" t="str">
        <f>VLOOKUP(E78,'ql-USCorp'!$A$72:$C$75,3,FALSE)</f>
        <v>USAADF#0008</v>
      </c>
      <c r="P78" s="29" t="str">
        <f t="shared" si="53"/>
        <v>30/360</v>
      </c>
      <c r="Q78" s="29" t="str">
        <f t="shared" si="54"/>
        <v>Compounded</v>
      </c>
      <c r="R78" s="29" t="str">
        <f t="shared" si="55"/>
        <v>Quarterly</v>
      </c>
      <c r="S78" s="30">
        <f t="shared" si="56"/>
        <v>44560</v>
      </c>
      <c r="U78" s="29">
        <f t="shared" si="58"/>
        <v>100</v>
      </c>
      <c r="V78" s="29">
        <f t="shared" ref="V78" si="95">V76</f>
        <v>0.05</v>
      </c>
      <c r="W78" s="29">
        <f t="shared" si="80"/>
        <v>1</v>
      </c>
      <c r="X78" s="48">
        <f>_xll.qlBondCleanPriceFromZSpread(G78,Y78,Z78,AA78,AB78,AC78,AD78,AE78)</f>
        <v>100.57299804676127</v>
      </c>
      <c r="Y78" s="31" t="str">
        <f t="shared" si="47"/>
        <v>USAADF#0008</v>
      </c>
      <c r="Z78" s="29">
        <f t="shared" si="48"/>
        <v>3.475719105763169E-5</v>
      </c>
      <c r="AA78" s="29" t="str">
        <f t="shared" si="49"/>
        <v>30/360</v>
      </c>
      <c r="AB78" s="29" t="s">
        <v>49</v>
      </c>
      <c r="AC78" s="29" t="str">
        <f t="shared" si="50"/>
        <v>Quarterly</v>
      </c>
      <c r="AD78" s="30">
        <f t="shared" si="51"/>
        <v>44560</v>
      </c>
      <c r="AE78" s="29">
        <f t="shared" si="52"/>
        <v>1</v>
      </c>
    </row>
    <row r="79" spans="1:31" x14ac:dyDescent="0.25">
      <c r="A79" s="64">
        <f>VLOOKUP(FlotBondObj!C29,ScheduleObj!Q:AB,12,FALSE)</f>
        <v>100.57700347900391</v>
      </c>
      <c r="B79" s="98" t="e">
        <f>_xll.qlBondCleanPrice(G79,_xll.ohTrigger($A$1))</f>
        <v>#NUM!</v>
      </c>
      <c r="C79" s="100" t="b">
        <f>_xll.qlInstrumentSetPricingEngine(G79,F79,_xll.ohTrigger($A$1))</f>
        <v>1</v>
      </c>
      <c r="D79" s="32" t="s">
        <v>389</v>
      </c>
      <c r="E79" s="32" t="str">
        <f>VLOOKUP(MID(D79,1,FIND("(",D79)-1),'ql-USCorp'!$A$81:$B$110,2,FALSE)</f>
        <v>A</v>
      </c>
      <c r="F79" s="29" t="str">
        <f>VLOOKUP(E79,'ql-USCorp'!$A$72:$B$75,2,FALSE)</f>
        <v>USAEng#0008</v>
      </c>
      <c r="G79" s="31" t="str">
        <f>FlotBondObj!A29</f>
        <v>obj_001d2#0012</v>
      </c>
      <c r="H79" s="65">
        <f>FlotBondObj!G29</f>
        <v>5000000</v>
      </c>
      <c r="J79" s="29" t="s">
        <v>225</v>
      </c>
      <c r="K79" s="53">
        <f>_xll.qlBondBpsFromYield(G79,M79,P79,Q79,R79,AD79,AE79)*H79/100</f>
        <v>743.2190387554906</v>
      </c>
      <c r="L79" s="52">
        <f>_xll.qlBondDurationFromYield(G79,M79,P79,Q79,R79,"Modified",AD79,AE79)</f>
        <v>1.4203267488977116</v>
      </c>
      <c r="M79" s="51">
        <f>_xll.qlBondYieldFromCleanPrice(G79,A79,P79,Q79,R79,S79,T79,U79,V79,W79)</f>
        <v>1.1227334321774547E-2</v>
      </c>
      <c r="N79" s="101">
        <f>_xll.qlBondZSpreadFromCleanPrice(G79,A79,O79,P79,Q79,R79,S79,T79,U79,V79,W79)/0.01%</f>
        <v>0.57572978088335902</v>
      </c>
      <c r="O79" s="31" t="str">
        <f>VLOOKUP(E79,'ql-USCorp'!$A$72:$C$75,3,FALSE)</f>
        <v>USADF#0008</v>
      </c>
      <c r="P79" s="29" t="str">
        <f t="shared" si="53"/>
        <v>30/360</v>
      </c>
      <c r="Q79" s="29" t="str">
        <f t="shared" si="54"/>
        <v>Compounded</v>
      </c>
      <c r="R79" s="29" t="str">
        <f t="shared" si="55"/>
        <v>Quarterly</v>
      </c>
      <c r="S79" s="30">
        <f t="shared" si="56"/>
        <v>44560</v>
      </c>
      <c r="U79" s="29">
        <f t="shared" si="58"/>
        <v>100</v>
      </c>
      <c r="V79" s="29">
        <f t="shared" ref="V79" si="96">V78</f>
        <v>0.05</v>
      </c>
      <c r="W79" s="29">
        <f t="shared" ref="W79" si="97">W78</f>
        <v>1</v>
      </c>
      <c r="X79" s="48">
        <f>_xll.qlBondCleanPriceFromZSpread(G79,Y79,Z79,AA79,AB79,AC79,AD79,AE79)</f>
        <v>100.57700347718954</v>
      </c>
      <c r="Y79" s="31" t="str">
        <f t="shared" si="47"/>
        <v>USADF#0008</v>
      </c>
      <c r="Z79" s="29">
        <f t="shared" si="48"/>
        <v>5.7572978088335906E-5</v>
      </c>
      <c r="AA79" s="29" t="str">
        <f t="shared" si="49"/>
        <v>30/360</v>
      </c>
      <c r="AB79" s="29" t="s">
        <v>49</v>
      </c>
      <c r="AC79" s="29" t="str">
        <f t="shared" si="50"/>
        <v>Quarterly</v>
      </c>
      <c r="AD79" s="30">
        <f t="shared" si="51"/>
        <v>44560</v>
      </c>
      <c r="AE79" s="29">
        <f t="shared" si="52"/>
        <v>1</v>
      </c>
    </row>
    <row r="80" spans="1:31" x14ac:dyDescent="0.25">
      <c r="A80" s="64">
        <f>VLOOKUP(FlotBondObj!C30,ScheduleObj!Q:AB,12,FALSE)</f>
        <v>100.734001159668</v>
      </c>
      <c r="B80" s="98" t="e">
        <f>_xll.qlBondCleanPrice(G80,_xll.ohTrigger($A$1))</f>
        <v>#NUM!</v>
      </c>
      <c r="C80" s="100" t="b">
        <f>_xll.qlInstrumentSetPricingEngine(G80,F80,_xll.ohTrigger($A$1))</f>
        <v>1</v>
      </c>
      <c r="D80" s="32" t="s">
        <v>389</v>
      </c>
      <c r="E80" s="32" t="str">
        <f>VLOOKUP(MID(D80,1,FIND("(",D80)-1),'ql-USCorp'!$A$81:$B$110,2,FALSE)</f>
        <v>A</v>
      </c>
      <c r="F80" s="29" t="str">
        <f>VLOOKUP(E80,'ql-USCorp'!$A$72:$B$75,2,FALSE)</f>
        <v>USAEng#0008</v>
      </c>
      <c r="G80" s="31" t="str">
        <f>FlotBondObj!A30</f>
        <v>obj_001d6#0012</v>
      </c>
      <c r="H80" s="65">
        <f>FlotBondObj!G30</f>
        <v>5000000</v>
      </c>
      <c r="J80" s="29" t="s">
        <v>225</v>
      </c>
      <c r="K80" s="53">
        <f>_xll.qlBondBpsFromYield(G80,M80,P80,Q80,R80,AD80,AE80)*H80/100</f>
        <v>1221.912167252892</v>
      </c>
      <c r="L80" s="52">
        <f>_xll.qlBondDurationFromYield(G80,M80,P80,Q80,R80,"Modified",AD80,AE80)</f>
        <v>2.3955184601559325</v>
      </c>
      <c r="M80" s="51">
        <f>_xll.qlBondYieldFromCleanPrice(G80,A80,P80,Q80,R80,S80,T80,U80,V80,W80)</f>
        <v>1.5553001980073755E-2</v>
      </c>
      <c r="N80" s="101">
        <f>_xll.qlBondZSpreadFromCleanPrice(G80,A80,O80,P80,Q80,R80,S80,T80,U80,V80,W80)/0.01%</f>
        <v>14.321335608648017</v>
      </c>
      <c r="O80" s="31" t="str">
        <f>VLOOKUP(E80,'ql-USCorp'!$A$72:$C$75,3,FALSE)</f>
        <v>USADF#0008</v>
      </c>
      <c r="P80" s="29" t="str">
        <f t="shared" si="53"/>
        <v>30/360</v>
      </c>
      <c r="Q80" s="29" t="str">
        <f t="shared" si="54"/>
        <v>Compounded</v>
      </c>
      <c r="R80" s="29" t="str">
        <f t="shared" si="55"/>
        <v>Quarterly</v>
      </c>
      <c r="S80" s="30">
        <f t="shared" si="56"/>
        <v>44560</v>
      </c>
      <c r="U80" s="29">
        <f t="shared" si="58"/>
        <v>100</v>
      </c>
      <c r="V80" s="29">
        <f t="shared" ref="V80" si="98">V78</f>
        <v>0.05</v>
      </c>
      <c r="W80" s="29">
        <f t="shared" si="80"/>
        <v>1</v>
      </c>
      <c r="X80" s="48">
        <f>_xll.qlBondCleanPriceFromZSpread(G80,Y80,Z80,AA80,AB80,AC80,AD80,AE80)</f>
        <v>100.73400115966801</v>
      </c>
      <c r="Y80" s="31" t="str">
        <f t="shared" si="47"/>
        <v>USADF#0008</v>
      </c>
      <c r="Z80" s="29">
        <f t="shared" si="48"/>
        <v>1.4321335608648018E-3</v>
      </c>
      <c r="AA80" s="29" t="str">
        <f t="shared" si="49"/>
        <v>30/360</v>
      </c>
      <c r="AB80" s="29" t="s">
        <v>49</v>
      </c>
      <c r="AC80" s="29" t="str">
        <f t="shared" si="50"/>
        <v>Quarterly</v>
      </c>
      <c r="AD80" s="30">
        <f t="shared" si="51"/>
        <v>44560</v>
      </c>
      <c r="AE80" s="29">
        <f t="shared" si="52"/>
        <v>1</v>
      </c>
    </row>
    <row r="81" spans="1:31" x14ac:dyDescent="0.25">
      <c r="A81" s="64">
        <f>VLOOKUP(FlotBondObj!C31,ScheduleObj!Q:AB,12,FALSE)</f>
        <v>100.1080017089844</v>
      </c>
      <c r="B81" s="98" t="e">
        <f>_xll.qlBondCleanPrice(G81,_xll.ohTrigger($A$1))</f>
        <v>#NUM!</v>
      </c>
      <c r="C81" s="100" t="b">
        <f>_xll.qlInstrumentSetPricingEngine(G81,F81,_xll.ohTrigger($A$1))</f>
        <v>1</v>
      </c>
      <c r="D81" s="32" t="s">
        <v>389</v>
      </c>
      <c r="E81" s="32" t="str">
        <f>VLOOKUP(MID(D81,1,FIND("(",D81)-1),'ql-USCorp'!$A$81:$B$110,2,FALSE)</f>
        <v>A</v>
      </c>
      <c r="F81" s="29" t="str">
        <f>VLOOKUP(E81,'ql-USCorp'!$A$72:$B$75,2,FALSE)</f>
        <v>USAEng#0008</v>
      </c>
      <c r="G81" s="31" t="str">
        <f>FlotBondObj!A31</f>
        <v>obj_001d7#0012</v>
      </c>
      <c r="H81" s="65">
        <f>FlotBondObj!G31</f>
        <v>3000000</v>
      </c>
      <c r="J81" s="29" t="s">
        <v>225</v>
      </c>
      <c r="K81" s="53">
        <f>_xll.qlBondBpsFromYield(G81,M81,P81,Q81,R81,AD81,AE81)*H81/100</f>
        <v>149.84131758724942</v>
      </c>
      <c r="L81" s="52">
        <f>_xll.qlBondDurationFromYield(G81,M81,P81,Q81,R81,"Modified",AD81,AE81)</f>
        <v>0.29902259901873279</v>
      </c>
      <c r="M81" s="51">
        <f>_xll.qlBondYieldFromCleanPrice(G81,A81,P81,Q81,R81,S81,T81,U81,V81,W81)</f>
        <v>6.0544554356858175E-3</v>
      </c>
      <c r="N81" s="101">
        <f>_xll.qlBondZSpreadFromCleanPrice(G81,A81,O81,P81,Q81,R81,S81,T81,U81,V81,W81)/0.01%</f>
        <v>-19.788361929485095</v>
      </c>
      <c r="O81" s="31" t="str">
        <f>VLOOKUP(E81,'ql-USCorp'!$A$72:$C$75,3,FALSE)</f>
        <v>USADF#0008</v>
      </c>
      <c r="P81" s="29" t="str">
        <f t="shared" si="53"/>
        <v>30/360</v>
      </c>
      <c r="Q81" s="29" t="str">
        <f t="shared" si="54"/>
        <v>Compounded</v>
      </c>
      <c r="R81" s="29" t="str">
        <f t="shared" si="55"/>
        <v>Quarterly</v>
      </c>
      <c r="S81" s="30">
        <f t="shared" si="56"/>
        <v>44560</v>
      </c>
      <c r="U81" s="29">
        <f t="shared" si="58"/>
        <v>100</v>
      </c>
      <c r="V81" s="29">
        <f t="shared" ref="V81" si="99">V80</f>
        <v>0.05</v>
      </c>
      <c r="W81" s="29">
        <f t="shared" ref="W81" si="100">W80</f>
        <v>1</v>
      </c>
      <c r="X81" s="48">
        <f>_xll.qlBondCleanPriceFromZSpread(G81,Y81,Z81,AA81,AB81,AC81,AD81,AE81)</f>
        <v>100.10800170898543</v>
      </c>
      <c r="Y81" s="31" t="str">
        <f t="shared" si="47"/>
        <v>USADF#0008</v>
      </c>
      <c r="Z81" s="29">
        <f t="shared" si="48"/>
        <v>-1.9788361929485095E-3</v>
      </c>
      <c r="AA81" s="29" t="str">
        <f t="shared" si="49"/>
        <v>30/360</v>
      </c>
      <c r="AB81" s="29" t="s">
        <v>49</v>
      </c>
      <c r="AC81" s="29" t="str">
        <f t="shared" si="50"/>
        <v>Quarterly</v>
      </c>
      <c r="AD81" s="30">
        <f t="shared" si="51"/>
        <v>44560</v>
      </c>
      <c r="AE81" s="29">
        <f t="shared" si="52"/>
        <v>1</v>
      </c>
    </row>
    <row r="82" spans="1:31" x14ac:dyDescent="0.25">
      <c r="A82" s="64">
        <f>VLOOKUP(FlotBondObj!C32,ScheduleObj!Q:AB,12,FALSE)</f>
        <v>100.61900329589839</v>
      </c>
      <c r="B82" s="98">
        <f>_xll.qlBondCleanPrice(G82,_xll.ohTrigger($A$1))</f>
        <v>101.03288479008742</v>
      </c>
      <c r="C82" s="100" t="b">
        <f>_xll.qlInstrumentSetPricingEngine(G82,F82,_xll.ohTrigger($A$1))</f>
        <v>1</v>
      </c>
      <c r="D82" s="32" t="s">
        <v>387</v>
      </c>
      <c r="E82" s="32" t="str">
        <f>VLOOKUP(MID(D82,1,FIND("(",D82)-1),'ql-USCorp'!$A$81:$B$110,2,FALSE)</f>
        <v>A</v>
      </c>
      <c r="F82" s="29" t="str">
        <f>VLOOKUP(E82,'ql-USCorp'!$A$72:$B$75,2,FALSE)</f>
        <v>USAEng#0008</v>
      </c>
      <c r="G82" s="31" t="str">
        <f>FlotBondObj!A32</f>
        <v>obj_001d8#0012</v>
      </c>
      <c r="H82" s="65">
        <f>FlotBondObj!G32</f>
        <v>5000000</v>
      </c>
      <c r="J82" s="29" t="s">
        <v>225</v>
      </c>
      <c r="K82" s="53">
        <f>_xll.qlBondBpsFromYield(G82,M82,P82,Q82,R82,AD82,AE82)*H82/100</f>
        <v>1342.6704512185604</v>
      </c>
      <c r="L82" s="52">
        <f>_xll.qlBondDurationFromYield(G82,M82,P82,Q82,R82,"Modified",AD82,AE82)</f>
        <v>2.647872804177815</v>
      </c>
      <c r="M82" s="51">
        <f>_xll.qlBondYieldFromCleanPrice(G82,A82,P82,Q82,R82,S82,T82,U82,V82,W82)</f>
        <v>1.6374742246791731E-2</v>
      </c>
      <c r="N82" s="101">
        <f>_xll.qlBondZSpreadFromCleanPrice(G82,A82,O82,P82,Q82,R82,S82,T82,U82,V82,W82)/0.01%</f>
        <v>15.259805505421555</v>
      </c>
      <c r="O82" s="31" t="str">
        <f>VLOOKUP(E82,'ql-USCorp'!$A$72:$C$75,3,FALSE)</f>
        <v>USADF#0008</v>
      </c>
      <c r="P82" s="29" t="str">
        <f t="shared" si="53"/>
        <v>30/360</v>
      </c>
      <c r="Q82" s="29" t="str">
        <f t="shared" si="54"/>
        <v>Compounded</v>
      </c>
      <c r="R82" s="29" t="str">
        <f t="shared" si="55"/>
        <v>Quarterly</v>
      </c>
      <c r="S82" s="30">
        <f t="shared" si="56"/>
        <v>44560</v>
      </c>
      <c r="U82" s="29">
        <f t="shared" si="58"/>
        <v>100</v>
      </c>
      <c r="V82" s="29">
        <f t="shared" ref="V82" si="101">V80</f>
        <v>0.05</v>
      </c>
      <c r="W82" s="29">
        <f t="shared" si="80"/>
        <v>1</v>
      </c>
      <c r="X82" s="48">
        <f>_xll.qlBondCleanPriceFromZSpread(G82,Y82,Z82,AA82,AB82,AC82,AD82,AE82)</f>
        <v>100.61900329589832</v>
      </c>
      <c r="Y82" s="31" t="str">
        <f t="shared" si="47"/>
        <v>USADF#0008</v>
      </c>
      <c r="Z82" s="29">
        <f t="shared" si="48"/>
        <v>1.5259805505421556E-3</v>
      </c>
      <c r="AA82" s="29" t="str">
        <f t="shared" si="49"/>
        <v>30/360</v>
      </c>
      <c r="AB82" s="29" t="s">
        <v>49</v>
      </c>
      <c r="AC82" s="29" t="str">
        <f t="shared" si="50"/>
        <v>Quarterly</v>
      </c>
      <c r="AD82" s="30">
        <f t="shared" si="51"/>
        <v>44560</v>
      </c>
      <c r="AE82" s="29">
        <f t="shared" si="52"/>
        <v>1</v>
      </c>
    </row>
    <row r="83" spans="1:31" x14ac:dyDescent="0.25">
      <c r="A83" s="64">
        <f>VLOOKUP(FlotBondObj!C33,ScheduleObj!Q:AB,12,FALSE)</f>
        <v>100.4901809692383</v>
      </c>
      <c r="B83" s="98">
        <f>_xll.qlBondCleanPrice(G83,_xll.ohTrigger($A$1))</f>
        <v>100.6284162228951</v>
      </c>
      <c r="C83" s="100" t="b">
        <f>_xll.qlInstrumentSetPricingEngine(G83,F83,_xll.ohTrigger($A$1))</f>
        <v>1</v>
      </c>
      <c r="D83" s="32" t="s">
        <v>387</v>
      </c>
      <c r="E83" s="32" t="str">
        <f>VLOOKUP(MID(D83,1,FIND("(",D83)-1),'ql-USCorp'!$A$81:$B$110,2,FALSE)</f>
        <v>A</v>
      </c>
      <c r="F83" s="29" t="str">
        <f>VLOOKUP(E83,'ql-USCorp'!$A$72:$B$75,2,FALSE)</f>
        <v>USAEng#0008</v>
      </c>
      <c r="G83" s="31" t="str">
        <f>FlotBondObj!A33</f>
        <v>obj_001d9#0012</v>
      </c>
      <c r="H83" s="65">
        <f>FlotBondObj!G33</f>
        <v>7500000</v>
      </c>
      <c r="J83" s="29" t="s">
        <v>225</v>
      </c>
      <c r="K83" s="53">
        <f>_xll.qlBondBpsFromYield(G83,M83,P83,Q83,R83,AD83,AE83)*H83/100</f>
        <v>2208.0880142534561</v>
      </c>
      <c r="L83" s="52">
        <f>_xll.qlBondDurationFromYield(G83,M83,P83,Q83,R83,"Modified",AD83,AE83)</f>
        <v>2.7756571359152735</v>
      </c>
      <c r="M83" s="51">
        <f>_xll.qlBondYieldFromCleanPrice(G83,A83,P83,Q83,R83,S83,T83,U83,V83,W83)</f>
        <v>1.5552195646800104E-2</v>
      </c>
      <c r="N83" s="101">
        <f>_xll.qlBondZSpreadFromCleanPrice(G83,A83,O83,P83,Q83,R83,S83,T83,U83,V83,W83)/0.01%</f>
        <v>4.8891476062844141</v>
      </c>
      <c r="O83" s="31" t="str">
        <f>VLOOKUP(E83,'ql-USCorp'!$A$72:$C$75,3,FALSE)</f>
        <v>USADF#0008</v>
      </c>
      <c r="P83" s="29" t="str">
        <f t="shared" si="53"/>
        <v>30/360</v>
      </c>
      <c r="Q83" s="29" t="str">
        <f t="shared" si="54"/>
        <v>Compounded</v>
      </c>
      <c r="R83" s="29" t="str">
        <f t="shared" si="55"/>
        <v>Quarterly</v>
      </c>
      <c r="S83" s="30">
        <f t="shared" si="56"/>
        <v>44560</v>
      </c>
      <c r="U83" s="29">
        <f t="shared" si="58"/>
        <v>100</v>
      </c>
      <c r="V83" s="29">
        <f t="shared" ref="V83" si="102">V82</f>
        <v>0.05</v>
      </c>
      <c r="W83" s="29">
        <f t="shared" ref="W83" si="103">W82</f>
        <v>1</v>
      </c>
      <c r="X83" s="48">
        <f>_xll.qlBondCleanPriceFromZSpread(G83,Y83,Z83,AA83,AB83,AC83,AD83,AE83)</f>
        <v>100.49018096923822</v>
      </c>
      <c r="Y83" s="31" t="str">
        <f t="shared" si="47"/>
        <v>USADF#0008</v>
      </c>
      <c r="Z83" s="29">
        <f t="shared" si="48"/>
        <v>4.8891476062844143E-4</v>
      </c>
      <c r="AA83" s="29" t="str">
        <f t="shared" si="49"/>
        <v>30/360</v>
      </c>
      <c r="AB83" s="29" t="s">
        <v>49</v>
      </c>
      <c r="AC83" s="29" t="str">
        <f t="shared" si="50"/>
        <v>Quarterly</v>
      </c>
      <c r="AD83" s="30">
        <f t="shared" si="51"/>
        <v>44560</v>
      </c>
      <c r="AE83" s="29">
        <f t="shared" si="52"/>
        <v>1</v>
      </c>
    </row>
    <row r="84" spans="1:31" x14ac:dyDescent="0.25">
      <c r="A84" s="64">
        <f>VLOOKUP(FlotBondObj!C34,ScheduleObj!Q:AB,12,FALSE)</f>
        <v>100.48557281494141</v>
      </c>
      <c r="B84" s="98">
        <f>_xll.qlBondCleanPrice(G84,_xll.ohTrigger($A$1))</f>
        <v>100.44105814726555</v>
      </c>
      <c r="C84" s="100" t="b">
        <f>_xll.qlInstrumentSetPricingEngine(G84,F84,_xll.ohTrigger($A$1))</f>
        <v>1</v>
      </c>
      <c r="D84" s="32" t="s">
        <v>393</v>
      </c>
      <c r="E84" s="32" t="str">
        <f>VLOOKUP(MID(D84,1,FIND("(",D84)-1),'ql-USCorp'!$A$81:$B$110,2,FALSE)</f>
        <v>AA</v>
      </c>
      <c r="F84" s="29" t="str">
        <f>VLOOKUP(E84,'ql-USCorp'!$A$72:$B$75,2,FALSE)</f>
        <v>USAAEng#0008</v>
      </c>
      <c r="G84" s="31" t="str">
        <f>FlotBondObj!A34</f>
        <v>obj_001da#0012</v>
      </c>
      <c r="H84" s="65">
        <f>FlotBondObj!G34</f>
        <v>7000000</v>
      </c>
      <c r="J84" s="29" t="s">
        <v>225</v>
      </c>
      <c r="K84" s="53">
        <f>_xll.qlBondBpsFromYield(G84,M84,P84,Q84,R84,AD84,AE84)*H84/100</f>
        <v>696.04756832387943</v>
      </c>
      <c r="L84" s="52">
        <f>_xll.qlBondDurationFromYield(G84,M84,P84,Q84,R84,"Modified",AD84,AE84)</f>
        <v>0.89821632227338088</v>
      </c>
      <c r="M84" s="51">
        <f>_xll.qlBondYieldFromCleanPrice(G84,A84,P84,Q84,R84,S84,T84,U84,V84,W84)</f>
        <v>5.4532685044780416E-3</v>
      </c>
      <c r="N84" s="101">
        <f>_xll.qlBondZSpreadFromCleanPrice(G84,A84,O84,P84,Q84,R84,S84,T84,U84,V84,W84)/0.01%</f>
        <v>-4.8549742324386242</v>
      </c>
      <c r="O84" s="31" t="str">
        <f>VLOOKUP(E84,'ql-USCorp'!$A$72:$C$75,3,FALSE)</f>
        <v>USAADF#0008</v>
      </c>
      <c r="P84" s="29" t="str">
        <f t="shared" si="53"/>
        <v>30/360</v>
      </c>
      <c r="Q84" s="29" t="str">
        <f t="shared" si="54"/>
        <v>Compounded</v>
      </c>
      <c r="R84" s="29" t="str">
        <f t="shared" si="55"/>
        <v>Quarterly</v>
      </c>
      <c r="S84" s="30">
        <f t="shared" si="56"/>
        <v>44560</v>
      </c>
      <c r="U84" s="29">
        <f t="shared" si="58"/>
        <v>100</v>
      </c>
      <c r="V84" s="29">
        <f t="shared" ref="V84" si="104">V82</f>
        <v>0.05</v>
      </c>
      <c r="W84" s="29">
        <f t="shared" si="80"/>
        <v>1</v>
      </c>
      <c r="X84" s="48">
        <f>_xll.qlBondCleanPriceFromZSpread(G84,Y84,Z84,AA84,AB84,AC84,AD84,AE84)</f>
        <v>100.48557281477193</v>
      </c>
      <c r="Y84" s="31" t="str">
        <f t="shared" si="47"/>
        <v>USAADF#0008</v>
      </c>
      <c r="Z84" s="29">
        <f t="shared" si="48"/>
        <v>-4.8549742324386247E-4</v>
      </c>
      <c r="AA84" s="29" t="str">
        <f t="shared" si="49"/>
        <v>30/360</v>
      </c>
      <c r="AB84" s="29" t="s">
        <v>49</v>
      </c>
      <c r="AC84" s="29" t="str">
        <f t="shared" si="50"/>
        <v>Quarterly</v>
      </c>
      <c r="AD84" s="30">
        <f t="shared" si="51"/>
        <v>44560</v>
      </c>
      <c r="AE84" s="29">
        <f t="shared" si="52"/>
        <v>1</v>
      </c>
    </row>
    <row r="85" spans="1:31" x14ac:dyDescent="0.25">
      <c r="A85" s="64">
        <f>VLOOKUP(FlotBondObj!C35,ScheduleObj!Q:AB,12,FALSE)</f>
        <v>100.0210037231445</v>
      </c>
      <c r="B85" s="98">
        <f>_xll.qlBondCleanPrice(G85,_xll.ohTrigger($A$1))</f>
        <v>99.997298246904535</v>
      </c>
      <c r="C85" s="100" t="b">
        <f>_xll.qlInstrumentSetPricingEngine(G85,F85,_xll.ohTrigger($A$1))</f>
        <v>1</v>
      </c>
      <c r="D85" s="32" t="s">
        <v>389</v>
      </c>
      <c r="E85" s="32" t="str">
        <f>VLOOKUP(MID(D85,1,FIND("(",D85)-1),'ql-USCorp'!$A$81:$B$110,2,FALSE)</f>
        <v>A</v>
      </c>
      <c r="F85" s="29" t="str">
        <f>VLOOKUP(E85,'ql-USCorp'!$A$72:$B$75,2,FALSE)</f>
        <v>USAEng#0008</v>
      </c>
      <c r="G85" s="31" t="str">
        <f>FlotBondObj!A35</f>
        <v>obj_001db#0012</v>
      </c>
      <c r="H85" s="65">
        <f>FlotBondObj!G35</f>
        <v>3000000</v>
      </c>
      <c r="J85" s="29" t="s">
        <v>225</v>
      </c>
      <c r="K85" s="53">
        <f>_xll.qlBondBpsFromYield(G85,M85,P85,Q85,R85,AD85,AE85)*H85/100</f>
        <v>74.989436962184229</v>
      </c>
      <c r="L85" s="52">
        <f>_xll.qlBondDurationFromYield(G85,M85,P85,Q85,R85,"Modified",AD85,AE85)</f>
        <v>4.9964799790574409E-2</v>
      </c>
      <c r="M85" s="51">
        <f>_xll.qlBondYieldFromCleanPrice(G85,A85,P85,Q85,R85,S85,T85,U85,V85,W85)</f>
        <v>2.818000638298694E-3</v>
      </c>
      <c r="N85" s="101">
        <f>_xll.qlBondZSpreadFromCleanPrice(G85,A85,O85,P85,Q85,R85,S85,T85,U85,V85,W85)/0.01%</f>
        <v>-44.903646437359725</v>
      </c>
      <c r="O85" s="31" t="str">
        <f>VLOOKUP(E85,'ql-USCorp'!$A$72:$C$75,3,FALSE)</f>
        <v>USADF#0008</v>
      </c>
      <c r="P85" s="29" t="str">
        <f t="shared" si="53"/>
        <v>30/360</v>
      </c>
      <c r="Q85" s="29" t="str">
        <f t="shared" si="54"/>
        <v>Compounded</v>
      </c>
      <c r="R85" s="29" t="str">
        <f t="shared" si="55"/>
        <v>Quarterly</v>
      </c>
      <c r="S85" s="30">
        <f t="shared" si="56"/>
        <v>44560</v>
      </c>
      <c r="U85" s="29">
        <f t="shared" si="58"/>
        <v>100</v>
      </c>
      <c r="V85" s="29">
        <f t="shared" ref="V85" si="105">V84</f>
        <v>0.05</v>
      </c>
      <c r="W85" s="29">
        <f t="shared" ref="W85" si="106">W84</f>
        <v>1</v>
      </c>
      <c r="X85" s="48">
        <f>_xll.qlBondCleanPriceFromZSpread(G85,Y85,Z85,AA85,AB85,AC85,AD85,AE85)</f>
        <v>100.02100372314449</v>
      </c>
      <c r="Y85" s="31" t="str">
        <f t="shared" si="47"/>
        <v>USADF#0008</v>
      </c>
      <c r="Z85" s="29">
        <f t="shared" si="48"/>
        <v>-4.4903646437359727E-3</v>
      </c>
      <c r="AA85" s="29" t="str">
        <f t="shared" si="49"/>
        <v>30/360</v>
      </c>
      <c r="AB85" s="29" t="s">
        <v>49</v>
      </c>
      <c r="AC85" s="29" t="str">
        <f t="shared" si="50"/>
        <v>Quarterly</v>
      </c>
      <c r="AD85" s="30">
        <f t="shared" si="51"/>
        <v>44560</v>
      </c>
      <c r="AE85" s="29">
        <f t="shared" si="52"/>
        <v>1</v>
      </c>
    </row>
    <row r="86" spans="1:31" x14ac:dyDescent="0.25">
      <c r="A86" s="64">
        <f>VLOOKUP(FlotBondObj!C36,ScheduleObj!Q:AB,12,FALSE)</f>
        <v>104.3858337402344</v>
      </c>
      <c r="B86" s="98" t="e">
        <f>_xll.qlBondCleanPrice(G86,_xll.ohTrigger($A$1))</f>
        <v>#NUM!</v>
      </c>
      <c r="C86" s="100" t="b">
        <f>_xll.qlInstrumentSetPricingEngine(G86,F86,_xll.ohTrigger($A$1))</f>
        <v>1</v>
      </c>
      <c r="D86" s="32" t="s">
        <v>394</v>
      </c>
      <c r="E86" s="32" t="str">
        <f>VLOOKUP(MID(D86,1,FIND("(",D86)-1),'ql-USCorp'!$A$81:$B$110,2,FALSE)</f>
        <v>A</v>
      </c>
      <c r="F86" s="29" t="str">
        <f>VLOOKUP(E86,'ql-USCorp'!$A$72:$B$75,2,FALSE)</f>
        <v>USAEng#0008</v>
      </c>
      <c r="G86" s="31" t="str">
        <f>FlotBondObj!A36</f>
        <v>obj_001dc#0012</v>
      </c>
      <c r="H86" s="65">
        <f>FlotBondObj!G36</f>
        <v>9000000</v>
      </c>
      <c r="J86" s="29" t="s">
        <v>225</v>
      </c>
      <c r="K86" s="53">
        <f>_xll.qlBondBpsFromYield(G86,M86,P86,Q86,R86,AD86,AE86)*H86/100</f>
        <v>3154.127423574314</v>
      </c>
      <c r="L86" s="52">
        <f>_xll.qlBondDurationFromYield(G86,M86,P86,Q86,R86,"Modified",AD86,AE86)</f>
        <v>3.272309630444711</v>
      </c>
      <c r="M86" s="51">
        <f>_xll.qlBondYieldFromCleanPrice(G86,A86,P86,Q86,R86,S86,T86,U86,V86,W86)</f>
        <v>-1.2417855798080523E-3</v>
      </c>
      <c r="N86" s="101">
        <f>_xll.qlBondZSpreadFromCleanPrice(G86,A86,O86,P86,Q86,R86,S86,T86,U86,V86,W86)/0.01%</f>
        <v>-174.43426300438034</v>
      </c>
      <c r="O86" s="31" t="str">
        <f>VLOOKUP(E86,'ql-USCorp'!$A$72:$C$75,3,FALSE)</f>
        <v>USADF#0008</v>
      </c>
      <c r="P86" s="29" t="str">
        <f t="shared" si="53"/>
        <v>30/360</v>
      </c>
      <c r="Q86" s="29" t="str">
        <f t="shared" si="54"/>
        <v>Compounded</v>
      </c>
      <c r="R86" s="29" t="str">
        <f t="shared" si="55"/>
        <v>Quarterly</v>
      </c>
      <c r="S86" s="30">
        <f t="shared" si="56"/>
        <v>44560</v>
      </c>
      <c r="U86" s="29">
        <f t="shared" si="58"/>
        <v>100</v>
      </c>
      <c r="V86" s="29">
        <f t="shared" ref="V86" si="107">V84</f>
        <v>0.05</v>
      </c>
      <c r="W86" s="29">
        <f t="shared" si="80"/>
        <v>1</v>
      </c>
      <c r="X86" s="48">
        <f>_xll.qlBondCleanPriceFromZSpread(G86,Y86,Z86,AA86,AB86,AC86,AD86,AE86)</f>
        <v>104.38583374023446</v>
      </c>
      <c r="Y86" s="31" t="str">
        <f t="shared" si="47"/>
        <v>USADF#0008</v>
      </c>
      <c r="Z86" s="29">
        <f t="shared" si="48"/>
        <v>-1.7443426300438034E-2</v>
      </c>
      <c r="AA86" s="29" t="str">
        <f t="shared" si="49"/>
        <v>30/360</v>
      </c>
      <c r="AB86" s="29" t="s">
        <v>49</v>
      </c>
      <c r="AC86" s="29" t="str">
        <f t="shared" si="50"/>
        <v>Quarterly</v>
      </c>
      <c r="AD86" s="30">
        <f t="shared" si="51"/>
        <v>44560</v>
      </c>
      <c r="AE86" s="29">
        <f t="shared" si="52"/>
        <v>1</v>
      </c>
    </row>
    <row r="87" spans="1:31" x14ac:dyDescent="0.25">
      <c r="A87" s="64">
        <f>VLOOKUP(FlotBondObj!C37,ScheduleObj!Q:AB,12,FALSE)</f>
        <v>101.39499664306641</v>
      </c>
      <c r="B87" s="98" t="e">
        <f>_xll.qlBondCleanPrice(G87,_xll.ohTrigger($A$1))</f>
        <v>#NUM!</v>
      </c>
      <c r="C87" s="100" t="b">
        <f>_xll.qlInstrumentSetPricingEngine(G87,F87,_xll.ohTrigger($A$1))</f>
        <v>1</v>
      </c>
      <c r="D87" s="32" t="s">
        <v>393</v>
      </c>
      <c r="E87" s="32" t="str">
        <f>VLOOKUP(MID(D87,1,FIND("(",D87)-1),'ql-USCorp'!$A$81:$B$110,2,FALSE)</f>
        <v>AA</v>
      </c>
      <c r="F87" s="29" t="str">
        <f>VLOOKUP(E87,'ql-USCorp'!$A$72:$B$75,2,FALSE)</f>
        <v>USAAEng#0008</v>
      </c>
      <c r="G87" s="31" t="str">
        <f>FlotBondObj!A37</f>
        <v>obj_001dd#0012</v>
      </c>
      <c r="H87" s="65">
        <f>FlotBondObj!G37</f>
        <v>1000000</v>
      </c>
      <c r="J87" s="29" t="s">
        <v>225</v>
      </c>
      <c r="K87" s="53">
        <f>_xll.qlBondBpsFromYield(G87,M87,P87,Q87,R87,AD87,AE87)*H87/100</f>
        <v>149.16433598436808</v>
      </c>
      <c r="L87" s="52">
        <f>_xll.qlBondDurationFromYield(G87,M87,P87,Q87,R87,"Modified",AD87,AE87)</f>
        <v>1.3079071535944728</v>
      </c>
      <c r="M87" s="51">
        <f>_xll.qlBondYieldFromCleanPrice(G87,A87,P87,Q87,R87,S87,T87,U87,V87,W87)</f>
        <v>7.9972517834231288E-3</v>
      </c>
      <c r="N87" s="101">
        <f>_xll.qlBondZSpreadFromCleanPrice(G87,A87,O87,P87,Q87,R87,S87,T87,U87,V87,W87)/0.01%</f>
        <v>2.3939674931951096</v>
      </c>
      <c r="O87" s="31" t="str">
        <f>VLOOKUP(E87,'ql-USCorp'!$A$72:$C$75,3,FALSE)</f>
        <v>USAADF#0008</v>
      </c>
      <c r="P87" s="29" t="str">
        <f t="shared" si="53"/>
        <v>30/360</v>
      </c>
      <c r="Q87" s="29" t="str">
        <f t="shared" si="54"/>
        <v>Compounded</v>
      </c>
      <c r="R87" s="29" t="str">
        <f t="shared" si="55"/>
        <v>Quarterly</v>
      </c>
      <c r="S87" s="30">
        <f t="shared" si="56"/>
        <v>44560</v>
      </c>
      <c r="U87" s="29">
        <f t="shared" si="58"/>
        <v>100</v>
      </c>
      <c r="V87" s="29">
        <f t="shared" ref="V87" si="108">V86</f>
        <v>0.05</v>
      </c>
      <c r="W87" s="29">
        <f t="shared" ref="W87" si="109">W86</f>
        <v>1</v>
      </c>
      <c r="X87" s="48">
        <f>_xll.qlBondCleanPriceFromZSpread(G87,Y87,Z87,AA87,AB87,AC87,AD87,AE87)</f>
        <v>101.39499664188155</v>
      </c>
      <c r="Y87" s="31" t="str">
        <f t="shared" si="47"/>
        <v>USAADF#0008</v>
      </c>
      <c r="Z87" s="29">
        <f t="shared" si="48"/>
        <v>2.3939674931951096E-4</v>
      </c>
      <c r="AA87" s="29" t="str">
        <f t="shared" si="49"/>
        <v>30/360</v>
      </c>
      <c r="AB87" s="29" t="s">
        <v>49</v>
      </c>
      <c r="AC87" s="29" t="str">
        <f t="shared" si="50"/>
        <v>Quarterly</v>
      </c>
      <c r="AD87" s="30">
        <f t="shared" si="51"/>
        <v>44560</v>
      </c>
      <c r="AE87" s="29">
        <f t="shared" si="52"/>
        <v>1</v>
      </c>
    </row>
    <row r="88" spans="1:31" x14ac:dyDescent="0.25">
      <c r="A88" s="64">
        <f>VLOOKUP(FlotBondObj!C38,ScheduleObj!Q:AB,12,FALSE)</f>
        <v>103.5362014770508</v>
      </c>
      <c r="B88" s="98">
        <f>_xll.qlBondCleanPrice(G88,_xll.ohTrigger($A$1))</f>
        <v>103.38714143841551</v>
      </c>
      <c r="C88" s="100" t="b">
        <f>_xll.qlInstrumentSetPricingEngine(G88,F88,_xll.ohTrigger($A$1))</f>
        <v>1</v>
      </c>
      <c r="D88" s="32" t="s">
        <v>402</v>
      </c>
      <c r="E88" s="32" t="str">
        <f>VLOOKUP(MID(D88,1,FIND("(",D88)-1),'ql-USCorp'!$A$81:$B$110,2,FALSE)</f>
        <v>AA</v>
      </c>
      <c r="F88" s="29" t="str">
        <f>VLOOKUP(E88,'ql-USCorp'!$A$72:$B$75,2,FALSE)</f>
        <v>USAAEng#0008</v>
      </c>
      <c r="G88" s="31" t="str">
        <f>FlotBondObj!A38</f>
        <v>obj_001de#0012</v>
      </c>
      <c r="H88" s="65">
        <f>FlotBondObj!G38</f>
        <v>5000000</v>
      </c>
      <c r="J88" s="29" t="s">
        <v>225</v>
      </c>
      <c r="K88" s="53">
        <f>_xll.qlBondBpsFromYield(G88,M88,P88,Q88,R88,AD88,AE88)*H88/100</f>
        <v>1708.5930391698107</v>
      </c>
      <c r="L88" s="52">
        <f>_xll.qlBondDurationFromYield(G88,M88,P88,Q88,R88,"Modified",AD88,AE88)</f>
        <v>3.2982658480310221</v>
      </c>
      <c r="M88" s="51">
        <f>_xll.qlBondYieldFromCleanPrice(G88,A88,P88,Q88,R88,S88,T88,U88,V88,W88)</f>
        <v>1.3396421244181694E-2</v>
      </c>
      <c r="N88" s="101">
        <f>_xll.qlBondZSpreadFromCleanPrice(G88,A88,O88,P88,Q88,R88,S88,T88,U88,V88,W88)/0.01%</f>
        <v>-4.3018139184676745</v>
      </c>
      <c r="O88" s="31" t="str">
        <f>VLOOKUP(E88,'ql-USCorp'!$A$72:$C$75,3,FALSE)</f>
        <v>USAADF#0008</v>
      </c>
      <c r="P88" s="29" t="str">
        <f t="shared" si="53"/>
        <v>30/360</v>
      </c>
      <c r="Q88" s="29" t="str">
        <f t="shared" si="54"/>
        <v>Compounded</v>
      </c>
      <c r="R88" s="29" t="str">
        <f t="shared" si="55"/>
        <v>Quarterly</v>
      </c>
      <c r="S88" s="30">
        <f t="shared" si="56"/>
        <v>44560</v>
      </c>
      <c r="U88" s="29">
        <f t="shared" si="58"/>
        <v>100</v>
      </c>
      <c r="V88" s="29">
        <f t="shared" ref="V88" si="110">V86</f>
        <v>0.05</v>
      </c>
      <c r="W88" s="29">
        <f t="shared" si="80"/>
        <v>1</v>
      </c>
      <c r="X88" s="48">
        <f>_xll.qlBondCleanPriceFromZSpread(G88,Y88,Z88,AA88,AB88,AC88,AD88,AE88)</f>
        <v>103.53620147705058</v>
      </c>
      <c r="Y88" s="31" t="str">
        <f t="shared" si="47"/>
        <v>USAADF#0008</v>
      </c>
      <c r="Z88" s="29">
        <f t="shared" si="48"/>
        <v>-4.3018139184676746E-4</v>
      </c>
      <c r="AA88" s="29" t="str">
        <f t="shared" si="49"/>
        <v>30/360</v>
      </c>
      <c r="AB88" s="29" t="s">
        <v>49</v>
      </c>
      <c r="AC88" s="29" t="str">
        <f t="shared" si="50"/>
        <v>Quarterly</v>
      </c>
      <c r="AD88" s="30">
        <f t="shared" si="51"/>
        <v>44560</v>
      </c>
      <c r="AE88" s="29">
        <f t="shared" si="52"/>
        <v>1</v>
      </c>
    </row>
    <row r="89" spans="1:31" x14ac:dyDescent="0.25">
      <c r="A89" s="64">
        <f>VLOOKUP(FlotBondObj!C39,ScheduleObj!Q:AB,12,FALSE)</f>
        <v>100.1340026855469</v>
      </c>
      <c r="B89" s="98">
        <f>_xll.qlBondCleanPrice(G89,_xll.ohTrigger($A$1))</f>
        <v>99.956935240477222</v>
      </c>
      <c r="C89" s="100" t="b">
        <f>_xll.qlInstrumentSetPricingEngine(G89,F89,_xll.ohTrigger($A$1))</f>
        <v>1</v>
      </c>
      <c r="D89" s="32" t="s">
        <v>391</v>
      </c>
      <c r="E89" s="32" t="str">
        <f>VLOOKUP(MID(D89,1,FIND("(",D89)-1),'ql-USCorp'!$A$81:$B$110,2,FALSE)</f>
        <v>A</v>
      </c>
      <c r="F89" s="29" t="str">
        <f>VLOOKUP(E89,'ql-USCorp'!$A$72:$B$75,2,FALSE)</f>
        <v>USAEng#0008</v>
      </c>
      <c r="G89" s="31" t="str">
        <f>FlotBondObj!A39</f>
        <v>obj_001df#0012</v>
      </c>
      <c r="H89" s="65">
        <f>FlotBondObj!G39</f>
        <v>10000000</v>
      </c>
      <c r="J89" s="29" t="s">
        <v>225</v>
      </c>
      <c r="K89" s="53">
        <f>_xll.qlBondBpsFromYield(G89,M89,P89,Q89,R89,AD89,AE89)*H89/100</f>
        <v>250.31340270841807</v>
      </c>
      <c r="L89" s="52">
        <f>_xll.qlBondDurationFromYield(G89,M89,P89,Q89,R89,"Modified",AD89,AE89)</f>
        <v>6.9758358244950414E-2</v>
      </c>
      <c r="M89" s="51">
        <f>_xll.qlBondYieldFromCleanPrice(G89,A89,P89,Q89,R89,S89,T89,U89,V89,W89)</f>
        <v>-1.800006814401596E-2</v>
      </c>
      <c r="N89" s="101">
        <f>_xll.qlBondZSpreadFromCleanPrice(G89,A89,O89,P89,Q89,R89,S89,T89,U89,V89,W89)/0.01%</f>
        <v>-244.69257971923324</v>
      </c>
      <c r="O89" s="31" t="str">
        <f>VLOOKUP(E89,'ql-USCorp'!$A$72:$C$75,3,FALSE)</f>
        <v>USADF#0008</v>
      </c>
      <c r="P89" s="29" t="str">
        <f t="shared" si="53"/>
        <v>30/360</v>
      </c>
      <c r="Q89" s="29" t="str">
        <f t="shared" si="54"/>
        <v>Compounded</v>
      </c>
      <c r="R89" s="29" t="str">
        <f t="shared" si="55"/>
        <v>Quarterly</v>
      </c>
      <c r="S89" s="30">
        <f t="shared" si="56"/>
        <v>44560</v>
      </c>
      <c r="U89" s="29">
        <f t="shared" si="58"/>
        <v>100</v>
      </c>
      <c r="V89" s="29">
        <f t="shared" ref="V89" si="111">V88</f>
        <v>0.05</v>
      </c>
      <c r="W89" s="29">
        <f t="shared" ref="W89" si="112">W88</f>
        <v>1</v>
      </c>
      <c r="X89" s="48">
        <f>_xll.qlBondCleanPriceFromZSpread(G89,Y89,Z89,AA89,AB89,AC89,AD89,AE89)</f>
        <v>100.13400268554703</v>
      </c>
      <c r="Y89" s="31" t="str">
        <f t="shared" si="47"/>
        <v>USADF#0008</v>
      </c>
      <c r="Z89" s="29">
        <f t="shared" si="48"/>
        <v>-2.4469257971923324E-2</v>
      </c>
      <c r="AA89" s="29" t="str">
        <f t="shared" si="49"/>
        <v>30/360</v>
      </c>
      <c r="AB89" s="29" t="s">
        <v>49</v>
      </c>
      <c r="AC89" s="29" t="str">
        <f t="shared" si="50"/>
        <v>Quarterly</v>
      </c>
      <c r="AD89" s="30">
        <f t="shared" si="51"/>
        <v>44560</v>
      </c>
      <c r="AE89" s="29">
        <f t="shared" si="52"/>
        <v>1</v>
      </c>
    </row>
    <row r="90" spans="1:31" x14ac:dyDescent="0.25">
      <c r="A90" s="64">
        <f>VLOOKUP(FlotBondObj!C40,ScheduleObj!Q:AB,12,FALSE)</f>
        <v>101.3308792114258</v>
      </c>
      <c r="B90" s="98">
        <f>_xll.qlBondCleanPrice(G90,_xll.ohTrigger($A$1))</f>
        <v>100.79954447357657</v>
      </c>
      <c r="C90" s="100" t="b">
        <f>_xll.qlInstrumentSetPricingEngine(G90,F90,_xll.ohTrigger($A$1))</f>
        <v>1</v>
      </c>
      <c r="D90" s="32" t="s">
        <v>387</v>
      </c>
      <c r="E90" s="32" t="str">
        <f>VLOOKUP(MID(D90,1,FIND("(",D90)-1),'ql-USCorp'!$A$81:$B$110,2,FALSE)</f>
        <v>A</v>
      </c>
      <c r="F90" s="29" t="str">
        <f>VLOOKUP(E90,'ql-USCorp'!$A$72:$B$75,2,FALSE)</f>
        <v>USAEng#0008</v>
      </c>
      <c r="G90" s="31" t="str">
        <f>FlotBondObj!A40</f>
        <v>obj_001e0#0012</v>
      </c>
      <c r="H90" s="65">
        <f>FlotBondObj!G40</f>
        <v>3375000</v>
      </c>
      <c r="J90" s="29" t="s">
        <v>225</v>
      </c>
      <c r="K90" s="53">
        <f>_xll.qlBondBpsFromYield(G90,M90,P90,Q90,R90,AD90,AE90)*H90/100</f>
        <v>503.08082010939904</v>
      </c>
      <c r="L90" s="52">
        <f>_xll.qlBondDurationFromYield(G90,M90,P90,Q90,R90,"Modified",AD90,AE90)</f>
        <v>1.4396679360385296</v>
      </c>
      <c r="M90" s="51">
        <f>_xll.qlBondYieldFromCleanPrice(G90,A90,P90,Q90,R90,S90,T90,U90,V90,W90)</f>
        <v>7.5743916922435192E-3</v>
      </c>
      <c r="N90" s="101">
        <f>_xll.qlBondZSpreadFromCleanPrice(G90,A90,O90,P90,Q90,R90,S90,T90,U90,V90,W90)/0.01%</f>
        <v>-36.034343388522096</v>
      </c>
      <c r="O90" s="31" t="str">
        <f>VLOOKUP(E90,'ql-USCorp'!$A$72:$C$75,3,FALSE)</f>
        <v>USADF#0008</v>
      </c>
      <c r="P90" s="29" t="str">
        <f t="shared" si="53"/>
        <v>30/360</v>
      </c>
      <c r="Q90" s="29" t="str">
        <f t="shared" si="54"/>
        <v>Compounded</v>
      </c>
      <c r="R90" s="29" t="str">
        <f t="shared" si="55"/>
        <v>Quarterly</v>
      </c>
      <c r="S90" s="30">
        <f t="shared" si="56"/>
        <v>44560</v>
      </c>
      <c r="U90" s="29">
        <f t="shared" si="58"/>
        <v>100</v>
      </c>
      <c r="V90" s="29">
        <f t="shared" ref="V90" si="113">V88</f>
        <v>0.05</v>
      </c>
      <c r="W90" s="29">
        <f t="shared" si="80"/>
        <v>1</v>
      </c>
      <c r="X90" s="48">
        <f>_xll.qlBondCleanPriceFromZSpread(G90,Y90,Z90,AA90,AB90,AC90,AD90,AE90)</f>
        <v>101.33087921269991</v>
      </c>
      <c r="Y90" s="31" t="str">
        <f t="shared" si="47"/>
        <v>USADF#0008</v>
      </c>
      <c r="Z90" s="29">
        <f t="shared" si="48"/>
        <v>-3.6034343388522097E-3</v>
      </c>
      <c r="AA90" s="29" t="str">
        <f t="shared" si="49"/>
        <v>30/360</v>
      </c>
      <c r="AB90" s="29" t="s">
        <v>49</v>
      </c>
      <c r="AC90" s="29" t="str">
        <f t="shared" si="50"/>
        <v>Quarterly</v>
      </c>
      <c r="AD90" s="30">
        <f t="shared" si="51"/>
        <v>44560</v>
      </c>
      <c r="AE90" s="29">
        <f t="shared" si="52"/>
        <v>1</v>
      </c>
    </row>
    <row r="91" spans="1:31" x14ac:dyDescent="0.25">
      <c r="A91" s="64">
        <f>VLOOKUP(FlotBondObj!C41,ScheduleObj!Q:AB,12,FALSE)</f>
        <v>101.3460006713867</v>
      </c>
      <c r="B91" s="98" t="e">
        <f>_xll.qlBondCleanPrice(G91,_xll.ohTrigger($A$1))</f>
        <v>#NUM!</v>
      </c>
      <c r="C91" s="100" t="b">
        <f>_xll.qlInstrumentSetPricingEngine(G91,F91,_xll.ohTrigger($A$1))</f>
        <v>1</v>
      </c>
      <c r="D91" s="32" t="s">
        <v>121</v>
      </c>
      <c r="E91" s="32" t="str">
        <f>VLOOKUP(MID(D91,1,FIND("(",D91)-1),'ql-USCorp'!$A$81:$B$110,2,FALSE)</f>
        <v>AA</v>
      </c>
      <c r="F91" s="29" t="str">
        <f>VLOOKUP(E91,'ql-USCorp'!$A$72:$B$75,2,FALSE)</f>
        <v>USAAEng#0008</v>
      </c>
      <c r="G91" s="31" t="str">
        <f>FlotBondObj!A41</f>
        <v>obj_001e1#0012</v>
      </c>
      <c r="H91" s="65">
        <f>FlotBondObj!G41</f>
        <v>18000000</v>
      </c>
      <c r="J91" s="29" t="s">
        <v>225</v>
      </c>
      <c r="K91" s="53">
        <f>_xll.qlBondBpsFromYield(G91,M91,P91,Q91,R91,AD91,AE91)*H91/100</f>
        <v>3152.9123022297204</v>
      </c>
      <c r="L91" s="52">
        <f>_xll.qlBondDurationFromYield(G91,M91,P91,Q91,R91,"Modified",AD91,AE91)</f>
        <v>1.5505713025342014</v>
      </c>
      <c r="M91" s="51">
        <f>_xll.qlBondYieldFromCleanPrice(G91,A91,P91,Q91,R91,S91,T91,U91,V91,W91)</f>
        <v>-1.1468065260723192E-3</v>
      </c>
      <c r="N91" s="101">
        <f>_xll.qlBondZSpreadFromCleanPrice(G91,A91,O91,P91,Q91,R91,S91,T91,U91,V91,W91)/0.01%</f>
        <v>-95.938830390586645</v>
      </c>
      <c r="O91" s="31" t="str">
        <f>VLOOKUP(E91,'ql-USCorp'!$A$72:$C$75,3,FALSE)</f>
        <v>USAADF#0008</v>
      </c>
      <c r="P91" s="29" t="str">
        <f t="shared" si="53"/>
        <v>30/360</v>
      </c>
      <c r="Q91" s="29" t="str">
        <f t="shared" si="54"/>
        <v>Compounded</v>
      </c>
      <c r="R91" s="29" t="str">
        <f t="shared" si="55"/>
        <v>Quarterly</v>
      </c>
      <c r="S91" s="30">
        <f t="shared" si="56"/>
        <v>44560</v>
      </c>
      <c r="U91" s="29">
        <f t="shared" si="58"/>
        <v>100</v>
      </c>
      <c r="V91" s="29">
        <f t="shared" ref="V91" si="114">V90</f>
        <v>0.05</v>
      </c>
      <c r="W91" s="29">
        <f t="shared" ref="W91" si="115">W90</f>
        <v>1</v>
      </c>
      <c r="X91" s="48">
        <f>_xll.qlBondCleanPriceFromZSpread(G91,Y91,Z91,AA91,AB91,AC91,AD91,AE91)</f>
        <v>101.34600067172768</v>
      </c>
      <c r="Y91" s="31" t="str">
        <f t="shared" si="47"/>
        <v>USAADF#0008</v>
      </c>
      <c r="Z91" s="29">
        <f t="shared" si="48"/>
        <v>-9.5938830390586653E-3</v>
      </c>
      <c r="AA91" s="29" t="str">
        <f t="shared" si="49"/>
        <v>30/360</v>
      </c>
      <c r="AB91" s="29" t="s">
        <v>49</v>
      </c>
      <c r="AC91" s="29" t="str">
        <f t="shared" si="50"/>
        <v>Quarterly</v>
      </c>
      <c r="AD91" s="30">
        <f t="shared" si="51"/>
        <v>44560</v>
      </c>
      <c r="AE91" s="29">
        <f t="shared" si="52"/>
        <v>1</v>
      </c>
    </row>
    <row r="92" spans="1:31" x14ac:dyDescent="0.25">
      <c r="A92" s="64">
        <f>VLOOKUP(FlotBondObj!C42,ScheduleObj!Q:AB,12,FALSE)</f>
        <v>100.3369979858398</v>
      </c>
      <c r="B92" s="98" t="e">
        <f>_xll.qlBondCleanPrice(G92,_xll.ohTrigger($A$1))</f>
        <v>#NUM!</v>
      </c>
      <c r="C92" s="100" t="b">
        <f>_xll.qlInstrumentSetPricingEngine(G92,F92,_xll.ohTrigger($A$1))</f>
        <v>1</v>
      </c>
      <c r="D92" s="32" t="s">
        <v>393</v>
      </c>
      <c r="E92" s="32" t="str">
        <f>VLOOKUP(MID(D92,1,FIND("(",D92)-1),'ql-USCorp'!$A$81:$B$110,2,FALSE)</f>
        <v>AA</v>
      </c>
      <c r="F92" s="29" t="str">
        <f>VLOOKUP(E92,'ql-USCorp'!$A$72:$B$75,2,FALSE)</f>
        <v>USAAEng#0008</v>
      </c>
      <c r="G92" s="31" t="str">
        <f>FlotBondObj!A42</f>
        <v>obj_001e2#0012</v>
      </c>
      <c r="H92" s="65">
        <f>FlotBondObj!G42</f>
        <v>4000000</v>
      </c>
      <c r="J92" s="29" t="s">
        <v>225</v>
      </c>
      <c r="K92" s="53">
        <f>_xll.qlBondBpsFromYield(G92,M92,P92,Q92,R92,AD92,AE92)*H92/100</f>
        <v>199.7960193523906</v>
      </c>
      <c r="L92" s="52">
        <f>_xll.qlBondDurationFromYield(G92,M92,P92,Q92,R92,"Modified",AD92,AE92)</f>
        <v>0.46018241331740867</v>
      </c>
      <c r="M92" s="51">
        <f>_xll.qlBondYieldFromCleanPrice(G92,A92,P92,Q92,R92,S92,T92,U92,V92,W92)</f>
        <v>3.0373381844535506E-3</v>
      </c>
      <c r="N92" s="101">
        <f>_xll.qlBondZSpreadFromCleanPrice(G92,A92,O92,P92,Q92,R92,S92,T92,U92,V92,W92)/0.01%</f>
        <v>-20.814136200740414</v>
      </c>
      <c r="O92" s="31" t="str">
        <f>VLOOKUP(E92,'ql-USCorp'!$A$72:$C$75,3,FALSE)</f>
        <v>USAADF#0008</v>
      </c>
      <c r="P92" s="29" t="str">
        <f t="shared" si="53"/>
        <v>30/360</v>
      </c>
      <c r="Q92" s="29" t="str">
        <f t="shared" si="54"/>
        <v>Compounded</v>
      </c>
      <c r="R92" s="29" t="str">
        <f t="shared" si="55"/>
        <v>Quarterly</v>
      </c>
      <c r="S92" s="30">
        <f t="shared" si="56"/>
        <v>44560</v>
      </c>
      <c r="U92" s="29">
        <f t="shared" si="58"/>
        <v>100</v>
      </c>
      <c r="V92" s="29">
        <f t="shared" ref="V92" si="116">V90</f>
        <v>0.05</v>
      </c>
      <c r="W92" s="29">
        <f t="shared" si="80"/>
        <v>1</v>
      </c>
      <c r="X92" s="48">
        <f>_xll.qlBondCleanPriceFromZSpread(G92,Y92,Z92,AA92,AB92,AC92,AD92,AE92)</f>
        <v>100.33699798584558</v>
      </c>
      <c r="Y92" s="31" t="str">
        <f t="shared" si="47"/>
        <v>USAADF#0008</v>
      </c>
      <c r="Z92" s="29">
        <f t="shared" si="48"/>
        <v>-2.0814136200740414E-3</v>
      </c>
      <c r="AA92" s="29" t="str">
        <f t="shared" si="49"/>
        <v>30/360</v>
      </c>
      <c r="AB92" s="29" t="s">
        <v>49</v>
      </c>
      <c r="AC92" s="29" t="str">
        <f t="shared" si="50"/>
        <v>Quarterly</v>
      </c>
      <c r="AD92" s="30">
        <f t="shared" si="51"/>
        <v>44560</v>
      </c>
      <c r="AE92" s="29">
        <f t="shared" si="52"/>
        <v>1</v>
      </c>
    </row>
    <row r="93" spans="1:31" x14ac:dyDescent="0.25">
      <c r="A93" s="64">
        <f>VLOOKUP(FlotBondObj!C43,ScheduleObj!Q:AB,12,FALSE)</f>
        <v>100.4560012817383</v>
      </c>
      <c r="B93" s="98" t="e">
        <f>_xll.qlBondCleanPrice(G93,_xll.ohTrigger($A$1))</f>
        <v>#NUM!</v>
      </c>
      <c r="C93" s="100" t="b">
        <f>_xll.qlInstrumentSetPricingEngine(G93,F93,_xll.ohTrigger($A$1))</f>
        <v>1</v>
      </c>
      <c r="D93" s="32" t="s">
        <v>121</v>
      </c>
      <c r="E93" s="32" t="str">
        <f>VLOOKUP(MID(D93,1,FIND("(",D93)-1),'ql-USCorp'!$A$81:$B$110,2,FALSE)</f>
        <v>AA</v>
      </c>
      <c r="F93" s="29" t="str">
        <f>VLOOKUP(E93,'ql-USCorp'!$A$72:$B$75,2,FALSE)</f>
        <v>USAAEng#0008</v>
      </c>
      <c r="G93" s="31" t="str">
        <f>FlotBondObj!A43</f>
        <v>obj_001e3#0012</v>
      </c>
      <c r="H93" s="65">
        <f>FlotBondObj!G43</f>
        <v>1000000</v>
      </c>
      <c r="J93" s="29" t="s">
        <v>225</v>
      </c>
      <c r="K93" s="53">
        <f>_xll.qlBondBpsFromYield(G93,M93,P93,Q93,R93,AD93,AE93)*H93/100</f>
        <v>74.546052218797485</v>
      </c>
      <c r="L93" s="52">
        <f>_xll.qlBondDurationFromYield(G93,M93,P93,Q93,R93,"Modified",AD93,AE93)</f>
        <v>0.71669370394398724</v>
      </c>
      <c r="M93" s="51">
        <f>_xll.qlBondYieldFromCleanPrice(G93,A93,P93,Q93,R93,S93,T93,U93,V93,W93)</f>
        <v>5.0220636987313647E-3</v>
      </c>
      <c r="N93" s="101">
        <f>_xll.qlBondZSpreadFromCleanPrice(G93,A93,O93,P93,Q93,R93,S93,T93,U93,V93,W93)/0.01%</f>
        <v>-6.8247690413472268</v>
      </c>
      <c r="O93" s="31" t="str">
        <f>VLOOKUP(E93,'ql-USCorp'!$A$72:$C$75,3,FALSE)</f>
        <v>USAADF#0008</v>
      </c>
      <c r="P93" s="29" t="str">
        <f t="shared" si="53"/>
        <v>30/360</v>
      </c>
      <c r="Q93" s="29" t="str">
        <f t="shared" si="54"/>
        <v>Compounded</v>
      </c>
      <c r="R93" s="29" t="str">
        <f t="shared" si="55"/>
        <v>Quarterly</v>
      </c>
      <c r="S93" s="30">
        <f t="shared" si="56"/>
        <v>44560</v>
      </c>
      <c r="U93" s="29">
        <f t="shared" si="58"/>
        <v>100</v>
      </c>
      <c r="V93" s="29">
        <f t="shared" ref="V93" si="117">V92</f>
        <v>0.05</v>
      </c>
      <c r="W93" s="29">
        <f t="shared" ref="W93" si="118">W92</f>
        <v>1</v>
      </c>
      <c r="X93" s="48">
        <f>_xll.qlBondCleanPriceFromZSpread(G93,Y93,Z93,AA93,AB93,AC93,AD93,AE93)</f>
        <v>100.45600128168273</v>
      </c>
      <c r="Y93" s="31" t="str">
        <f t="shared" si="47"/>
        <v>USAADF#0008</v>
      </c>
      <c r="Z93" s="29">
        <f t="shared" si="48"/>
        <v>-6.8247690413472271E-4</v>
      </c>
      <c r="AA93" s="29" t="str">
        <f t="shared" si="49"/>
        <v>30/360</v>
      </c>
      <c r="AB93" s="29" t="s">
        <v>49</v>
      </c>
      <c r="AC93" s="29" t="str">
        <f t="shared" si="50"/>
        <v>Quarterly</v>
      </c>
      <c r="AD93" s="30">
        <f t="shared" si="51"/>
        <v>44560</v>
      </c>
      <c r="AE93" s="29">
        <f t="shared" si="52"/>
        <v>1</v>
      </c>
    </row>
    <row r="94" spans="1:31" x14ac:dyDescent="0.25">
      <c r="A94" s="64">
        <f>VLOOKUP(FlotBondObj!C44,ScheduleObj!Q:AB,12,FALSE)</f>
        <v>100.3460006713867</v>
      </c>
      <c r="B94" s="98">
        <f>_xll.qlBondCleanPrice(G94,_xll.ohTrigger($A$1))</f>
        <v>100.08799065743183</v>
      </c>
      <c r="C94" s="100" t="b">
        <f>_xll.qlInstrumentSetPricingEngine(G94,F94,_xll.ohTrigger($A$1))</f>
        <v>1</v>
      </c>
      <c r="D94" s="32" t="s">
        <v>394</v>
      </c>
      <c r="E94" s="32" t="str">
        <f>VLOOKUP(MID(D94,1,FIND("(",D94)-1),'ql-USCorp'!$A$81:$B$110,2,FALSE)</f>
        <v>A</v>
      </c>
      <c r="F94" s="29" t="str">
        <f>VLOOKUP(E94,'ql-USCorp'!$A$72:$B$75,2,FALSE)</f>
        <v>USAEng#0008</v>
      </c>
      <c r="G94" s="31" t="str">
        <f>FlotBondObj!A44</f>
        <v>obj_001e4#0012</v>
      </c>
      <c r="H94" s="65">
        <f>FlotBondObj!G44</f>
        <v>10000000</v>
      </c>
      <c r="J94" s="29" t="s">
        <v>225</v>
      </c>
      <c r="K94" s="53">
        <f>_xll.qlBondBpsFromYield(G94,M94,P94,Q94,R94,AD94,AE94)*H94/100</f>
        <v>1239.9319737101787</v>
      </c>
      <c r="L94" s="52">
        <f>_xll.qlBondDurationFromYield(G94,M94,P94,Q94,R94,"Modified",AD94,AE94)</f>
        <v>1.0212640733582319</v>
      </c>
      <c r="M94" s="51">
        <f>_xll.qlBondYieldFromCleanPrice(G94,A94,P94,Q94,R94,S94,T94,U94,V94,W94)</f>
        <v>6.8652996578440085E-3</v>
      </c>
      <c r="N94" s="101">
        <f>_xll.qlBondZSpreadFromCleanPrice(G94,A94,O94,P94,Q94,R94,S94,T94,U94,V94,W94)/0.01%</f>
        <v>-24.782002901339755</v>
      </c>
      <c r="O94" s="31" t="str">
        <f>VLOOKUP(E94,'ql-USCorp'!$A$72:$C$75,3,FALSE)</f>
        <v>USADF#0008</v>
      </c>
      <c r="P94" s="29" t="str">
        <f t="shared" si="53"/>
        <v>30/360</v>
      </c>
      <c r="Q94" s="29" t="str">
        <f t="shared" si="54"/>
        <v>Compounded</v>
      </c>
      <c r="R94" s="29" t="str">
        <f t="shared" si="55"/>
        <v>Quarterly</v>
      </c>
      <c r="S94" s="30">
        <f t="shared" si="56"/>
        <v>44560</v>
      </c>
      <c r="U94" s="29">
        <f t="shared" si="58"/>
        <v>100</v>
      </c>
      <c r="V94" s="29">
        <f t="shared" ref="V94" si="119">V92</f>
        <v>0.05</v>
      </c>
      <c r="W94" s="29">
        <f t="shared" si="80"/>
        <v>1</v>
      </c>
      <c r="X94" s="48">
        <f>_xll.qlBondCleanPriceFromZSpread(G94,Y94,Z94,AA94,AB94,AC94,AD94,AE94)</f>
        <v>100.346000671642</v>
      </c>
      <c r="Y94" s="31" t="str">
        <f t="shared" si="47"/>
        <v>USADF#0008</v>
      </c>
      <c r="Z94" s="29">
        <f t="shared" si="48"/>
        <v>-2.4782002901339757E-3</v>
      </c>
      <c r="AA94" s="29" t="str">
        <f t="shared" si="49"/>
        <v>30/360</v>
      </c>
      <c r="AB94" s="29" t="s">
        <v>49</v>
      </c>
      <c r="AC94" s="29" t="str">
        <f t="shared" si="50"/>
        <v>Quarterly</v>
      </c>
      <c r="AD94" s="30">
        <f t="shared" si="51"/>
        <v>44560</v>
      </c>
      <c r="AE94" s="29">
        <f t="shared" si="52"/>
        <v>1</v>
      </c>
    </row>
    <row r="95" spans="1:31" x14ac:dyDescent="0.25">
      <c r="A95" s="64">
        <f>VLOOKUP(FlotBondObj!C45,ScheduleObj!Q:AB,12,FALSE)</f>
        <v>100.84100341796881</v>
      </c>
      <c r="B95" s="98">
        <f>_xll.qlBondCleanPrice(G95,_xll.ohTrigger($A$1))</f>
        <v>100.50331665750087</v>
      </c>
      <c r="C95" s="100" t="b">
        <f>_xll.qlInstrumentSetPricingEngine(G95,F95,_xll.ohTrigger($A$1))</f>
        <v>1</v>
      </c>
      <c r="D95" s="32" t="s">
        <v>393</v>
      </c>
      <c r="E95" s="32" t="str">
        <f>VLOOKUP(MID(D95,1,FIND("(",D95)-1),'ql-USCorp'!$A$81:$B$110,2,FALSE)</f>
        <v>AA</v>
      </c>
      <c r="F95" s="29" t="str">
        <f>VLOOKUP(E95,'ql-USCorp'!$A$72:$B$75,2,FALSE)</f>
        <v>USAAEng#0008</v>
      </c>
      <c r="G95" s="31" t="str">
        <f>FlotBondObj!A45</f>
        <v>obj_001e5#0012</v>
      </c>
      <c r="H95" s="65">
        <f>FlotBondObj!G45</f>
        <v>2000000</v>
      </c>
      <c r="J95" s="29" t="s">
        <v>225</v>
      </c>
      <c r="K95" s="53">
        <f>_xll.qlBondBpsFromYield(G95,M95,P95,Q95,R95,AD95,AE95)*H95/100</f>
        <v>298.63330782275921</v>
      </c>
      <c r="L95" s="52">
        <f>_xll.qlBondDurationFromYield(G95,M95,P95,Q95,R95,"Modified",AD95,AE95)</f>
        <v>1.408992259617559</v>
      </c>
      <c r="M95" s="51">
        <f>_xll.qlBondYieldFromCleanPrice(G95,A95,P95,Q95,R95,S95,T95,U95,V95,W95)</f>
        <v>5.7554059689864552E-3</v>
      </c>
      <c r="N95" s="101">
        <f>_xll.qlBondZSpreadFromCleanPrice(G95,A95,O95,P95,Q95,R95,S95,T95,U95,V95,W95)/0.01%</f>
        <v>-23.479406877788872</v>
      </c>
      <c r="O95" s="31" t="str">
        <f>VLOOKUP(E95,'ql-USCorp'!$A$72:$C$75,3,FALSE)</f>
        <v>USAADF#0008</v>
      </c>
      <c r="P95" s="29" t="str">
        <f t="shared" si="53"/>
        <v>30/360</v>
      </c>
      <c r="Q95" s="29" t="str">
        <f t="shared" si="54"/>
        <v>Compounded</v>
      </c>
      <c r="R95" s="29" t="str">
        <f t="shared" si="55"/>
        <v>Quarterly</v>
      </c>
      <c r="S95" s="30">
        <f t="shared" si="56"/>
        <v>44560</v>
      </c>
      <c r="U95" s="29">
        <f t="shared" si="58"/>
        <v>100</v>
      </c>
      <c r="V95" s="29">
        <f t="shared" ref="V95" si="120">V94</f>
        <v>0.05</v>
      </c>
      <c r="W95" s="29">
        <f t="shared" ref="W95" si="121">W94</f>
        <v>1</v>
      </c>
      <c r="X95" s="48">
        <f>_xll.qlBondCleanPriceFromZSpread(G95,Y95,Z95,AA95,AB95,AC95,AD95,AE95)</f>
        <v>100.84100341935668</v>
      </c>
      <c r="Y95" s="31" t="str">
        <f t="shared" si="47"/>
        <v>USAADF#0008</v>
      </c>
      <c r="Z95" s="29">
        <f t="shared" si="48"/>
        <v>-2.3479406877788874E-3</v>
      </c>
      <c r="AA95" s="29" t="str">
        <f t="shared" si="49"/>
        <v>30/360</v>
      </c>
      <c r="AB95" s="29" t="s">
        <v>49</v>
      </c>
      <c r="AC95" s="29" t="str">
        <f t="shared" si="50"/>
        <v>Quarterly</v>
      </c>
      <c r="AD95" s="30">
        <f t="shared" si="51"/>
        <v>44560</v>
      </c>
      <c r="AE95" s="29">
        <f t="shared" si="52"/>
        <v>1</v>
      </c>
    </row>
    <row r="96" spans="1:31" x14ac:dyDescent="0.25">
      <c r="A96" s="64">
        <f>VLOOKUP(FlotBondObj!C46,ScheduleObj!Q:AB,12,FALSE)</f>
        <v>100.1999969482422</v>
      </c>
      <c r="B96" s="98">
        <f>_xll.qlBondCleanPrice(G96,_xll.ohTrigger($A$1))</f>
        <v>100.2890670515829</v>
      </c>
      <c r="C96" s="100" t="b">
        <f>_xll.qlInstrumentSetPricingEngine(G96,F96,_xll.ohTrigger($A$1))</f>
        <v>1</v>
      </c>
      <c r="D96" s="32" t="s">
        <v>393</v>
      </c>
      <c r="E96" s="32" t="str">
        <f>VLOOKUP(MID(D96,1,FIND("(",D96)-1),'ql-USCorp'!$A$81:$B$110,2,FALSE)</f>
        <v>AA</v>
      </c>
      <c r="F96" s="29" t="str">
        <f>VLOOKUP(E96,'ql-USCorp'!$A$72:$B$75,2,FALSE)</f>
        <v>USAAEng#0008</v>
      </c>
      <c r="G96" s="31" t="str">
        <f>FlotBondObj!A46</f>
        <v>obj_001e6#0012</v>
      </c>
      <c r="H96" s="65">
        <f>FlotBondObj!G46</f>
        <v>5000000</v>
      </c>
      <c r="J96" s="29" t="s">
        <v>225</v>
      </c>
      <c r="K96" s="53">
        <f>_xll.qlBondBpsFromYield(G96,M96,P96,Q96,R96,AD96,AE96)*H96/100</f>
        <v>249.3606659953314</v>
      </c>
      <c r="L96" s="52">
        <f>_xll.qlBondDurationFromYield(G96,M96,P96,Q96,R96,"Modified",AD96,AE96)</f>
        <v>0.49019102125470287</v>
      </c>
      <c r="M96" s="51">
        <f>_xll.qlBondYieldFromCleanPrice(G96,A96,P96,Q96,R96,S96,T96,U96,V96,W96)</f>
        <v>6.9894952794536964E-3</v>
      </c>
      <c r="N96" s="101">
        <f>_xll.qlBondZSpreadFromCleanPrice(G96,A96,O96,P96,Q96,R96,S96,T96,U96,V96,W96)/0.01%</f>
        <v>17.918031129625085</v>
      </c>
      <c r="O96" s="31" t="str">
        <f>VLOOKUP(E96,'ql-USCorp'!$A$72:$C$75,3,FALSE)</f>
        <v>USAADF#0008</v>
      </c>
      <c r="P96" s="29" t="str">
        <f t="shared" si="53"/>
        <v>30/360</v>
      </c>
      <c r="Q96" s="29" t="str">
        <f t="shared" si="54"/>
        <v>Compounded</v>
      </c>
      <c r="R96" s="29" t="str">
        <f t="shared" si="55"/>
        <v>Quarterly</v>
      </c>
      <c r="S96" s="30">
        <f t="shared" si="56"/>
        <v>44560</v>
      </c>
      <c r="U96" s="29">
        <f t="shared" si="58"/>
        <v>100</v>
      </c>
      <c r="V96" s="29">
        <f t="shared" ref="V96" si="122">V94</f>
        <v>0.05</v>
      </c>
      <c r="W96" s="29">
        <f t="shared" si="80"/>
        <v>1</v>
      </c>
      <c r="X96" s="48">
        <f>_xll.qlBondCleanPriceFromZSpread(G96,Y96,Z96,AA96,AB96,AC96,AD96,AE96)</f>
        <v>100.19999694823355</v>
      </c>
      <c r="Y96" s="31" t="str">
        <f t="shared" si="47"/>
        <v>USAADF#0008</v>
      </c>
      <c r="Z96" s="29">
        <f t="shared" si="48"/>
        <v>1.7918031129625085E-3</v>
      </c>
      <c r="AA96" s="29" t="str">
        <f t="shared" si="49"/>
        <v>30/360</v>
      </c>
      <c r="AB96" s="29" t="s">
        <v>49</v>
      </c>
      <c r="AC96" s="29" t="str">
        <f t="shared" si="50"/>
        <v>Quarterly</v>
      </c>
      <c r="AD96" s="30">
        <f t="shared" si="51"/>
        <v>44560</v>
      </c>
      <c r="AE96" s="29">
        <f t="shared" si="52"/>
        <v>1</v>
      </c>
    </row>
    <row r="97" spans="1:31" x14ac:dyDescent="0.25">
      <c r="A97" s="64">
        <f>VLOOKUP(FlotBondObj!C47,ScheduleObj!Q:AB,12,FALSE)</f>
        <v>100.11000061035161</v>
      </c>
      <c r="B97" s="98">
        <f>_xll.qlBondCleanPrice(G97,_xll.ohTrigger($A$1))</f>
        <v>100.00400163508634</v>
      </c>
      <c r="C97" s="100" t="b">
        <f>_xll.qlInstrumentSetPricingEngine(G97,F97,_xll.ohTrigger($A$1))</f>
        <v>1</v>
      </c>
      <c r="D97" s="32" t="s">
        <v>121</v>
      </c>
      <c r="E97" s="32" t="str">
        <f>VLOOKUP(MID(D97,1,FIND("(",D97)-1),'ql-USCorp'!$A$81:$B$110,2,FALSE)</f>
        <v>AA</v>
      </c>
      <c r="F97" s="29" t="str">
        <f>VLOOKUP(E97,'ql-USCorp'!$A$72:$B$75,2,FALSE)</f>
        <v>USAAEng#0008</v>
      </c>
      <c r="G97" s="31" t="str">
        <f>FlotBondObj!A47</f>
        <v>obj_001e7#0012</v>
      </c>
      <c r="H97" s="65">
        <f>FlotBondObj!G47</f>
        <v>15000000</v>
      </c>
      <c r="J97" s="29" t="s">
        <v>225</v>
      </c>
      <c r="K97" s="53">
        <f>_xll.qlBondBpsFromYield(G97,M97,P97,Q97,R97,AD97,AE97)*H97/100</f>
        <v>367.00366044325654</v>
      </c>
      <c r="L97" s="52">
        <f>_xll.qlBondDurationFromYield(G97,M97,P97,Q97,R97,"Modified",AD97,AE97)</f>
        <v>2.8008392772673505E-2</v>
      </c>
      <c r="M97" s="51">
        <f>_xll.qlBondYieldFromCleanPrice(G97,A97,P97,Q97,R97,S97,T97,U97,V97,W97)</f>
        <v>-3.2935127233825606E-2</v>
      </c>
      <c r="N97" s="101">
        <f>_xll.qlBondZSpreadFromCleanPrice(G97,A97,O97,P97,Q97,R97,S97,T97,U97,V97,W97)/0.01%</f>
        <v>-345.12264262688268</v>
      </c>
      <c r="O97" s="31" t="str">
        <f>VLOOKUP(E97,'ql-USCorp'!$A$72:$C$75,3,FALSE)</f>
        <v>USAADF#0008</v>
      </c>
      <c r="P97" s="29" t="str">
        <f t="shared" si="53"/>
        <v>30/360</v>
      </c>
      <c r="Q97" s="29" t="str">
        <f t="shared" si="54"/>
        <v>Compounded</v>
      </c>
      <c r="R97" s="29" t="str">
        <f t="shared" si="55"/>
        <v>Quarterly</v>
      </c>
      <c r="S97" s="30">
        <f t="shared" si="56"/>
        <v>44560</v>
      </c>
      <c r="U97" s="29">
        <f t="shared" si="58"/>
        <v>100</v>
      </c>
      <c r="V97" s="29">
        <f t="shared" ref="V97" si="123">V96</f>
        <v>0.05</v>
      </c>
      <c r="W97" s="29">
        <f t="shared" ref="W97" si="124">W96</f>
        <v>1</v>
      </c>
      <c r="X97" s="48">
        <f>_xll.qlBondCleanPriceFromZSpread(G97,Y97,Z97,AA97,AB97,AC97,AD97,AE97)</f>
        <v>100.11000061035161</v>
      </c>
      <c r="Y97" s="31" t="str">
        <f t="shared" si="47"/>
        <v>USAADF#0008</v>
      </c>
      <c r="Z97" s="29">
        <f t="shared" si="48"/>
        <v>-3.4512264262688268E-2</v>
      </c>
      <c r="AA97" s="29" t="str">
        <f t="shared" si="49"/>
        <v>30/360</v>
      </c>
      <c r="AB97" s="29" t="s">
        <v>49</v>
      </c>
      <c r="AC97" s="29" t="str">
        <f t="shared" si="50"/>
        <v>Quarterly</v>
      </c>
      <c r="AD97" s="30">
        <f t="shared" si="51"/>
        <v>44560</v>
      </c>
      <c r="AE97" s="29">
        <f t="shared" si="52"/>
        <v>1</v>
      </c>
    </row>
    <row r="98" spans="1:31" x14ac:dyDescent="0.25">
      <c r="A98" s="64">
        <f>VLOOKUP(FlotBondObj!C48,ScheduleObj!Q:AB,12,FALSE)</f>
        <v>104.1839981079102</v>
      </c>
      <c r="B98" s="98">
        <f>_xll.qlBondCleanPrice(G98,_xll.ohTrigger($A$1))</f>
        <v>101.40870527358496</v>
      </c>
      <c r="C98" s="100" t="b">
        <f>_xll.qlInstrumentSetPricingEngine(G98,F98,_xll.ohTrigger($A$1))</f>
        <v>1</v>
      </c>
      <c r="D98" s="32" t="s">
        <v>394</v>
      </c>
      <c r="E98" s="32" t="str">
        <f>VLOOKUP(MID(D98,1,FIND("(",D98)-1),'ql-USCorp'!$A$81:$B$110,2,FALSE)</f>
        <v>A</v>
      </c>
      <c r="F98" s="29" t="str">
        <f>VLOOKUP(E98,'ql-USCorp'!$A$72:$B$75,2,FALSE)</f>
        <v>USAEng#0008</v>
      </c>
      <c r="G98" s="31" t="str">
        <f>FlotBondObj!A48</f>
        <v>obj_001e8#0012</v>
      </c>
      <c r="H98" s="65">
        <f>FlotBondObj!G48</f>
        <v>10000000</v>
      </c>
      <c r="J98" s="29" t="s">
        <v>225</v>
      </c>
      <c r="K98" s="53">
        <f>_xll.qlBondBpsFromYield(G98,M98,P98,Q98,R98,AD98,AE98)*H98/100</f>
        <v>3450.2385122560863</v>
      </c>
      <c r="L98" s="52">
        <f>_xll.qlBondDurationFromYield(G98,M98,P98,Q98,R98,"Modified",AD98,AE98)</f>
        <v>3.2174632531152412</v>
      </c>
      <c r="M98" s="51">
        <f>_xll.qlBondYieldFromCleanPrice(G98,A98,P98,Q98,R98,S98,T98,U98,V98,W98)</f>
        <v>8.0165802107378878E-3</v>
      </c>
      <c r="N98" s="101">
        <f>_xll.qlBondZSpreadFromCleanPrice(G98,A98,O98,P98,Q98,R98,S98,T98,U98,V98,W98)/0.01%</f>
        <v>-82.706034442169937</v>
      </c>
      <c r="O98" s="31" t="str">
        <f>VLOOKUP(E98,'ql-USCorp'!$A$72:$C$75,3,FALSE)</f>
        <v>USADF#0008</v>
      </c>
      <c r="P98" s="29" t="str">
        <f t="shared" si="53"/>
        <v>30/360</v>
      </c>
      <c r="Q98" s="29" t="str">
        <f t="shared" si="54"/>
        <v>Compounded</v>
      </c>
      <c r="R98" s="29" t="str">
        <f t="shared" si="55"/>
        <v>Quarterly</v>
      </c>
      <c r="S98" s="30">
        <f t="shared" si="56"/>
        <v>44560</v>
      </c>
      <c r="U98" s="29">
        <f t="shared" si="58"/>
        <v>100</v>
      </c>
      <c r="V98" s="29">
        <f t="shared" ref="V98" si="125">V96</f>
        <v>0.05</v>
      </c>
      <c r="W98" s="29">
        <f t="shared" si="80"/>
        <v>1</v>
      </c>
      <c r="X98" s="48">
        <f>_xll.qlBondCleanPriceFromZSpread(G98,Y98,Z98,AA98,AB98,AC98,AD98,AE98)</f>
        <v>104.18399810790957</v>
      </c>
      <c r="Y98" s="31" t="str">
        <f t="shared" si="47"/>
        <v>USADF#0008</v>
      </c>
      <c r="Z98" s="29">
        <f t="shared" si="48"/>
        <v>-8.2706034442169944E-3</v>
      </c>
      <c r="AA98" s="29" t="str">
        <f t="shared" si="49"/>
        <v>30/360</v>
      </c>
      <c r="AB98" s="29" t="s">
        <v>49</v>
      </c>
      <c r="AC98" s="29" t="str">
        <f t="shared" si="50"/>
        <v>Quarterly</v>
      </c>
      <c r="AD98" s="30">
        <f t="shared" si="51"/>
        <v>44560</v>
      </c>
      <c r="AE98" s="29">
        <f t="shared" si="52"/>
        <v>1</v>
      </c>
    </row>
    <row r="99" spans="1:31" x14ac:dyDescent="0.25">
      <c r="A99" s="64">
        <f>VLOOKUP(FlotBondObj!C49,ScheduleObj!Q:AB,12,FALSE)</f>
        <v>100.34300231933589</v>
      </c>
      <c r="B99" s="98" t="e">
        <f>_xll.qlBondCleanPrice(G99,_xll.ohTrigger($A$1))</f>
        <v>#NUM!</v>
      </c>
      <c r="C99" s="100" t="b">
        <f>_xll.qlInstrumentSetPricingEngine(G99,F99,_xll.ohTrigger($A$1))</f>
        <v>1</v>
      </c>
      <c r="D99" s="32" t="s">
        <v>394</v>
      </c>
      <c r="E99" s="32" t="str">
        <f>VLOOKUP(MID(D99,1,FIND("(",D99)-1),'ql-USCorp'!$A$81:$B$110,2,FALSE)</f>
        <v>A</v>
      </c>
      <c r="F99" s="29" t="str">
        <f>VLOOKUP(E99,'ql-USCorp'!$A$72:$B$75,2,FALSE)</f>
        <v>USAEng#0008</v>
      </c>
      <c r="G99" s="31" t="str">
        <f>FlotBondObj!A49</f>
        <v>obj_001e9#0012</v>
      </c>
      <c r="H99" s="65">
        <f>FlotBondObj!G49</f>
        <v>20000000</v>
      </c>
      <c r="J99" s="29" t="s">
        <v>225</v>
      </c>
      <c r="K99" s="53">
        <f>_xll.qlBondBpsFromYield(G99,M99,P99,Q99,R99,AD99,AE99)*H99/100</f>
        <v>998.49967191878193</v>
      </c>
      <c r="L99" s="52">
        <f>_xll.qlBondDurationFromYield(G99,M99,P99,Q99,R99,"Modified",AD99,AE99)</f>
        <v>0.44043015145202918</v>
      </c>
      <c r="M99" s="51">
        <f>_xll.qlBondYieldFromCleanPrice(G99,A99,P99,Q99,R99,S99,T99,U99,V99,W99)</f>
        <v>4.74480258148164E-3</v>
      </c>
      <c r="N99" s="101">
        <f>_xll.qlBondZSpreadFromCleanPrice(G99,A99,O99,P99,Q99,R99,S99,T99,U99,V99,W99)/0.01%</f>
        <v>-45.411202110297118</v>
      </c>
      <c r="O99" s="31" t="str">
        <f>VLOOKUP(E99,'ql-USCorp'!$A$72:$C$75,3,FALSE)</f>
        <v>USADF#0008</v>
      </c>
      <c r="P99" s="29" t="str">
        <f t="shared" si="53"/>
        <v>30/360</v>
      </c>
      <c r="Q99" s="29" t="str">
        <f t="shared" si="54"/>
        <v>Compounded</v>
      </c>
      <c r="R99" s="29" t="str">
        <f t="shared" si="55"/>
        <v>Quarterly</v>
      </c>
      <c r="S99" s="30">
        <f t="shared" si="56"/>
        <v>44560</v>
      </c>
      <c r="U99" s="29">
        <f t="shared" si="58"/>
        <v>100</v>
      </c>
      <c r="V99" s="29">
        <f t="shared" ref="V99" si="126">V98</f>
        <v>0.05</v>
      </c>
      <c r="W99" s="29">
        <f t="shared" ref="W99" si="127">W98</f>
        <v>1</v>
      </c>
      <c r="X99" s="48">
        <f>_xll.qlBondCleanPriceFromZSpread(G99,Y99,Z99,AA99,AB99,AC99,AD99,AE99)</f>
        <v>100.34300231933902</v>
      </c>
      <c r="Y99" s="31" t="str">
        <f t="shared" si="47"/>
        <v>USADF#0008</v>
      </c>
      <c r="Z99" s="29">
        <f t="shared" si="48"/>
        <v>-4.541120211029712E-3</v>
      </c>
      <c r="AA99" s="29" t="str">
        <f t="shared" si="49"/>
        <v>30/360</v>
      </c>
      <c r="AB99" s="29" t="s">
        <v>49</v>
      </c>
      <c r="AC99" s="29" t="str">
        <f t="shared" si="50"/>
        <v>Quarterly</v>
      </c>
      <c r="AD99" s="30">
        <f t="shared" si="51"/>
        <v>44560</v>
      </c>
      <c r="AE99" s="29">
        <f t="shared" si="52"/>
        <v>1</v>
      </c>
    </row>
    <row r="100" spans="1:31" x14ac:dyDescent="0.25">
      <c r="A100" s="64">
        <f>VLOOKUP(FlotBondObj!C50,ScheduleObj!Q:AB,12,FALSE)</f>
        <v>100.379997253418</v>
      </c>
      <c r="B100" s="98" t="e">
        <f>_xll.qlBondCleanPrice(G100,_xll.ohTrigger($A$1))</f>
        <v>#NUM!</v>
      </c>
      <c r="C100" s="100" t="b">
        <f>_xll.qlInstrumentSetPricingEngine(G100,F100,_xll.ohTrigger($A$1))</f>
        <v>1</v>
      </c>
      <c r="D100" s="32" t="s">
        <v>393</v>
      </c>
      <c r="E100" s="32" t="str">
        <f>VLOOKUP(MID(D100,1,FIND("(",D100)-1),'ql-USCorp'!$A$81:$B$110,2,FALSE)</f>
        <v>AA</v>
      </c>
      <c r="F100" s="29" t="str">
        <f>VLOOKUP(E100,'ql-USCorp'!$A$72:$B$75,2,FALSE)</f>
        <v>USAAEng#0008</v>
      </c>
      <c r="G100" s="31" t="str">
        <f>FlotBondObj!A50</f>
        <v>obj_001ea#0012</v>
      </c>
      <c r="H100" s="65">
        <f>FlotBondObj!G50</f>
        <v>10000000</v>
      </c>
      <c r="J100" s="29" t="s">
        <v>225</v>
      </c>
      <c r="K100" s="53">
        <f>_xll.qlBondBpsFromYield(G100,M100,P100,Q100,R100,AD100,AE100)*H100/100</f>
        <v>749.17072559519568</v>
      </c>
      <c r="L100" s="52">
        <f>_xll.qlBondDurationFromYield(G100,M100,P100,Q100,R100,"Modified",AD100,AE100)</f>
        <v>0.51152773868902057</v>
      </c>
      <c r="M100" s="51">
        <f>_xll.qlBondYieldFromCleanPrice(G100,A100,P100,Q100,R100,S100,T100,U100,V100,W100)</f>
        <v>4.1959238614514508E-3</v>
      </c>
      <c r="N100" s="101">
        <f>_xll.qlBondZSpreadFromCleanPrice(G100,A100,O100,P100,Q100,R100,S100,T100,U100,V100,W100)/0.01%</f>
        <v>-10.212710491040484</v>
      </c>
      <c r="O100" s="31" t="str">
        <f>VLOOKUP(E100,'ql-USCorp'!$A$72:$C$75,3,FALSE)</f>
        <v>USAADF#0008</v>
      </c>
      <c r="P100" s="29" t="str">
        <f t="shared" si="53"/>
        <v>30/360</v>
      </c>
      <c r="Q100" s="29" t="str">
        <f t="shared" si="54"/>
        <v>Compounded</v>
      </c>
      <c r="R100" s="29" t="str">
        <f t="shared" si="55"/>
        <v>Quarterly</v>
      </c>
      <c r="S100" s="30">
        <f t="shared" si="56"/>
        <v>44560</v>
      </c>
      <c r="U100" s="29">
        <f t="shared" si="58"/>
        <v>100</v>
      </c>
      <c r="V100" s="29">
        <f t="shared" ref="V100" si="128">V98</f>
        <v>0.05</v>
      </c>
      <c r="W100" s="29">
        <f t="shared" si="80"/>
        <v>1</v>
      </c>
      <c r="X100" s="48">
        <f>_xll.qlBondCleanPriceFromZSpread(G100,Y100,Z100,AA100,AB100,AC100,AD100,AE100)</f>
        <v>100.37999725342885</v>
      </c>
      <c r="Y100" s="31" t="str">
        <f t="shared" si="47"/>
        <v>USAADF#0008</v>
      </c>
      <c r="Z100" s="29">
        <f t="shared" si="48"/>
        <v>-1.0212710491040485E-3</v>
      </c>
      <c r="AA100" s="29" t="str">
        <f t="shared" si="49"/>
        <v>30/360</v>
      </c>
      <c r="AB100" s="29" t="s">
        <v>49</v>
      </c>
      <c r="AC100" s="29" t="str">
        <f t="shared" si="50"/>
        <v>Quarterly</v>
      </c>
      <c r="AD100" s="30">
        <f t="shared" si="51"/>
        <v>44560</v>
      </c>
      <c r="AE100" s="29">
        <f t="shared" si="52"/>
        <v>1</v>
      </c>
    </row>
    <row r="101" spans="1:31" x14ac:dyDescent="0.25">
      <c r="A101" s="64">
        <f>VLOOKUP(FlotBondObj!C51,ScheduleObj!Q:AB,12,FALSE)</f>
        <v>100.46099853515619</v>
      </c>
      <c r="B101" s="98" t="e">
        <f>_xll.qlBondCleanPrice(G101,_xll.ohTrigger($A$1))</f>
        <v>#NUM!</v>
      </c>
      <c r="C101" s="100" t="b">
        <f>_xll.qlInstrumentSetPricingEngine(G101,F101,_xll.ohTrigger($A$1))</f>
        <v>1</v>
      </c>
      <c r="D101" s="32" t="s">
        <v>387</v>
      </c>
      <c r="E101" s="32" t="str">
        <f>VLOOKUP(MID(D101,1,FIND("(",D101)-1),'ql-USCorp'!$A$81:$B$110,2,FALSE)</f>
        <v>A</v>
      </c>
      <c r="F101" s="29" t="str">
        <f>VLOOKUP(E101,'ql-USCorp'!$A$72:$B$75,2,FALSE)</f>
        <v>USAEng#0008</v>
      </c>
      <c r="G101" s="31" t="str">
        <f>FlotBondObj!A51</f>
        <v>obj_001eb#0012</v>
      </c>
      <c r="H101" s="65">
        <f>FlotBondObj!G51</f>
        <v>25000000</v>
      </c>
      <c r="J101" s="29" t="s">
        <v>225</v>
      </c>
      <c r="K101" s="53">
        <f>_xll.qlBondBpsFromYield(G101,M101,P101,Q101,R101,AD101,AE101)*H101/100</f>
        <v>1873.2124353930988</v>
      </c>
      <c r="L101" s="52">
        <f>_xll.qlBondDurationFromYield(G101,M101,P101,Q101,R101,"Modified",AD101,AE101)</f>
        <v>0.55053780674544905</v>
      </c>
      <c r="M101" s="51">
        <f>_xll.qlBondYieldFromCleanPrice(G101,A101,P101,Q101,R101,S101,T101,U101,V101,W101)</f>
        <v>3.1521640693768899E-3</v>
      </c>
      <c r="N101" s="101">
        <f>_xll.qlBondZSpreadFromCleanPrice(G101,A101,O101,P101,Q101,R101,S101,T101,U101,V101,W101)/0.01%</f>
        <v>-63.166688781973896</v>
      </c>
      <c r="O101" s="31" t="str">
        <f>VLOOKUP(E101,'ql-USCorp'!$A$72:$C$75,3,FALSE)</f>
        <v>USADF#0008</v>
      </c>
      <c r="P101" s="29" t="str">
        <f t="shared" si="53"/>
        <v>30/360</v>
      </c>
      <c r="Q101" s="29" t="str">
        <f t="shared" si="54"/>
        <v>Compounded</v>
      </c>
      <c r="R101" s="29" t="str">
        <f t="shared" si="55"/>
        <v>Quarterly</v>
      </c>
      <c r="S101" s="30">
        <f t="shared" si="56"/>
        <v>44560</v>
      </c>
      <c r="U101" s="29">
        <f t="shared" si="58"/>
        <v>100</v>
      </c>
      <c r="V101" s="29">
        <f t="shared" ref="V101" si="129">V100</f>
        <v>0.05</v>
      </c>
      <c r="W101" s="29">
        <f t="shared" ref="W101" si="130">W100</f>
        <v>1</v>
      </c>
      <c r="X101" s="48">
        <f>_xll.qlBondCleanPriceFromZSpread(G101,Y101,Z101,AA101,AB101,AC101,AD101,AE101)</f>
        <v>100.46099853516175</v>
      </c>
      <c r="Y101" s="31" t="str">
        <f t="shared" si="47"/>
        <v>USADF#0008</v>
      </c>
      <c r="Z101" s="29">
        <f t="shared" si="48"/>
        <v>-6.3166688781973899E-3</v>
      </c>
      <c r="AA101" s="29" t="str">
        <f t="shared" si="49"/>
        <v>30/360</v>
      </c>
      <c r="AB101" s="29" t="s">
        <v>49</v>
      </c>
      <c r="AC101" s="29" t="str">
        <f t="shared" si="50"/>
        <v>Quarterly</v>
      </c>
      <c r="AD101" s="30">
        <f t="shared" si="51"/>
        <v>44560</v>
      </c>
      <c r="AE101" s="29">
        <f t="shared" si="52"/>
        <v>1</v>
      </c>
    </row>
    <row r="102" spans="1:31" x14ac:dyDescent="0.25">
      <c r="A102" s="64">
        <f>VLOOKUP(FlotBondObj!C52,ScheduleObj!Q:AB,12,FALSE)</f>
        <v>100.46099853515619</v>
      </c>
      <c r="B102" s="98">
        <f>_xll.qlBondCleanPrice(G102,_xll.ohTrigger($A$1))</f>
        <v>100.18890326920098</v>
      </c>
      <c r="C102" s="100" t="b">
        <f>_xll.qlInstrumentSetPricingEngine(G102,F102,_xll.ohTrigger($A$1))</f>
        <v>1</v>
      </c>
      <c r="D102" s="32" t="s">
        <v>388</v>
      </c>
      <c r="E102" s="32" t="str">
        <f>VLOOKUP(MID(D102,1,FIND("(",D102)-1),'ql-USCorp'!$A$81:$B$110,2,FALSE)</f>
        <v>A</v>
      </c>
      <c r="F102" s="29" t="str">
        <f>VLOOKUP(E102,'ql-USCorp'!$A$72:$B$75,2,FALSE)</f>
        <v>USAEng#0008</v>
      </c>
      <c r="G102" s="31" t="str">
        <f>FlotBondObj!A52</f>
        <v>obj_001ec#0012</v>
      </c>
      <c r="H102" s="65">
        <f>FlotBondObj!G52</f>
        <v>15000000</v>
      </c>
      <c r="J102" s="29" t="s">
        <v>225</v>
      </c>
      <c r="K102" s="53">
        <f>_xll.qlBondBpsFromYield(G102,M102,P102,Q102,R102,AD102,AE102)*H102/100</f>
        <v>1122.1728560009587</v>
      </c>
      <c r="L102" s="52">
        <f>_xll.qlBondDurationFromYield(G102,M102,P102,Q102,R102,"Modified",AD102,AE102)</f>
        <v>0.70260157155528091</v>
      </c>
      <c r="M102" s="51">
        <f>_xll.qlBondYieldFromCleanPrice(G102,A102,P102,Q102,R102,S102,T102,U102,V102,W102)</f>
        <v>5.5285344611480883E-3</v>
      </c>
      <c r="N102" s="101">
        <f>_xll.qlBondZSpreadFromCleanPrice(G102,A102,O102,P102,Q102,R102,S102,T102,U102,V102,W102)/0.01%</f>
        <v>-38.004142445382605</v>
      </c>
      <c r="O102" s="31" t="str">
        <f>VLOOKUP(E102,'ql-USCorp'!$A$72:$C$75,3,FALSE)</f>
        <v>USADF#0008</v>
      </c>
      <c r="P102" s="29" t="str">
        <f t="shared" si="53"/>
        <v>30/360</v>
      </c>
      <c r="Q102" s="29" t="str">
        <f t="shared" si="54"/>
        <v>Compounded</v>
      </c>
      <c r="R102" s="29" t="str">
        <f t="shared" si="55"/>
        <v>Quarterly</v>
      </c>
      <c r="S102" s="30">
        <f t="shared" si="56"/>
        <v>44560</v>
      </c>
      <c r="U102" s="29">
        <f t="shared" si="58"/>
        <v>100</v>
      </c>
      <c r="V102" s="29">
        <f t="shared" ref="V102" si="131">V100</f>
        <v>0.05</v>
      </c>
      <c r="W102" s="29">
        <f t="shared" si="80"/>
        <v>1</v>
      </c>
      <c r="X102" s="48">
        <f>_xll.qlBondCleanPriceFromZSpread(G102,Y102,Z102,AA102,AB102,AC102,AD102,AE102)</f>
        <v>100.46099853518763</v>
      </c>
      <c r="Y102" s="31" t="str">
        <f t="shared" si="47"/>
        <v>USADF#0008</v>
      </c>
      <c r="Z102" s="29">
        <f t="shared" si="48"/>
        <v>-3.8004142445382605E-3</v>
      </c>
      <c r="AA102" s="29" t="str">
        <f t="shared" si="49"/>
        <v>30/360</v>
      </c>
      <c r="AB102" s="29" t="s">
        <v>49</v>
      </c>
      <c r="AC102" s="29" t="str">
        <f t="shared" si="50"/>
        <v>Quarterly</v>
      </c>
      <c r="AD102" s="30">
        <f t="shared" si="51"/>
        <v>44560</v>
      </c>
      <c r="AE102" s="29">
        <f t="shared" si="52"/>
        <v>1</v>
      </c>
    </row>
    <row r="103" spans="1:31" x14ac:dyDescent="0.25">
      <c r="A103" s="64">
        <f>VLOOKUP(FlotBondObj!C53,ScheduleObj!Q:AB,12,FALSE)</f>
        <v>100.4899978637695</v>
      </c>
      <c r="B103" s="98" t="e">
        <f>_xll.qlBondCleanPrice(G103,_xll.ohTrigger($A$1))</f>
        <v>#NUM!</v>
      </c>
      <c r="C103" s="100" t="b">
        <f>_xll.qlInstrumentSetPricingEngine(G103,F103,_xll.ohTrigger($A$1))</f>
        <v>1</v>
      </c>
      <c r="D103" s="32" t="s">
        <v>389</v>
      </c>
      <c r="E103" s="32" t="str">
        <f>VLOOKUP(MID(D103,1,FIND("(",D103)-1),'ql-USCorp'!$A$81:$B$110,2,FALSE)</f>
        <v>A</v>
      </c>
      <c r="F103" s="29" t="str">
        <f>VLOOKUP(E103,'ql-USCorp'!$A$72:$B$75,2,FALSE)</f>
        <v>USAEng#0008</v>
      </c>
      <c r="G103" s="31" t="str">
        <f>FlotBondObj!A53</f>
        <v>obj_001ed#0012</v>
      </c>
      <c r="H103" s="65">
        <f>FlotBondObj!G53</f>
        <v>10000000</v>
      </c>
      <c r="J103" s="29" t="s">
        <v>225</v>
      </c>
      <c r="K103" s="53">
        <f>_xll.qlBondBpsFromYield(G103,M103,P103,Q103,R103,AD103,AE103)*H103/100</f>
        <v>1485.8084051122112</v>
      </c>
      <c r="L103" s="52">
        <f>_xll.qlBondDurationFromYield(G103,M103,P103,Q103,R103,"Modified",AD103,AE103)</f>
        <v>1.2822259029495984</v>
      </c>
      <c r="M103" s="51">
        <f>_xll.qlBondYieldFromCleanPrice(G103,A103,P103,Q103,R103,S103,T103,U103,V103,W103)</f>
        <v>1.1398005742691463E-2</v>
      </c>
      <c r="N103" s="101">
        <f>_xll.qlBondZSpreadFromCleanPrice(G103,A103,O103,P103,Q103,R103,S103,T103,U103,V103,W103)/0.01%</f>
        <v>7.2285815757227994</v>
      </c>
      <c r="O103" s="31" t="str">
        <f>VLOOKUP(E103,'ql-USCorp'!$A$72:$C$75,3,FALSE)</f>
        <v>USADF#0008</v>
      </c>
      <c r="P103" s="29" t="str">
        <f t="shared" si="53"/>
        <v>30/360</v>
      </c>
      <c r="Q103" s="29" t="str">
        <f t="shared" si="54"/>
        <v>Compounded</v>
      </c>
      <c r="R103" s="29" t="str">
        <f t="shared" si="55"/>
        <v>Quarterly</v>
      </c>
      <c r="S103" s="30">
        <f t="shared" si="56"/>
        <v>44560</v>
      </c>
      <c r="U103" s="29">
        <f t="shared" si="58"/>
        <v>100</v>
      </c>
      <c r="V103" s="29">
        <f t="shared" ref="V103" si="132">V102</f>
        <v>0.05</v>
      </c>
      <c r="W103" s="29">
        <f t="shared" ref="W103" si="133">W102</f>
        <v>1</v>
      </c>
      <c r="X103" s="48">
        <f>_xll.qlBondCleanPriceFromZSpread(G103,Y103,Z103,AA103,AB103,AC103,AD103,AE103)</f>
        <v>100.48999786273062</v>
      </c>
      <c r="Y103" s="31" t="str">
        <f t="shared" si="47"/>
        <v>USADF#0008</v>
      </c>
      <c r="Z103" s="29">
        <f t="shared" si="48"/>
        <v>7.2285815757227993E-4</v>
      </c>
      <c r="AA103" s="29" t="str">
        <f t="shared" si="49"/>
        <v>30/360</v>
      </c>
      <c r="AB103" s="29" t="s">
        <v>49</v>
      </c>
      <c r="AC103" s="29" t="str">
        <f t="shared" si="50"/>
        <v>Quarterly</v>
      </c>
      <c r="AD103" s="30">
        <f t="shared" si="51"/>
        <v>44560</v>
      </c>
      <c r="AE103" s="29">
        <f t="shared" si="52"/>
        <v>1</v>
      </c>
    </row>
    <row r="104" spans="1:31" x14ac:dyDescent="0.25">
      <c r="A104" s="64">
        <f>VLOOKUP(FlotBondObj!C54,ScheduleObj!Q:AB,12,FALSE)</f>
        <v>100.504997253418</v>
      </c>
      <c r="B104" s="98">
        <f>_xll.qlBondCleanPrice(G104,_xll.ohTrigger($A$1))</f>
        <v>100.55239248767316</v>
      </c>
      <c r="C104" s="100" t="b">
        <f>_xll.qlInstrumentSetPricingEngine(G104,F104,_xll.ohTrigger($A$1))</f>
        <v>1</v>
      </c>
      <c r="D104" s="32" t="s">
        <v>387</v>
      </c>
      <c r="E104" s="32" t="str">
        <f>VLOOKUP(MID(D104,1,FIND("(",D104)-1),'ql-USCorp'!$A$81:$B$110,2,FALSE)</f>
        <v>A</v>
      </c>
      <c r="F104" s="29" t="str">
        <f>VLOOKUP(E104,'ql-USCorp'!$A$72:$B$75,2,FALSE)</f>
        <v>USAEng#0008</v>
      </c>
      <c r="G104" s="31" t="str">
        <f>FlotBondObj!A54</f>
        <v>obj_001ee#0012</v>
      </c>
      <c r="H104" s="65">
        <f>FlotBondObj!G54</f>
        <v>20000000</v>
      </c>
      <c r="J104" s="29" t="s">
        <v>225</v>
      </c>
      <c r="K104" s="53">
        <f>_xll.qlBondBpsFromYield(G104,M104,P104,Q104,R104,AD104,AE104)*H104/100</f>
        <v>2972.3432891359726</v>
      </c>
      <c r="L104" s="52">
        <f>_xll.qlBondDurationFromYield(G104,M104,P104,Q104,R104,"Modified",AD104,AE104)</f>
        <v>1.2825722185087409</v>
      </c>
      <c r="M104" s="51">
        <f>_xll.qlBondYieldFromCleanPrice(G104,A104,P104,Q104,R104,S104,T104,U104,V104,W104)</f>
        <v>1.1032877706177537E-2</v>
      </c>
      <c r="N104" s="101">
        <f>_xll.qlBondZSpreadFromCleanPrice(G104,A104,O104,P104,Q104,R104,S104,T104,U104,V104,W104)/0.01%</f>
        <v>3.6219451107310014</v>
      </c>
      <c r="O104" s="31" t="str">
        <f>VLOOKUP(E104,'ql-USCorp'!$A$72:$C$75,3,FALSE)</f>
        <v>USADF#0008</v>
      </c>
      <c r="P104" s="29" t="str">
        <f t="shared" si="53"/>
        <v>30/360</v>
      </c>
      <c r="Q104" s="29" t="str">
        <f t="shared" si="54"/>
        <v>Compounded</v>
      </c>
      <c r="R104" s="29" t="str">
        <f t="shared" si="55"/>
        <v>Quarterly</v>
      </c>
      <c r="S104" s="30">
        <f t="shared" si="56"/>
        <v>44560</v>
      </c>
      <c r="U104" s="29">
        <f t="shared" si="58"/>
        <v>100</v>
      </c>
      <c r="V104" s="29">
        <f t="shared" ref="V104" si="134">V102</f>
        <v>0.05</v>
      </c>
      <c r="W104" s="29">
        <f t="shared" si="80"/>
        <v>1</v>
      </c>
      <c r="X104" s="48">
        <f>_xll.qlBondCleanPriceFromZSpread(G104,Y104,Z104,AA104,AB104,AC104,AD104,AE104)</f>
        <v>100.5049972523677</v>
      </c>
      <c r="Y104" s="31" t="str">
        <f t="shared" si="47"/>
        <v>USADF#0008</v>
      </c>
      <c r="Z104" s="29">
        <f t="shared" si="48"/>
        <v>3.6219451107310016E-4</v>
      </c>
      <c r="AA104" s="29" t="str">
        <f t="shared" si="49"/>
        <v>30/360</v>
      </c>
      <c r="AB104" s="29" t="s">
        <v>49</v>
      </c>
      <c r="AC104" s="29" t="str">
        <f t="shared" si="50"/>
        <v>Quarterly</v>
      </c>
      <c r="AD104" s="30">
        <f t="shared" si="51"/>
        <v>44560</v>
      </c>
      <c r="AE104" s="29">
        <f t="shared" si="52"/>
        <v>1</v>
      </c>
    </row>
    <row r="105" spans="1:31" x14ac:dyDescent="0.25">
      <c r="A105" s="64">
        <f>VLOOKUP(FlotBondObj!C55,ScheduleObj!Q:AB,12,FALSE)</f>
        <v>101.1009216308594</v>
      </c>
      <c r="B105" s="98" t="e">
        <f>_xll.qlBondCleanPrice(G105,_xll.ohTrigger($A$1))</f>
        <v>#NUM!</v>
      </c>
      <c r="C105" s="100" t="b">
        <f>_xll.qlInstrumentSetPricingEngine(G105,F105,_xll.ohTrigger($A$1))</f>
        <v>1</v>
      </c>
      <c r="D105" s="32" t="s">
        <v>121</v>
      </c>
      <c r="E105" s="32" t="str">
        <f>VLOOKUP(MID(D105,1,FIND("(",D105)-1),'ql-USCorp'!$A$81:$B$110,2,FALSE)</f>
        <v>AA</v>
      </c>
      <c r="F105" s="29" t="str">
        <f>VLOOKUP(E105,'ql-USCorp'!$A$72:$B$75,2,FALSE)</f>
        <v>USAAEng#0008</v>
      </c>
      <c r="G105" s="31" t="str">
        <f>FlotBondObj!A55</f>
        <v>obj_001ef#0012</v>
      </c>
      <c r="H105" s="65">
        <f>FlotBondObj!G55</f>
        <v>10000000</v>
      </c>
      <c r="J105" s="29" t="s">
        <v>225</v>
      </c>
      <c r="K105" s="53">
        <f>_xll.qlBondBpsFromYield(G105,M105,P105,Q105,R105,AD105,AE105)*H105/100</f>
        <v>1490.060691262948</v>
      </c>
      <c r="L105" s="52">
        <f>_xll.qlBondDurationFromYield(G105,M105,P105,Q105,R105,"Modified",AD105,AE105)</f>
        <v>1.4433385676333814</v>
      </c>
      <c r="M105" s="51">
        <f>_xll.qlBondYieldFromCleanPrice(G105,A105,P105,Q105,R105,S105,T105,U105,V105,W105)</f>
        <v>7.9928565632179441E-3</v>
      </c>
      <c r="N105" s="101">
        <f>_xll.qlBondZSpreadFromCleanPrice(G105,A105,O105,P105,Q105,R105,S105,T105,U105,V105,W105)/0.01%</f>
        <v>-2.638200053465769</v>
      </c>
      <c r="O105" s="31" t="str">
        <f>VLOOKUP(E105,'ql-USCorp'!$A$72:$C$75,3,FALSE)</f>
        <v>USAADF#0008</v>
      </c>
      <c r="P105" s="29" t="str">
        <f t="shared" si="53"/>
        <v>30/360</v>
      </c>
      <c r="Q105" s="29" t="str">
        <f t="shared" si="54"/>
        <v>Compounded</v>
      </c>
      <c r="R105" s="29" t="str">
        <f t="shared" si="55"/>
        <v>Quarterly</v>
      </c>
      <c r="S105" s="30">
        <f t="shared" si="56"/>
        <v>44560</v>
      </c>
      <c r="U105" s="29">
        <f t="shared" si="58"/>
        <v>100</v>
      </c>
      <c r="V105" s="29">
        <f t="shared" ref="V105" si="135">V104</f>
        <v>0.05</v>
      </c>
      <c r="W105" s="29">
        <f t="shared" ref="W105" si="136">W104</f>
        <v>1</v>
      </c>
      <c r="X105" s="48">
        <f>_xll.qlBondCleanPriceFromZSpread(G105,Y105,Z105,AA105,AB105,AC105,AD105,AE105)</f>
        <v>101.10092162886514</v>
      </c>
      <c r="Y105" s="31" t="str">
        <f t="shared" si="47"/>
        <v>USAADF#0008</v>
      </c>
      <c r="Z105" s="29">
        <f t="shared" si="48"/>
        <v>-2.6382000534657692E-4</v>
      </c>
      <c r="AA105" s="29" t="str">
        <f t="shared" si="49"/>
        <v>30/360</v>
      </c>
      <c r="AB105" s="29" t="s">
        <v>49</v>
      </c>
      <c r="AC105" s="29" t="str">
        <f t="shared" si="50"/>
        <v>Quarterly</v>
      </c>
      <c r="AD105" s="30">
        <f t="shared" si="51"/>
        <v>44560</v>
      </c>
      <c r="AE105" s="29">
        <f t="shared" si="52"/>
        <v>1</v>
      </c>
    </row>
    <row r="106" spans="1:31" x14ac:dyDescent="0.25">
      <c r="A106" s="64">
        <f>VLOOKUP(FlotBondObj!C56,ScheduleObj!Q:AB,12,FALSE)</f>
        <v>100.78199768066411</v>
      </c>
      <c r="B106" s="98">
        <f>_xll.qlBondCleanPrice(G106,_xll.ohTrigger($A$1))</f>
        <v>100.62698688183525</v>
      </c>
      <c r="C106" s="100" t="b">
        <f>_xll.qlInstrumentSetPricingEngine(G106,F106,_xll.ohTrigger($A$1))</f>
        <v>1</v>
      </c>
      <c r="D106" s="32" t="s">
        <v>394</v>
      </c>
      <c r="E106" s="32" t="str">
        <f>VLOOKUP(MID(D106,1,FIND("(",D106)-1),'ql-USCorp'!$A$81:$B$110,2,FALSE)</f>
        <v>A</v>
      </c>
      <c r="F106" s="29" t="str">
        <f>VLOOKUP(E106,'ql-USCorp'!$A$72:$B$75,2,FALSE)</f>
        <v>USAEng#0008</v>
      </c>
      <c r="G106" s="31" t="str">
        <f>FlotBondObj!A56</f>
        <v>obj_001f0#0012</v>
      </c>
      <c r="H106" s="65">
        <f>FlotBondObj!G56</f>
        <v>5000000</v>
      </c>
      <c r="J106" s="29" t="s">
        <v>225</v>
      </c>
      <c r="K106" s="53">
        <f>_xll.qlBondBpsFromYield(G106,M106,P106,Q106,R106,AD106,AE106)*H106/100</f>
        <v>867.45834955569876</v>
      </c>
      <c r="L106" s="52">
        <f>_xll.qlBondDurationFromYield(G106,M106,P106,Q106,R106,"Modified",AD106,AE106)</f>
        <v>1.5521873592295563</v>
      </c>
      <c r="M106" s="51">
        <f>_xll.qlBondYieldFromCleanPrice(G106,A106,P106,Q106,R106,S106,T106,U106,V106,W106)</f>
        <v>1.0558855555988851E-2</v>
      </c>
      <c r="N106" s="101">
        <f>_xll.qlBondZSpreadFromCleanPrice(G106,A106,O106,P106,Q106,R106,S106,T106,U106,V106,W106)/0.01%</f>
        <v>-9.7805790574984321</v>
      </c>
      <c r="O106" s="31" t="str">
        <f>VLOOKUP(E106,'ql-USCorp'!$A$72:$C$75,3,FALSE)</f>
        <v>USADF#0008</v>
      </c>
      <c r="P106" s="29" t="str">
        <f t="shared" si="53"/>
        <v>30/360</v>
      </c>
      <c r="Q106" s="29" t="str">
        <f t="shared" si="54"/>
        <v>Compounded</v>
      </c>
      <c r="R106" s="29" t="str">
        <f t="shared" si="55"/>
        <v>Quarterly</v>
      </c>
      <c r="S106" s="30">
        <f t="shared" si="56"/>
        <v>44560</v>
      </c>
      <c r="U106" s="29">
        <f t="shared" si="58"/>
        <v>100</v>
      </c>
      <c r="V106" s="29">
        <f t="shared" ref="V106" si="137">V104</f>
        <v>0.05</v>
      </c>
      <c r="W106" s="29">
        <f t="shared" si="80"/>
        <v>1</v>
      </c>
      <c r="X106" s="48">
        <f>_xll.qlBondCleanPriceFromZSpread(G106,Y106,Z106,AA106,AB106,AC106,AD106,AE106)</f>
        <v>100.78199768349162</v>
      </c>
      <c r="Y106" s="31" t="str">
        <f t="shared" si="47"/>
        <v>USADF#0008</v>
      </c>
      <c r="Z106" s="29">
        <f t="shared" si="48"/>
        <v>-9.7805790574984324E-4</v>
      </c>
      <c r="AA106" s="29" t="str">
        <f t="shared" si="49"/>
        <v>30/360</v>
      </c>
      <c r="AB106" s="29" t="s">
        <v>49</v>
      </c>
      <c r="AC106" s="29" t="str">
        <f t="shared" si="50"/>
        <v>Quarterly</v>
      </c>
      <c r="AD106" s="30">
        <f t="shared" si="51"/>
        <v>44560</v>
      </c>
      <c r="AE106" s="29">
        <f t="shared" si="52"/>
        <v>1</v>
      </c>
    </row>
    <row r="107" spans="1:31" x14ac:dyDescent="0.25">
      <c r="A107" s="64">
        <f>VLOOKUP(FlotBondObj!C57,ScheduleObj!Q:AB,12,FALSE)</f>
        <v>100.734001159668</v>
      </c>
      <c r="B107" s="98">
        <f>_xll.qlBondCleanPrice(G107,_xll.ohTrigger($A$1))</f>
        <v>101.08553077497818</v>
      </c>
      <c r="C107" s="100" t="b">
        <f>_xll.qlInstrumentSetPricingEngine(G107,F107,_xll.ohTrigger($A$1))</f>
        <v>1</v>
      </c>
      <c r="D107" s="32" t="s">
        <v>389</v>
      </c>
      <c r="E107" s="32" t="str">
        <f>VLOOKUP(MID(D107,1,FIND("(",D107)-1),'ql-USCorp'!$A$81:$B$110,2,FALSE)</f>
        <v>A</v>
      </c>
      <c r="F107" s="29" t="str">
        <f>VLOOKUP(E107,'ql-USCorp'!$A$72:$B$75,2,FALSE)</f>
        <v>USAEng#0008</v>
      </c>
      <c r="G107" s="31" t="str">
        <f>FlotBondObj!A57</f>
        <v>obj_001f1#0012</v>
      </c>
      <c r="H107" s="65">
        <f>FlotBondObj!G57</f>
        <v>5000000</v>
      </c>
      <c r="J107" s="29" t="s">
        <v>225</v>
      </c>
      <c r="K107" s="53">
        <f>_xll.qlBondBpsFromYield(G107,M107,P107,Q107,R107,AD107,AE107)*H107/100</f>
        <v>1221.912167252892</v>
      </c>
      <c r="L107" s="52">
        <f>_xll.qlBondDurationFromYield(G107,M107,P107,Q107,R107,"Modified",AD107,AE107)</f>
        <v>2.3955184601559325</v>
      </c>
      <c r="M107" s="51">
        <f>_xll.qlBondYieldFromCleanPrice(G107,A107,P107,Q107,R107,S107,T107,U107,V107,W107)</f>
        <v>1.5553001980073755E-2</v>
      </c>
      <c r="N107" s="101">
        <f>_xll.qlBondZSpreadFromCleanPrice(G107,A107,O107,P107,Q107,R107,S107,T107,U107,V107,W107)/0.01%</f>
        <v>14.321335608648017</v>
      </c>
      <c r="O107" s="31" t="str">
        <f>VLOOKUP(E107,'ql-USCorp'!$A$72:$C$75,3,FALSE)</f>
        <v>USADF#0008</v>
      </c>
      <c r="P107" s="29" t="str">
        <f t="shared" si="53"/>
        <v>30/360</v>
      </c>
      <c r="Q107" s="29" t="str">
        <f t="shared" si="54"/>
        <v>Compounded</v>
      </c>
      <c r="R107" s="29" t="str">
        <f t="shared" si="55"/>
        <v>Quarterly</v>
      </c>
      <c r="S107" s="30">
        <f t="shared" si="56"/>
        <v>44560</v>
      </c>
      <c r="U107" s="29">
        <f t="shared" si="58"/>
        <v>100</v>
      </c>
      <c r="V107" s="29">
        <f t="shared" ref="V107" si="138">V106</f>
        <v>0.05</v>
      </c>
      <c r="W107" s="29">
        <f t="shared" ref="W107" si="139">W106</f>
        <v>1</v>
      </c>
      <c r="X107" s="48">
        <f>_xll.qlBondCleanPriceFromZSpread(G107,Y107,Z107,AA107,AB107,AC107,AD107,AE107)</f>
        <v>100.73400115966801</v>
      </c>
      <c r="Y107" s="31" t="str">
        <f t="shared" si="47"/>
        <v>USADF#0008</v>
      </c>
      <c r="Z107" s="29">
        <f t="shared" si="48"/>
        <v>1.4321335608648018E-3</v>
      </c>
      <c r="AA107" s="29" t="str">
        <f t="shared" si="49"/>
        <v>30/360</v>
      </c>
      <c r="AB107" s="29" t="s">
        <v>49</v>
      </c>
      <c r="AC107" s="29" t="str">
        <f t="shared" si="50"/>
        <v>Quarterly</v>
      </c>
      <c r="AD107" s="30">
        <f t="shared" si="51"/>
        <v>44560</v>
      </c>
      <c r="AE107" s="29">
        <f t="shared" si="52"/>
        <v>1</v>
      </c>
    </row>
    <row r="108" spans="1:31" x14ac:dyDescent="0.25">
      <c r="A108" s="64">
        <f>VLOOKUP(FlotBondObj!C58,ScheduleObj!Q:AB,12,FALSE)</f>
        <v>100.1159973144531</v>
      </c>
      <c r="B108" s="98" t="e">
        <f>_xll.qlBondCleanPrice(G108,_xll.ohTrigger($A$1))</f>
        <v>#NUM!</v>
      </c>
      <c r="C108" s="100" t="b">
        <f>_xll.qlInstrumentSetPricingEngine(G108,F108,_xll.ohTrigger($A$1))</f>
        <v>1</v>
      </c>
      <c r="D108" s="32" t="s">
        <v>392</v>
      </c>
      <c r="E108" s="32" t="str">
        <f>VLOOKUP(MID(D108,1,FIND("(",D108)-1),'ql-USCorp'!$A$81:$B$110,2,FALSE)</f>
        <v>A</v>
      </c>
      <c r="F108" s="29" t="str">
        <f>VLOOKUP(E108,'ql-USCorp'!$A$72:$B$75,2,FALSE)</f>
        <v>USAEng#0008</v>
      </c>
      <c r="G108" s="31" t="str">
        <f>FlotBondObj!A58</f>
        <v>obj_001f2#0012</v>
      </c>
      <c r="H108" s="65">
        <f>FlotBondObj!G58</f>
        <v>10000000</v>
      </c>
      <c r="J108" s="29" t="s">
        <v>225</v>
      </c>
      <c r="K108" s="53">
        <f>_xll.qlBondBpsFromYield(G108,M108,P108,Q108,R108,AD108,AE108)*H108/100</f>
        <v>249.70428471114462</v>
      </c>
      <c r="L108" s="52">
        <f>_xll.qlBondDurationFromYield(G108,M108,P108,Q108,R108,"Modified",AD108,AE108)</f>
        <v>0.22470430415074408</v>
      </c>
      <c r="M108" s="51">
        <f>_xll.qlBondYieldFromCleanPrice(G108,A108,P108,Q108,R108,S108,T108,U108,V108,W108)</f>
        <v>5.2637327152863182E-3</v>
      </c>
      <c r="N108" s="101">
        <f>_xll.qlBondZSpreadFromCleanPrice(G108,A108,O108,P108,Q108,R108,S108,T108,U108,V108,W108)/0.01%</f>
        <v>-18.962673570248434</v>
      </c>
      <c r="O108" s="31" t="str">
        <f>VLOOKUP(E108,'ql-USCorp'!$A$72:$C$75,3,FALSE)</f>
        <v>USADF#0008</v>
      </c>
      <c r="P108" s="29" t="str">
        <f t="shared" si="53"/>
        <v>30/360</v>
      </c>
      <c r="Q108" s="29" t="str">
        <f t="shared" si="54"/>
        <v>Compounded</v>
      </c>
      <c r="R108" s="29" t="str">
        <f t="shared" si="55"/>
        <v>Quarterly</v>
      </c>
      <c r="S108" s="30">
        <f t="shared" si="56"/>
        <v>44560</v>
      </c>
      <c r="U108" s="29">
        <f t="shared" si="58"/>
        <v>100</v>
      </c>
      <c r="V108" s="29">
        <f t="shared" ref="V108" si="140">V106</f>
        <v>0.05</v>
      </c>
      <c r="W108" s="29">
        <f t="shared" si="80"/>
        <v>1</v>
      </c>
      <c r="X108" s="48">
        <f>_xll.qlBondCleanPriceFromZSpread(G108,Y108,Z108,AA108,AB108,AC108,AD108,AE108)</f>
        <v>100.1159973144534</v>
      </c>
      <c r="Y108" s="31" t="str">
        <f t="shared" si="47"/>
        <v>USADF#0008</v>
      </c>
      <c r="Z108" s="29">
        <f t="shared" si="48"/>
        <v>-1.8962673570248434E-3</v>
      </c>
      <c r="AA108" s="29" t="str">
        <f t="shared" si="49"/>
        <v>30/360</v>
      </c>
      <c r="AB108" s="29" t="s">
        <v>49</v>
      </c>
      <c r="AC108" s="29" t="str">
        <f t="shared" si="50"/>
        <v>Quarterly</v>
      </c>
      <c r="AD108" s="30">
        <f t="shared" si="51"/>
        <v>44560</v>
      </c>
      <c r="AE108" s="29">
        <f t="shared" si="52"/>
        <v>1</v>
      </c>
    </row>
    <row r="109" spans="1:31" x14ac:dyDescent="0.25">
      <c r="A109" s="64">
        <f>VLOOKUP(FlotBondObj!C59,ScheduleObj!Q:AB,12,FALSE)</f>
        <v>100.68699645996089</v>
      </c>
      <c r="B109" s="98">
        <f>_xll.qlBondCleanPrice(G109,_xll.ohTrigger($A$1))</f>
        <v>100.94601311414701</v>
      </c>
      <c r="C109" s="100" t="b">
        <f>_xll.qlInstrumentSetPricingEngine(G109,F109,_xll.ohTrigger($A$1))</f>
        <v>1</v>
      </c>
      <c r="D109" s="32" t="s">
        <v>389</v>
      </c>
      <c r="E109" s="32" t="str">
        <f>VLOOKUP(MID(D109,1,FIND("(",D109)-1),'ql-USCorp'!$A$81:$B$110,2,FALSE)</f>
        <v>A</v>
      </c>
      <c r="F109" s="29" t="str">
        <f>VLOOKUP(E109,'ql-USCorp'!$A$72:$B$75,2,FALSE)</f>
        <v>USAEng#0008</v>
      </c>
      <c r="G109" s="31" t="str">
        <f>FlotBondObj!A59</f>
        <v>obj_001f3#0012</v>
      </c>
      <c r="H109" s="65">
        <f>FlotBondObj!G59</f>
        <v>3000000</v>
      </c>
      <c r="J109" s="29" t="s">
        <v>225</v>
      </c>
      <c r="K109" s="53">
        <f>_xll.qlBondBpsFromYield(G109,M109,P109,Q109,R109,AD109,AE109)*H109/100</f>
        <v>736.90719320224775</v>
      </c>
      <c r="L109" s="52">
        <f>_xll.qlBondDurationFromYield(G109,M109,P109,Q109,R109,"Modified",AD109,AE109)</f>
        <v>2.2723234583711069</v>
      </c>
      <c r="M109" s="51">
        <f>_xll.qlBondYieldFromCleanPrice(G109,A109,P109,Q109,R109,S109,T109,U109,V109,W109)</f>
        <v>1.4818906084485356E-2</v>
      </c>
      <c r="N109" s="101">
        <f>_xll.qlBondZSpreadFromCleanPrice(G109,A109,O109,P109,Q109,R109,S109,T109,U109,V109,W109)/0.01%</f>
        <v>11.126656012194099</v>
      </c>
      <c r="O109" s="31" t="str">
        <f>VLOOKUP(E109,'ql-USCorp'!$A$72:$C$75,3,FALSE)</f>
        <v>USADF#0008</v>
      </c>
      <c r="P109" s="29" t="str">
        <f t="shared" si="53"/>
        <v>30/360</v>
      </c>
      <c r="Q109" s="29" t="str">
        <f t="shared" si="54"/>
        <v>Compounded</v>
      </c>
      <c r="R109" s="29" t="str">
        <f t="shared" si="55"/>
        <v>Quarterly</v>
      </c>
      <c r="S109" s="30">
        <f t="shared" si="56"/>
        <v>44560</v>
      </c>
      <c r="U109" s="29">
        <f t="shared" si="58"/>
        <v>100</v>
      </c>
      <c r="V109" s="29">
        <f t="shared" ref="V109" si="141">V108</f>
        <v>0.05</v>
      </c>
      <c r="W109" s="29">
        <f t="shared" ref="W109" si="142">W108</f>
        <v>1</v>
      </c>
      <c r="X109" s="48">
        <f>_xll.qlBondCleanPriceFromZSpread(G109,Y109,Z109,AA109,AB109,AC109,AD109,AE109)</f>
        <v>100.68699645996075</v>
      </c>
      <c r="Y109" s="31" t="str">
        <f t="shared" si="47"/>
        <v>USADF#0008</v>
      </c>
      <c r="Z109" s="29">
        <f t="shared" si="48"/>
        <v>1.1126656012194099E-3</v>
      </c>
      <c r="AA109" s="29" t="str">
        <f t="shared" si="49"/>
        <v>30/360</v>
      </c>
      <c r="AB109" s="29" t="s">
        <v>49</v>
      </c>
      <c r="AC109" s="29" t="str">
        <f t="shared" si="50"/>
        <v>Quarterly</v>
      </c>
      <c r="AD109" s="30">
        <f t="shared" si="51"/>
        <v>44560</v>
      </c>
      <c r="AE109" s="29">
        <f t="shared" si="52"/>
        <v>1</v>
      </c>
    </row>
    <row r="110" spans="1:31" x14ac:dyDescent="0.25">
      <c r="A110" s="64">
        <f>VLOOKUP(FlotBondObj!C60,ScheduleObj!Q:AB,12,FALSE)</f>
        <v>100.78900146484381</v>
      </c>
      <c r="B110" s="98" t="e">
        <f>_xll.qlBondCleanPrice(G110,_xll.ohTrigger($A$1))</f>
        <v>#NUM!</v>
      </c>
      <c r="C110" s="100" t="b">
        <f>_xll.qlInstrumentSetPricingEngine(G110,F110,_xll.ohTrigger($A$1))</f>
        <v>1</v>
      </c>
      <c r="D110" s="32" t="s">
        <v>387</v>
      </c>
      <c r="E110" s="32" t="str">
        <f>VLOOKUP(MID(D110,1,FIND("(",D110)-1),'ql-USCorp'!$A$81:$B$110,2,FALSE)</f>
        <v>A</v>
      </c>
      <c r="F110" s="29" t="str">
        <f>VLOOKUP(E110,'ql-USCorp'!$A$72:$B$75,2,FALSE)</f>
        <v>USAEng#0008</v>
      </c>
      <c r="G110" s="31" t="str">
        <f>FlotBondObj!A60</f>
        <v>obj_001f4#0012</v>
      </c>
      <c r="H110" s="65">
        <f>FlotBondObj!G60</f>
        <v>3000000</v>
      </c>
      <c r="J110" s="29" t="s">
        <v>225</v>
      </c>
      <c r="K110" s="53">
        <f>_xll.qlBondBpsFromYield(G110,M110,P110,Q110,R110,AD110,AE110)*H110/100</f>
        <v>735.00070168992306</v>
      </c>
      <c r="L110" s="52">
        <f>_xll.qlBondDurationFromYield(G110,M110,P110,Q110,R110,"Modified",AD110,AE110)</f>
        <v>2.3414381798812247</v>
      </c>
      <c r="M110" s="51">
        <f>_xll.qlBondYieldFromCleanPrice(G110,A110,P110,Q110,R110,S110,T110,U110,V110,W110)</f>
        <v>1.5130939382947985E-2</v>
      </c>
      <c r="N110" s="101">
        <f>_xll.qlBondZSpreadFromCleanPrice(G110,A110,O110,P110,Q110,R110,S110,T110,U110,V110,W110)/0.01%</f>
        <v>12.008573952291991</v>
      </c>
      <c r="O110" s="31" t="str">
        <f>VLOOKUP(E110,'ql-USCorp'!$A$72:$C$75,3,FALSE)</f>
        <v>USADF#0008</v>
      </c>
      <c r="P110" s="29" t="str">
        <f t="shared" si="53"/>
        <v>30/360</v>
      </c>
      <c r="Q110" s="29" t="str">
        <f t="shared" si="54"/>
        <v>Compounded</v>
      </c>
      <c r="R110" s="29" t="str">
        <f t="shared" si="55"/>
        <v>Quarterly</v>
      </c>
      <c r="S110" s="30">
        <f t="shared" si="56"/>
        <v>44560</v>
      </c>
      <c r="U110" s="29">
        <f t="shared" si="58"/>
        <v>100</v>
      </c>
      <c r="V110" s="29">
        <f t="shared" ref="V110" si="143">V108</f>
        <v>0.05</v>
      </c>
      <c r="W110" s="29">
        <f t="shared" si="80"/>
        <v>1</v>
      </c>
      <c r="X110" s="48">
        <f>_xll.qlBondCleanPriceFromZSpread(G110,Y110,Z110,AA110,AB110,AC110,AD110,AE110)</f>
        <v>100.78900146484379</v>
      </c>
      <c r="Y110" s="31" t="str">
        <f t="shared" si="47"/>
        <v>USADF#0008</v>
      </c>
      <c r="Z110" s="29">
        <f t="shared" si="48"/>
        <v>1.2008573952291992E-3</v>
      </c>
      <c r="AA110" s="29" t="str">
        <f t="shared" si="49"/>
        <v>30/360</v>
      </c>
      <c r="AB110" s="29" t="s">
        <v>49</v>
      </c>
      <c r="AC110" s="29" t="str">
        <f t="shared" si="50"/>
        <v>Quarterly</v>
      </c>
      <c r="AD110" s="30">
        <f t="shared" si="51"/>
        <v>44560</v>
      </c>
      <c r="AE110" s="29">
        <f t="shared" si="52"/>
        <v>1</v>
      </c>
    </row>
    <row r="111" spans="1:31" x14ac:dyDescent="0.25">
      <c r="A111" s="64">
        <f>VLOOKUP(FlotBondObj!C61,ScheduleObj!Q:AB,12,FALSE)</f>
        <v>100.73899841308589</v>
      </c>
      <c r="B111" s="98" t="e">
        <f>_xll.qlBondCleanPrice(G111,_xll.ohTrigger($A$1))</f>
        <v>#NUM!</v>
      </c>
      <c r="C111" s="100" t="b">
        <f>_xll.qlInstrumentSetPricingEngine(G111,F111,_xll.ohTrigger($A$1))</f>
        <v>1</v>
      </c>
      <c r="D111" s="32" t="s">
        <v>396</v>
      </c>
      <c r="E111" s="32" t="str">
        <f>VLOOKUP(MID(D111,1,FIND("(",D111)-1),'ql-USCorp'!$A$81:$B$110,2,FALSE)</f>
        <v>A</v>
      </c>
      <c r="F111" s="29" t="str">
        <f>VLOOKUP(E111,'ql-USCorp'!$A$72:$B$75,2,FALSE)</f>
        <v>USAEng#0008</v>
      </c>
      <c r="G111" s="31" t="str">
        <f>FlotBondObj!A61</f>
        <v>obj_001f5#0012</v>
      </c>
      <c r="H111" s="65">
        <f>FlotBondObj!G61</f>
        <v>10000000</v>
      </c>
      <c r="J111" s="29" t="s">
        <v>225</v>
      </c>
      <c r="K111" s="53">
        <f>_xll.qlBondBpsFromYield(G111,M111,P111,Q111,R111,AD111,AE111)*H111/100</f>
        <v>2691.9502216703286</v>
      </c>
      <c r="L111" s="52">
        <f>_xll.qlBondDurationFromYield(G111,M111,P111,Q111,R111,"Modified",AD111,AE111)</f>
        <v>2.5675609863719524</v>
      </c>
      <c r="M111" s="51">
        <f>_xll.qlBondYieldFromCleanPrice(G111,A111,P111,Q111,R111,S111,T111,U111,V111,W111)</f>
        <v>1.557007116828114E-2</v>
      </c>
      <c r="N111" s="101">
        <f>_xll.qlBondZSpreadFromCleanPrice(G111,A111,O111,P111,Q111,R111,S111,T111,U111,V111,W111)/0.01%</f>
        <v>9.5082957552343377</v>
      </c>
      <c r="O111" s="31" t="str">
        <f>VLOOKUP(E111,'ql-USCorp'!$A$72:$C$75,3,FALSE)</f>
        <v>USADF#0008</v>
      </c>
      <c r="P111" s="29" t="str">
        <f t="shared" si="53"/>
        <v>30/360</v>
      </c>
      <c r="Q111" s="29" t="str">
        <f t="shared" si="54"/>
        <v>Compounded</v>
      </c>
      <c r="R111" s="29" t="str">
        <f t="shared" si="55"/>
        <v>Quarterly</v>
      </c>
      <c r="S111" s="30">
        <f t="shared" si="56"/>
        <v>44560</v>
      </c>
      <c r="U111" s="29">
        <f t="shared" si="58"/>
        <v>100</v>
      </c>
      <c r="V111" s="29">
        <f t="shared" ref="V111:W111" si="144">V110</f>
        <v>0.05</v>
      </c>
      <c r="W111" s="29">
        <f t="shared" si="144"/>
        <v>1</v>
      </c>
      <c r="X111" s="48">
        <f>_xll.qlBondCleanPriceFromZSpread(G111,Y111,Z111,AA111,AB111,AC111,AD111,AE111)</f>
        <v>100.73899841308597</v>
      </c>
      <c r="Y111" s="31" t="str">
        <f t="shared" si="47"/>
        <v>USADF#0008</v>
      </c>
      <c r="Z111" s="29">
        <f t="shared" si="48"/>
        <v>9.5082957552343386E-4</v>
      </c>
      <c r="AA111" s="29" t="str">
        <f t="shared" si="49"/>
        <v>30/360</v>
      </c>
      <c r="AB111" s="29" t="s">
        <v>49</v>
      </c>
      <c r="AC111" s="29" t="str">
        <f t="shared" si="50"/>
        <v>Quarterly</v>
      </c>
      <c r="AD111" s="30">
        <f t="shared" si="51"/>
        <v>44560</v>
      </c>
      <c r="AE111" s="29">
        <f t="shared" si="52"/>
        <v>1</v>
      </c>
    </row>
    <row r="112" spans="1:31" x14ac:dyDescent="0.25">
      <c r="G112" s="31"/>
    </row>
    <row r="113" spans="7:7" x14ac:dyDescent="0.25">
      <c r="G113" s="31"/>
    </row>
    <row r="114" spans="7:7" x14ac:dyDescent="0.25">
      <c r="G114" s="31"/>
    </row>
    <row r="115" spans="7:7" x14ac:dyDescent="0.25">
      <c r="G115" s="31"/>
    </row>
    <row r="116" spans="7:7" x14ac:dyDescent="0.25">
      <c r="G116" s="31"/>
    </row>
    <row r="117" spans="7:7" x14ac:dyDescent="0.25">
      <c r="G117" s="31"/>
    </row>
    <row r="118" spans="7:7" x14ac:dyDescent="0.25">
      <c r="G118" s="3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Reference</vt:lpstr>
      <vt:lpstr>ql-US-ZC</vt:lpstr>
      <vt:lpstr>ql-USCorp</vt:lpstr>
      <vt:lpstr>ql-AU-ZC</vt:lpstr>
      <vt:lpstr>ql-AUCorp</vt:lpstr>
      <vt:lpstr>ql-CNCorp</vt:lpstr>
      <vt:lpstr>ScheduleObj</vt:lpstr>
      <vt:lpstr>FixBondObj</vt:lpstr>
      <vt:lpstr>FlotBondObj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簡志豪</dc:creator>
  <cp:lastModifiedBy>簡志豪</cp:lastModifiedBy>
  <dcterms:created xsi:type="dcterms:W3CDTF">2021-03-02T01:34:07Z</dcterms:created>
  <dcterms:modified xsi:type="dcterms:W3CDTF">2022-01-05T06:36:54Z</dcterms:modified>
</cp:coreProperties>
</file>