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shchien\Desktop\QuantLib_Project\"/>
    </mc:Choice>
  </mc:AlternateContent>
  <bookViews>
    <workbookView xWindow="-105" yWindow="-105" windowWidth="19425" windowHeight="10305" activeTab="3"/>
  </bookViews>
  <sheets>
    <sheet name="CP" sheetId="10" r:id="rId1"/>
    <sheet name="Schedule" sheetId="13" r:id="rId2"/>
    <sheet name="BulletBond" sheetId="14" r:id="rId3"/>
    <sheet name="PricingEng" sheetId="15" r:id="rId4"/>
    <sheet name="工作表4" sheetId="16" r:id="rId5"/>
  </sheets>
  <externalReferences>
    <externalReference r:id="rId6"/>
  </externalReferences>
  <definedNames>
    <definedName name="IborIndex6M">[1]Indexes!$B$1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5" l="1"/>
  <c r="O4" i="10"/>
  <c r="O5" i="10"/>
  <c r="O6" i="10"/>
  <c r="O7" i="10"/>
  <c r="O8" i="10"/>
  <c r="O9" i="10"/>
  <c r="O10" i="10"/>
  <c r="O11" i="10"/>
  <c r="O3" i="10"/>
  <c r="S30" i="10" l="1"/>
  <c r="T30" i="10"/>
  <c r="S31" i="10"/>
  <c r="S32" i="10" s="1"/>
  <c r="S33" i="10" s="1"/>
  <c r="S34" i="10" s="1"/>
  <c r="S35" i="10" s="1"/>
  <c r="S36" i="10" s="1"/>
  <c r="T31" i="10"/>
  <c r="T32" i="10" s="1"/>
  <c r="T33" i="10" s="1"/>
  <c r="T34" i="10" s="1"/>
  <c r="T35" i="10" s="1"/>
  <c r="T36" i="10" s="1"/>
  <c r="T29" i="10"/>
  <c r="S29" i="10"/>
  <c r="N30" i="10"/>
  <c r="N31" i="10" s="1"/>
  <c r="N32" i="10" s="1"/>
  <c r="N33" i="10" s="1"/>
  <c r="N34" i="10" s="1"/>
  <c r="N35" i="10" s="1"/>
  <c r="N36" i="10" s="1"/>
  <c r="O30" i="10"/>
  <c r="O31" i="10" s="1"/>
  <c r="O32" i="10" s="1"/>
  <c r="O33" i="10" s="1"/>
  <c r="O34" i="10" s="1"/>
  <c r="O35" i="10" s="1"/>
  <c r="O36" i="10" s="1"/>
  <c r="P30" i="10"/>
  <c r="P31" i="10" s="1"/>
  <c r="P32" i="10" s="1"/>
  <c r="P33" i="10" s="1"/>
  <c r="P34" i="10" s="1"/>
  <c r="P35" i="10" s="1"/>
  <c r="P36" i="10" s="1"/>
  <c r="Q30" i="10"/>
  <c r="Q31" i="10" s="1"/>
  <c r="Q32" i="10" s="1"/>
  <c r="Q33" i="10" s="1"/>
  <c r="Q34" i="10" s="1"/>
  <c r="Q35" i="10" s="1"/>
  <c r="Q36" i="10" s="1"/>
  <c r="Q29" i="10"/>
  <c r="P29" i="10"/>
  <c r="O29" i="10"/>
  <c r="N29" i="10"/>
  <c r="M29" i="10"/>
  <c r="M30" i="10"/>
  <c r="M31" i="10"/>
  <c r="M32" i="10"/>
  <c r="M33" i="10"/>
  <c r="M34" i="10"/>
  <c r="M35" i="10"/>
  <c r="M36" i="10"/>
  <c r="M28" i="10"/>
  <c r="N28" i="10"/>
  <c r="L36" i="10"/>
  <c r="L35" i="10"/>
  <c r="L33" i="10"/>
  <c r="L31" i="10"/>
  <c r="L29" i="10"/>
  <c r="Q15" i="10" l="1"/>
  <c r="S15" i="10"/>
  <c r="U14" i="10"/>
  <c r="V15" i="10" s="1"/>
  <c r="A49" i="10"/>
  <c r="B19" i="10"/>
  <c r="J19" i="10"/>
  <c r="J20" i="10"/>
  <c r="J21" i="10"/>
  <c r="J22" i="10"/>
  <c r="J23" i="10"/>
  <c r="P20" i="10"/>
  <c r="Q20" i="10"/>
  <c r="P21" i="10"/>
  <c r="Q21" i="10"/>
  <c r="P22" i="10"/>
  <c r="Q22" i="10"/>
  <c r="P23" i="10"/>
  <c r="Q23" i="10"/>
  <c r="L17" i="10"/>
  <c r="L18" i="10"/>
  <c r="L19" i="10"/>
  <c r="L20" i="10"/>
  <c r="L21" i="10"/>
  <c r="L22" i="10"/>
  <c r="L23" i="10"/>
  <c r="K4" i="10"/>
  <c r="K5" i="10"/>
  <c r="K6" i="10"/>
  <c r="K7" i="10"/>
  <c r="K8" i="10"/>
  <c r="K9" i="10"/>
  <c r="K10" i="10"/>
  <c r="K11" i="10"/>
  <c r="M10" i="10"/>
  <c r="M11" i="10"/>
  <c r="X12" i="10"/>
  <c r="X11" i="10"/>
  <c r="W12" i="10"/>
  <c r="H8" i="10"/>
  <c r="H5" i="10"/>
  <c r="H7" i="10"/>
  <c r="H11" i="10"/>
  <c r="H6" i="10"/>
  <c r="H9" i="10"/>
  <c r="H4" i="10"/>
  <c r="H10" i="10"/>
  <c r="B2" i="10"/>
  <c r="B4" i="10" s="1"/>
  <c r="K35" i="10" l="1"/>
  <c r="K29" i="10"/>
  <c r="K34" i="10"/>
  <c r="K31" i="10"/>
  <c r="K36" i="10"/>
  <c r="K32" i="10"/>
  <c r="K30" i="10"/>
  <c r="K33" i="10"/>
  <c r="V22" i="10"/>
  <c r="V21" i="10"/>
  <c r="V17" i="10"/>
  <c r="V20" i="10"/>
  <c r="V19" i="10"/>
  <c r="V16" i="10"/>
  <c r="V18" i="10"/>
  <c r="V23" i="10"/>
  <c r="K23" i="10"/>
  <c r="K22" i="10"/>
  <c r="K21" i="10"/>
  <c r="K20" i="10"/>
  <c r="A1" i="15"/>
  <c r="H20" i="10"/>
  <c r="H22" i="10"/>
  <c r="H21" i="10"/>
  <c r="H23" i="10"/>
  <c r="E2" i="13" l="1"/>
  <c r="U23" i="10"/>
  <c r="U21" i="10"/>
  <c r="U22" i="10"/>
  <c r="U20" i="10"/>
  <c r="A2" i="13"/>
  <c r="A45" i="10" l="1"/>
  <c r="B30" i="10"/>
  <c r="D29" i="10"/>
  <c r="Q19" i="10"/>
  <c r="Q18" i="10"/>
  <c r="Q17" i="10"/>
  <c r="Q16" i="10"/>
  <c r="J15" i="10"/>
  <c r="B37" i="10"/>
  <c r="B7" i="10"/>
  <c r="D31" i="10"/>
  <c r="R28" i="10" l="1"/>
  <c r="R29" i="10" l="1"/>
  <c r="L2" i="14"/>
  <c r="H29" i="10"/>
  <c r="G4" i="10" l="1"/>
  <c r="R30" i="10"/>
  <c r="G2" i="14"/>
  <c r="J16" i="10"/>
  <c r="J17" i="10"/>
  <c r="J18" i="10"/>
  <c r="H30" i="10"/>
  <c r="A2" i="14"/>
  <c r="E2" i="15" s="1"/>
  <c r="D2" i="15"/>
  <c r="G5" i="10" l="1"/>
  <c r="R31" i="10"/>
  <c r="P19" i="10"/>
  <c r="P18" i="10"/>
  <c r="P17" i="10"/>
  <c r="P16" i="10"/>
  <c r="P15" i="10"/>
  <c r="B28" i="10"/>
  <c r="M8" i="10"/>
  <c r="M7" i="10"/>
  <c r="M6" i="10"/>
  <c r="M5" i="10"/>
  <c r="M4" i="10"/>
  <c r="K3" i="10"/>
  <c r="H3" i="10"/>
  <c r="H31" i="10"/>
  <c r="K28" i="10" l="1"/>
  <c r="K15" i="10"/>
  <c r="G6" i="10"/>
  <c r="R32" i="10"/>
  <c r="K18" i="10"/>
  <c r="K16" i="10"/>
  <c r="K17" i="10"/>
  <c r="K19" i="10"/>
  <c r="H15" i="10"/>
  <c r="U15" i="10" s="1"/>
  <c r="H28" i="10"/>
  <c r="H17" i="10"/>
  <c r="I6" i="10"/>
  <c r="H18" i="10"/>
  <c r="I8" i="10"/>
  <c r="U18" i="10"/>
  <c r="H16" i="10"/>
  <c r="U16" i="10" s="1"/>
  <c r="U17" i="10"/>
  <c r="I5" i="10"/>
  <c r="I4" i="10"/>
  <c r="H19" i="10"/>
  <c r="U19" i="10" s="1"/>
  <c r="I7" i="10"/>
  <c r="I3" i="10"/>
  <c r="H32" i="10"/>
  <c r="G3" i="10" l="1"/>
  <c r="G7" i="10"/>
  <c r="R33" i="10"/>
  <c r="H33" i="10"/>
  <c r="G8" i="10" l="1"/>
  <c r="R34" i="10"/>
  <c r="H34" i="10"/>
  <c r="G9" i="10" l="1"/>
  <c r="R35" i="10"/>
  <c r="H35" i="10"/>
  <c r="G10" i="10" l="1"/>
  <c r="R36" i="10"/>
  <c r="H36" i="10"/>
  <c r="G11" i="10" l="1"/>
  <c r="B25" i="10"/>
  <c r="A43" i="10" l="1"/>
  <c r="D2" i="10" a="1"/>
  <c r="D4" i="10" l="1"/>
  <c r="C4" i="10" s="1"/>
  <c r="D9" i="10"/>
  <c r="D3" i="10"/>
  <c r="C3" i="10" s="1"/>
  <c r="D8" i="10"/>
  <c r="C8" i="10" s="1"/>
  <c r="D7" i="10"/>
  <c r="C7" i="10" s="1"/>
  <c r="D6" i="10"/>
  <c r="C6" i="10" s="1"/>
  <c r="D2" i="10"/>
  <c r="D10" i="10"/>
  <c r="D5" i="10"/>
  <c r="C5" i="10" s="1"/>
  <c r="D11" i="10"/>
  <c r="B44" i="10" l="1"/>
  <c r="C2" i="10"/>
  <c r="E2" i="10" a="1"/>
  <c r="F2" i="10" a="1"/>
  <c r="F9" i="10"/>
  <c r="E11" i="10"/>
  <c r="E8" i="10"/>
  <c r="F8" i="10"/>
  <c r="E10" i="10"/>
  <c r="E7" i="10"/>
  <c r="F10" i="10"/>
  <c r="F11" i="10"/>
  <c r="E2" i="10"/>
  <c r="E5" i="10"/>
  <c r="F2" i="10"/>
  <c r="F6" i="10"/>
  <c r="E9" i="10"/>
  <c r="E3" i="10"/>
  <c r="F3" i="10"/>
  <c r="F5" i="10"/>
  <c r="E6" i="10"/>
  <c r="F7" i="10"/>
  <c r="F4" i="10"/>
  <c r="E4" i="10"/>
  <c r="K2" i="15"/>
  <c r="D25" i="10"/>
  <c r="I2" i="15"/>
  <c r="G2" i="15"/>
  <c r="F2" i="15"/>
</calcChain>
</file>

<file path=xl/sharedStrings.xml><?xml version="1.0" encoding="utf-8"?>
<sst xmlns="http://schemas.openxmlformats.org/spreadsheetml/2006/main" count="267" uniqueCount="179">
  <si>
    <t>Evaluation Date</t>
    <phoneticPr fontId="3" type="noConversion"/>
  </si>
  <si>
    <t>SetEvaluationDate</t>
    <phoneticPr fontId="3" type="noConversion"/>
  </si>
  <si>
    <t>ObjectId</t>
    <phoneticPr fontId="3" type="noConversion"/>
  </si>
  <si>
    <t>Currency</t>
    <phoneticPr fontId="3" type="noConversion"/>
  </si>
  <si>
    <t>Tenor</t>
    <phoneticPr fontId="3" type="noConversion"/>
  </si>
  <si>
    <t>Permanent</t>
    <phoneticPr fontId="3" type="noConversion"/>
  </si>
  <si>
    <t>Trigger</t>
    <phoneticPr fontId="3" type="noConversion"/>
  </si>
  <si>
    <t>Overwrite</t>
    <phoneticPr fontId="3" type="noConversion"/>
  </si>
  <si>
    <t>Error</t>
    <phoneticPr fontId="3" type="noConversion"/>
  </si>
  <si>
    <t>Calendar</t>
    <phoneticPr fontId="3" type="noConversion"/>
  </si>
  <si>
    <t>DayCounter</t>
    <phoneticPr fontId="3" type="noConversion"/>
  </si>
  <si>
    <t>ObjectID</t>
    <phoneticPr fontId="3" type="noConversion"/>
  </si>
  <si>
    <t>Quote</t>
    <phoneticPr fontId="3" type="noConversion"/>
  </si>
  <si>
    <t>QutoeObj</t>
    <phoneticPr fontId="3" type="noConversion"/>
  </si>
  <si>
    <t>TickValue</t>
    <phoneticPr fontId="3" type="noConversion"/>
  </si>
  <si>
    <t>qlDepositRateHelper2</t>
    <phoneticPr fontId="3" type="noConversion"/>
  </si>
  <si>
    <t>Rate</t>
    <phoneticPr fontId="3" type="noConversion"/>
  </si>
  <si>
    <t>FixingDays</t>
    <phoneticPr fontId="3" type="noConversion"/>
  </si>
  <si>
    <t>Convention</t>
    <phoneticPr fontId="3" type="noConversion"/>
  </si>
  <si>
    <t>EndOfMonth</t>
    <phoneticPr fontId="3" type="noConversion"/>
  </si>
  <si>
    <t>TAIBOR</t>
    <phoneticPr fontId="2" type="noConversion"/>
  </si>
  <si>
    <t>FamilyName</t>
    <phoneticPr fontId="3" type="noConversion"/>
  </si>
  <si>
    <t>BDayConvention</t>
    <phoneticPr fontId="3" type="noConversion"/>
  </si>
  <si>
    <t>EndofMonth</t>
    <phoneticPr fontId="3" type="noConversion"/>
  </si>
  <si>
    <t>FwdCurve</t>
    <phoneticPr fontId="3" type="noConversion"/>
  </si>
  <si>
    <t>3M</t>
    <phoneticPr fontId="3" type="noConversion"/>
  </si>
  <si>
    <t>MF</t>
    <phoneticPr fontId="3" type="noConversion"/>
  </si>
  <si>
    <t>ObjectId</t>
  </si>
  <si>
    <t>Ndays</t>
  </si>
  <si>
    <t>Calendar</t>
  </si>
  <si>
    <t>RateHelpers</t>
  </si>
  <si>
    <t>DayCounter</t>
  </si>
  <si>
    <t>Jumps</t>
  </si>
  <si>
    <t>JumpDates</t>
  </si>
  <si>
    <t>Accuracy</t>
  </si>
  <si>
    <t>TraitsID</t>
  </si>
  <si>
    <t>InterpolatiorID</t>
  </si>
  <si>
    <t>Permanent</t>
  </si>
  <si>
    <t>Trigger</t>
  </si>
  <si>
    <t>Overwrite</t>
  </si>
  <si>
    <t>qlPiecewiseYieldCurve</t>
    <phoneticPr fontId="3" type="noConversion"/>
  </si>
  <si>
    <t>YieldTSZeroRate</t>
    <phoneticPr fontId="3" type="noConversion"/>
  </si>
  <si>
    <t>Date</t>
    <phoneticPr fontId="3" type="noConversion"/>
  </si>
  <si>
    <t>Linear</t>
    <phoneticPr fontId="3" type="noConversion"/>
  </si>
  <si>
    <t>Helper Obj</t>
    <phoneticPr fontId="3" type="noConversion"/>
  </si>
  <si>
    <t>zero rate</t>
    <phoneticPr fontId="3" type="noConversion"/>
  </si>
  <si>
    <t>Days</t>
    <phoneticPr fontId="3" type="noConversion"/>
  </si>
  <si>
    <t>DF</t>
    <phoneticPr fontId="2" type="noConversion"/>
  </si>
  <si>
    <t>TWD</t>
    <phoneticPr fontId="3" type="noConversion"/>
  </si>
  <si>
    <t>Taiwan::TSEC</t>
  </si>
  <si>
    <t>ZeroYield</t>
  </si>
  <si>
    <t>Quarterly</t>
  </si>
  <si>
    <t>SettleDate</t>
    <phoneticPr fontId="3" type="noConversion"/>
  </si>
  <si>
    <t>3M</t>
    <phoneticPr fontId="2" type="noConversion"/>
  </si>
  <si>
    <t>TWDZC</t>
    <phoneticPr fontId="2" type="noConversion"/>
  </si>
  <si>
    <t>EffectiveDate</t>
    <phoneticPr fontId="3" type="noConversion"/>
  </si>
  <si>
    <t>TerminationDate</t>
    <phoneticPr fontId="3" type="noConversion"/>
  </si>
  <si>
    <t>TermDateConv</t>
    <phoneticPr fontId="3" type="noConversion"/>
  </si>
  <si>
    <t>GenRule</t>
    <phoneticPr fontId="3" type="noConversion"/>
  </si>
  <si>
    <t>FirstDate</t>
    <phoneticPr fontId="3" type="noConversion"/>
  </si>
  <si>
    <t>NextToLastDate</t>
    <phoneticPr fontId="3" type="noConversion"/>
  </si>
  <si>
    <t>Description</t>
    <phoneticPr fontId="3" type="noConversion"/>
  </si>
  <si>
    <t>SettlementDays</t>
    <phoneticPr fontId="3" type="noConversion"/>
  </si>
  <si>
    <t>FaceAmount</t>
    <phoneticPr fontId="3" type="noConversion"/>
  </si>
  <si>
    <t>ScheduleID</t>
    <phoneticPr fontId="3" type="noConversion"/>
  </si>
  <si>
    <t>Coupons</t>
    <phoneticPr fontId="3" type="noConversion"/>
  </si>
  <si>
    <t>PaymentBDC</t>
    <phoneticPr fontId="3" type="noConversion"/>
  </si>
  <si>
    <t>Redemption</t>
    <phoneticPr fontId="3" type="noConversion"/>
  </si>
  <si>
    <t>IssueDate</t>
    <phoneticPr fontId="3" type="noConversion"/>
  </si>
  <si>
    <t>PaymentCalendar</t>
    <phoneticPr fontId="3" type="noConversion"/>
  </si>
  <si>
    <t>BondEngine</t>
    <phoneticPr fontId="3" type="noConversion"/>
  </si>
  <si>
    <t>YieldCurve</t>
    <phoneticPr fontId="3" type="noConversion"/>
  </si>
  <si>
    <t>qlCleanPrice</t>
    <phoneticPr fontId="3" type="noConversion"/>
  </si>
  <si>
    <t>NPV</t>
    <phoneticPr fontId="3" type="noConversion"/>
  </si>
  <si>
    <t>SetPricingEngine</t>
    <phoneticPr fontId="3" type="noConversion"/>
  </si>
  <si>
    <t>MF</t>
  </si>
  <si>
    <t>F</t>
  </si>
  <si>
    <t>Backward</t>
  </si>
  <si>
    <t>1100104364AUN</t>
  </si>
  <si>
    <t>1100804364AHN</t>
  </si>
  <si>
    <t>1100804364AMN</t>
  </si>
  <si>
    <t>1100906364ABN</t>
  </si>
  <si>
    <t>1100906364AFN</t>
  </si>
  <si>
    <t>1100906364AIN</t>
  </si>
  <si>
    <t>1101004364AMN</t>
  </si>
  <si>
    <t>1101104364ARN</t>
  </si>
  <si>
    <t>1101104364AWN</t>
  </si>
  <si>
    <t>110112402811N</t>
  </si>
  <si>
    <t>110112502811N</t>
  </si>
  <si>
    <t>110112602811N</t>
  </si>
  <si>
    <t>110113002811N</t>
  </si>
  <si>
    <t>110120102811N</t>
  </si>
  <si>
    <t>110120202811N</t>
  </si>
  <si>
    <t>1101206364AJN</t>
  </si>
  <si>
    <t>1101206364ALN</t>
  </si>
  <si>
    <t>1101206364AQN</t>
  </si>
  <si>
    <t>1101206364AVN</t>
  </si>
  <si>
    <t>110120802811N</t>
  </si>
  <si>
    <t>110121502711N</t>
  </si>
  <si>
    <t>110121502811N</t>
  </si>
  <si>
    <t>110121602811N</t>
  </si>
  <si>
    <t>110121702811N</t>
  </si>
  <si>
    <t>1101220Y02ANN</t>
  </si>
  <si>
    <t>1101220Y02ARN</t>
  </si>
  <si>
    <r>
      <rPr>
        <b/>
        <sz val="12"/>
        <rFont val="標楷體"/>
        <family val="4"/>
        <charset val="136"/>
      </rPr>
      <t>庫存成本</t>
    </r>
    <phoneticPr fontId="3" type="noConversion"/>
  </si>
  <si>
    <r>
      <rPr>
        <b/>
        <sz val="12"/>
        <rFont val="標楷體"/>
        <family val="4"/>
        <charset val="136"/>
      </rPr>
      <t>資產市價
（含息價）</t>
    </r>
    <phoneticPr fontId="3" type="noConversion"/>
  </si>
  <si>
    <r>
      <rPr>
        <b/>
        <sz val="12"/>
        <rFont val="標楷體"/>
        <family val="4"/>
        <charset val="136"/>
      </rPr>
      <t>資產市價
（除息價）</t>
    </r>
    <phoneticPr fontId="3" type="noConversion"/>
  </si>
  <si>
    <t>TWD</t>
  </si>
  <si>
    <t>RateDates</t>
    <phoneticPr fontId="3" type="noConversion"/>
  </si>
  <si>
    <t>CurveDiscounts</t>
    <phoneticPr fontId="3" type="noConversion"/>
  </si>
  <si>
    <t>qlDiscountCurve</t>
  </si>
  <si>
    <t>Continuous</t>
  </si>
  <si>
    <t>1090416Y02AEN</t>
  </si>
  <si>
    <t>1100304364AJN</t>
  </si>
  <si>
    <t>1100304364AMN</t>
  </si>
  <si>
    <t>1100406364ADN</t>
  </si>
  <si>
    <t>1100406364AFN</t>
  </si>
  <si>
    <t>1100406364AIN</t>
  </si>
  <si>
    <t>1100415Y02ANN</t>
  </si>
  <si>
    <t>1100504364A8N</t>
  </si>
  <si>
    <t>1100504364A9N</t>
  </si>
  <si>
    <t>1100504364ACN</t>
  </si>
  <si>
    <t>1100504364AFN</t>
  </si>
  <si>
    <t>1100513Y02ALN</t>
  </si>
  <si>
    <t>1100604364AAN</t>
  </si>
  <si>
    <t>1100604364ACN</t>
  </si>
  <si>
    <t>1100604364AFN</t>
  </si>
  <si>
    <t>1100604364AKN</t>
  </si>
  <si>
    <t>1100617Y02AHN</t>
  </si>
  <si>
    <t>1100705364A7N</t>
  </si>
  <si>
    <t>1100705364A9N</t>
  </si>
  <si>
    <t>1100705364ADN</t>
  </si>
  <si>
    <t>1100705364AFN</t>
  </si>
  <si>
    <t>1100705364AHN</t>
  </si>
  <si>
    <t>1100715Y02ACN</t>
  </si>
  <si>
    <t>1100715Y02AHN</t>
  </si>
  <si>
    <t>1100906364A8N</t>
  </si>
  <si>
    <t>1101004364AHN</t>
  </si>
  <si>
    <t>1101004364APN</t>
  </si>
  <si>
    <t>1101104364AGN</t>
  </si>
  <si>
    <t>1101104364ALN</t>
  </si>
  <si>
    <t>1101206364AGN</t>
  </si>
  <si>
    <t>TWNCDDF</t>
    <phoneticPr fontId="2" type="noConversion"/>
  </si>
  <si>
    <t>A/365</t>
    <phoneticPr fontId="3" type="noConversion"/>
  </si>
  <si>
    <t>Taibor3M</t>
    <phoneticPr fontId="2" type="noConversion"/>
  </si>
  <si>
    <t>Re-Calculate</t>
    <phoneticPr fontId="3" type="noConversion"/>
  </si>
  <si>
    <t>NCDEng</t>
    <phoneticPr fontId="3" type="noConversion"/>
  </si>
  <si>
    <t>110122202811N</t>
  </si>
  <si>
    <t>110122302811N</t>
  </si>
  <si>
    <t>110122402811N</t>
  </si>
  <si>
    <t>110122802711N</t>
  </si>
  <si>
    <t>110122802811N</t>
  </si>
  <si>
    <t>A/365F</t>
    <phoneticPr fontId="2" type="noConversion"/>
  </si>
  <si>
    <t>20D</t>
  </si>
  <si>
    <t>30D</t>
  </si>
  <si>
    <t>60D</t>
  </si>
  <si>
    <t>90D</t>
  </si>
  <si>
    <t>120D</t>
  </si>
  <si>
    <t>150D</t>
  </si>
  <si>
    <t>180D</t>
  </si>
  <si>
    <t>365D</t>
  </si>
  <si>
    <t>10D</t>
    <phoneticPr fontId="2" type="noConversion"/>
  </si>
  <si>
    <t>F</t>
    <phoneticPr fontId="2" type="noConversion"/>
  </si>
  <si>
    <t>20D</t>
    <phoneticPr fontId="2" type="noConversion"/>
  </si>
  <si>
    <t>SettlDays</t>
    <phoneticPr fontId="3" type="noConversion"/>
  </si>
  <si>
    <t>FixedLegFrequency</t>
    <phoneticPr fontId="3" type="noConversion"/>
  </si>
  <si>
    <t>FixedLegConvention</t>
    <phoneticPr fontId="3" type="noConversion"/>
  </si>
  <si>
    <t>FixedLegDayCounter</t>
    <phoneticPr fontId="3" type="noConversion"/>
  </si>
  <si>
    <t>IborIndex</t>
    <phoneticPr fontId="3" type="noConversion"/>
  </si>
  <si>
    <t>Spread</t>
    <phoneticPr fontId="3" type="noConversion"/>
  </si>
  <si>
    <t>ForwardStart</t>
    <phoneticPr fontId="3" type="noConversion"/>
  </si>
  <si>
    <t>DiscountingCurve</t>
    <phoneticPr fontId="3" type="noConversion"/>
  </si>
  <si>
    <t>PillarDate</t>
    <phoneticPr fontId="3" type="noConversion"/>
  </si>
  <si>
    <t>CustomPillarDate</t>
    <phoneticPr fontId="3" type="noConversion"/>
  </si>
  <si>
    <t>qlSwapRateHelper2</t>
  </si>
  <si>
    <t>Annual</t>
  </si>
  <si>
    <t>A/365</t>
  </si>
  <si>
    <t>0D</t>
  </si>
  <si>
    <t>065000039109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</si>
</sst>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-* #,##0.00_-;\-* #,##0.00_-;_-* &quot;-&quot;??_-;_-@_-"/>
    <numFmt numFmtId="176" formatCode="0.000000%"/>
    <numFmt numFmtId="177" formatCode="0.00000%"/>
    <numFmt numFmtId="178" formatCode="0_ "/>
    <numFmt numFmtId="179" formatCode="0.00000000_ "/>
    <numFmt numFmtId="180" formatCode="0_);[Red]\(0\)"/>
    <numFmt numFmtId="181" formatCode="_-* #,##0_-;\-* #,##0_-;_-* &quot;-&quot;??_-;_-@_-"/>
    <numFmt numFmtId="182" formatCode="#,##0_ "/>
    <numFmt numFmtId="183" formatCode="#,##0_ ;[Red]\-#,##0\ "/>
    <numFmt numFmtId="184" formatCode="_-* #,##0.0000_-;\-* #,##0.0000_-;_-* &quot;-&quot;??_-;_-@_-"/>
    <numFmt numFmtId="186" formatCode="_-* #,##0.000000_-;\-* #,##0.000000_-;_-* &quot;-&quot;??_-;_-@_-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1"/>
      <color indexed="12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rgb="FFFF0000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name val="Calibri"/>
      <family val="2"/>
    </font>
    <font>
      <sz val="12"/>
      <color theme="1"/>
      <name val="Calibri"/>
      <family val="2"/>
    </font>
    <font>
      <sz val="12"/>
      <name val="Palatino Linotype"/>
      <family val="1"/>
    </font>
    <font>
      <b/>
      <sz val="12"/>
      <name val="Palatino Linotype"/>
      <family val="1"/>
    </font>
    <font>
      <b/>
      <sz val="12"/>
      <name val="標楷體"/>
      <family val="4"/>
      <charset val="136"/>
    </font>
    <font>
      <sz val="12"/>
      <color rgb="FFFF0000"/>
      <name val="Calibri"/>
      <family val="2"/>
    </font>
    <font>
      <b/>
      <sz val="11"/>
      <color theme="1"/>
      <name val="Calibri"/>
      <family val="2"/>
    </font>
    <font>
      <b/>
      <sz val="11"/>
      <color rgb="FF7030A0"/>
      <name val="Calibri"/>
      <family val="2"/>
    </font>
    <font>
      <b/>
      <sz val="11"/>
      <color theme="7" tint="-0.499984740745262"/>
      <name val="Calibri"/>
      <family val="2"/>
    </font>
    <font>
      <sz val="12"/>
      <color theme="0"/>
      <name val="Calibri"/>
      <family val="2"/>
    </font>
    <font>
      <b/>
      <sz val="12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4" fillId="0" borderId="0" xfId="0" applyFont="1" applyBorder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2" borderId="0" xfId="0" applyFont="1" applyFill="1">
      <alignment vertical="center"/>
    </xf>
    <xf numFmtId="0" fontId="4" fillId="0" borderId="0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5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14" fontId="5" fillId="2" borderId="0" xfId="0" applyNumberFormat="1" applyFont="1" applyFill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5" fillId="3" borderId="0" xfId="0" applyFont="1" applyFill="1">
      <alignment vertical="center"/>
    </xf>
    <xf numFmtId="14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5" fillId="0" borderId="0" xfId="0" applyNumberFormat="1" applyFont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10" fillId="0" borderId="0" xfId="0" applyFont="1">
      <alignment vertical="center"/>
    </xf>
    <xf numFmtId="0" fontId="9" fillId="4" borderId="0" xfId="0" applyFont="1" applyFill="1">
      <alignment vertical="center"/>
    </xf>
    <xf numFmtId="176" fontId="5" fillId="5" borderId="0" xfId="1" applyNumberFormat="1" applyFont="1" applyFill="1">
      <alignment vertical="center"/>
    </xf>
    <xf numFmtId="179" fontId="5" fillId="5" borderId="0" xfId="1" applyNumberFormat="1" applyFont="1" applyFill="1">
      <alignment vertical="center"/>
    </xf>
    <xf numFmtId="14" fontId="7" fillId="0" borderId="0" xfId="0" applyNumberFormat="1" applyFont="1">
      <alignment vertical="center"/>
    </xf>
    <xf numFmtId="180" fontId="5" fillId="2" borderId="0" xfId="0" applyNumberFormat="1" applyFont="1" applyFill="1" applyAlignment="1">
      <alignment horizontal="left"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181" fontId="11" fillId="0" borderId="0" xfId="2" applyNumberFormat="1" applyFont="1">
      <alignment vertical="center"/>
    </xf>
    <xf numFmtId="182" fontId="4" fillId="0" borderId="0" xfId="2" applyNumberFormat="1" applyFont="1" applyFill="1" applyBorder="1" applyAlignment="1">
      <alignment horizontal="center" vertical="center"/>
    </xf>
    <xf numFmtId="182" fontId="11" fillId="0" borderId="0" xfId="2" applyNumberFormat="1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0" xfId="0" quotePrefix="1" applyFont="1">
      <alignment vertical="center"/>
    </xf>
    <xf numFmtId="49" fontId="12" fillId="0" borderId="0" xfId="0" quotePrefix="1" applyNumberFormat="1" applyFont="1" applyAlignment="1">
      <alignment vertical="center"/>
    </xf>
    <xf numFmtId="183" fontId="13" fillId="0" borderId="1" xfId="0" applyNumberFormat="1" applyFont="1" applyBorder="1" applyAlignment="1">
      <alignment horizontal="center" vertical="center" wrapText="1"/>
    </xf>
    <xf numFmtId="183" fontId="13" fillId="0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178" fontId="6" fillId="0" borderId="0" xfId="1" applyNumberFormat="1" applyFont="1">
      <alignment vertical="center"/>
    </xf>
    <xf numFmtId="14" fontId="7" fillId="0" borderId="0" xfId="0" applyNumberFormat="1" applyFont="1" applyAlignment="1">
      <alignment horizontal="center" vertical="center"/>
    </xf>
    <xf numFmtId="184" fontId="11" fillId="0" borderId="0" xfId="0" applyNumberFormat="1" applyFont="1">
      <alignment vertical="center"/>
    </xf>
    <xf numFmtId="0" fontId="4" fillId="6" borderId="0" xfId="0" applyFont="1" applyFill="1" applyBorder="1" applyAlignment="1">
      <alignment horizontal="center" vertical="center"/>
    </xf>
    <xf numFmtId="0" fontId="6" fillId="7" borderId="0" xfId="0" applyFont="1" applyFill="1">
      <alignment vertical="center"/>
    </xf>
    <xf numFmtId="179" fontId="10" fillId="5" borderId="0" xfId="1" applyNumberFormat="1" applyFont="1" applyFill="1">
      <alignment vertical="center"/>
    </xf>
    <xf numFmtId="0" fontId="5" fillId="3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/>
    </xf>
    <xf numFmtId="0" fontId="6" fillId="3" borderId="0" xfId="0" applyFont="1" applyFill="1">
      <alignment vertical="center"/>
    </xf>
    <xf numFmtId="0" fontId="8" fillId="8" borderId="0" xfId="0" applyFont="1" applyFill="1" applyBorder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14" fontId="6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6" borderId="0" xfId="0" quotePrefix="1" applyFont="1" applyFill="1">
      <alignment vertical="center"/>
    </xf>
    <xf numFmtId="14" fontId="11" fillId="6" borderId="0" xfId="0" applyNumberFormat="1" applyFont="1" applyFill="1">
      <alignment vertical="center"/>
    </xf>
    <xf numFmtId="14" fontId="5" fillId="6" borderId="0" xfId="0" applyNumberFormat="1" applyFont="1" applyFill="1">
      <alignment vertical="center"/>
    </xf>
    <xf numFmtId="14" fontId="16" fillId="0" borderId="0" xfId="0" applyNumberFormat="1" applyFont="1">
      <alignment vertical="center"/>
    </xf>
    <xf numFmtId="186" fontId="11" fillId="0" borderId="0" xfId="0" applyNumberFormat="1" applyFont="1">
      <alignment vertical="center"/>
    </xf>
    <xf numFmtId="0" fontId="11" fillId="6" borderId="0" xfId="0" applyFont="1" applyFill="1">
      <alignment vertical="center"/>
    </xf>
  </cellXfs>
  <cellStyles count="3">
    <cellStyle name="一般" xfId="0" builtinId="0"/>
    <cellStyle name="千分位" xfId="2" builtinId="3"/>
    <cellStyle name="百分比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16</xdr:col>
      <xdr:colOff>9525</xdr:colOff>
      <xdr:row>10</xdr:row>
      <xdr:rowOff>9525</xdr:rowOff>
    </xdr:to>
    <xdr:pic>
      <xdr:nvPicPr>
        <xdr:cNvPr id="2" name="圖片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1600200"/>
          <a:ext cx="1248727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2</xdr:row>
      <xdr:rowOff>133350</xdr:rowOff>
    </xdr:from>
    <xdr:to>
      <xdr:col>7</xdr:col>
      <xdr:colOff>256107</xdr:colOff>
      <xdr:row>15</xdr:row>
      <xdr:rowOff>190168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533400"/>
          <a:ext cx="8542857" cy="265714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1266825</xdr:colOff>
      <xdr:row>19</xdr:row>
      <xdr:rowOff>9525</xdr:rowOff>
    </xdr:to>
    <xdr:pic>
      <xdr:nvPicPr>
        <xdr:cNvPr id="3" name="圖片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7925" y="3400425"/>
          <a:ext cx="126682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hchien/Desktop/YieldCurveBootstr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es"/>
      <sheetName val="RateHelpers"/>
      <sheetName val="Bootstrapping"/>
    </sheetNames>
    <sheetDataSet>
      <sheetData sheetId="0">
        <row r="1">
          <cell r="B1" t="str">
            <v>obj_00015#0000</v>
          </cell>
        </row>
      </sheetData>
      <sheetData sheetId="1">
        <row r="12">
          <cell r="A12" t="e">
            <v>#NUM!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Z55"/>
  <sheetViews>
    <sheetView workbookViewId="0">
      <selection activeCell="Q3" sqref="Q3:Q11"/>
    </sheetView>
  </sheetViews>
  <sheetFormatPr defaultColWidth="9" defaultRowHeight="15" x14ac:dyDescent="0.25"/>
  <cols>
    <col min="1" max="1" width="20.375" style="3" customWidth="1"/>
    <col min="2" max="2" width="12.625" style="3" customWidth="1"/>
    <col min="3" max="3" width="10" style="3" customWidth="1"/>
    <col min="4" max="6" width="10.5" style="3" customWidth="1"/>
    <col min="7" max="7" width="16.375" style="3" customWidth="1"/>
    <col min="8" max="8" width="14" style="3" customWidth="1"/>
    <col min="9" max="9" width="5.75" style="3" customWidth="1"/>
    <col min="10" max="10" width="10.125" style="3" customWidth="1"/>
    <col min="11" max="11" width="17.25" style="3" customWidth="1"/>
    <col min="12" max="12" width="11.375" style="3" customWidth="1"/>
    <col min="13" max="13" width="10.375" style="3" customWidth="1"/>
    <col min="14" max="14" width="8.25" style="3" customWidth="1"/>
    <col min="15" max="15" width="11.625" style="3" customWidth="1"/>
    <col min="16" max="16" width="10.375" style="3" customWidth="1"/>
    <col min="17" max="17" width="10.625" style="3" customWidth="1"/>
    <col min="18" max="18" width="13.625" style="3" customWidth="1"/>
    <col min="19" max="19" width="8.5" style="3" customWidth="1"/>
    <col min="20" max="20" width="13" style="3" customWidth="1"/>
    <col min="21" max="21" width="11.5" style="3" customWidth="1"/>
    <col min="22" max="22" width="11.75" style="3" customWidth="1"/>
    <col min="23" max="26" width="7.25" style="3" customWidth="1"/>
    <col min="27" max="16384" width="9" style="3"/>
  </cols>
  <sheetData>
    <row r="1" spans="1:24" x14ac:dyDescent="0.25">
      <c r="A1" s="1" t="s">
        <v>0</v>
      </c>
      <c r="B1" s="16">
        <v>44616</v>
      </c>
      <c r="C1" s="51" t="s">
        <v>46</v>
      </c>
      <c r="D1" s="51" t="s">
        <v>42</v>
      </c>
      <c r="E1" s="51" t="s">
        <v>45</v>
      </c>
      <c r="F1" s="51" t="s">
        <v>47</v>
      </c>
    </row>
    <row r="2" spans="1:24" x14ac:dyDescent="0.25">
      <c r="A2" s="5" t="s">
        <v>1</v>
      </c>
      <c r="B2" s="3" t="b">
        <f>_xll.qlSettingsSetEvaluationDate(B1,B1)</f>
        <v>1</v>
      </c>
      <c r="C2" s="22">
        <f>D2-$B$1</f>
        <v>0</v>
      </c>
      <c r="D2" s="2">
        <f t="array" ref="D2:D11">_xll.qlPiecewiseYieldCurveDates(B25)</f>
        <v>44616</v>
      </c>
      <c r="E2" s="25">
        <f t="array" ref="E2:E11">_xll.qlYieldTSZeroRate(A43,D2:D11,A45,A46,A47,A48,A49)</f>
        <v>4.8596441231378729E-3</v>
      </c>
      <c r="F2" s="26">
        <f t="array" ref="F2:F11">_xll.qlYieldTSDiscount(A43,D2:D11,TRUE,B5)</f>
        <v>1</v>
      </c>
      <c r="G2" s="4" t="s">
        <v>44</v>
      </c>
      <c r="H2" s="4" t="s">
        <v>13</v>
      </c>
      <c r="I2" s="4" t="s">
        <v>8</v>
      </c>
      <c r="J2" s="4" t="s">
        <v>11</v>
      </c>
      <c r="K2" s="4" t="s">
        <v>12</v>
      </c>
      <c r="L2" s="4" t="s">
        <v>4</v>
      </c>
      <c r="M2" s="4" t="s">
        <v>14</v>
      </c>
      <c r="N2" s="4" t="s">
        <v>5</v>
      </c>
      <c r="O2" s="4" t="s">
        <v>6</v>
      </c>
      <c r="P2" s="4" t="s">
        <v>7</v>
      </c>
      <c r="Q2" s="4" t="s">
        <v>12</v>
      </c>
      <c r="R2" s="8"/>
      <c r="S2" s="4"/>
      <c r="T2" s="4"/>
      <c r="U2" s="4"/>
      <c r="V2" s="4"/>
      <c r="W2" s="4"/>
      <c r="X2" s="4"/>
    </row>
    <row r="3" spans="1:24" x14ac:dyDescent="0.25">
      <c r="A3" s="1"/>
      <c r="B3" s="16"/>
      <c r="C3" s="22">
        <f t="shared" ref="C3:C8" si="0">D3-$B$1</f>
        <v>11</v>
      </c>
      <c r="D3" s="2">
        <v>44627</v>
      </c>
      <c r="E3" s="25">
        <v>4.8596441229692222E-3</v>
      </c>
      <c r="F3" s="45">
        <v>0.9998535556956506</v>
      </c>
      <c r="G3" s="44" t="str">
        <f>H28</f>
        <v>obj_00015#0003</v>
      </c>
      <c r="H3" s="47" t="str">
        <f>_xll.qlSimpleQuote(J3,K3,M3,N3,O3,P3)</f>
        <v>obj_00013#0003</v>
      </c>
      <c r="I3" s="3" t="str">
        <f>_xll.ohRangeRetrieveError(H3)</f>
        <v/>
      </c>
      <c r="K3" s="23">
        <f>Q3/100</f>
        <v>4.8599999999999997E-3</v>
      </c>
      <c r="L3" s="6" t="s">
        <v>161</v>
      </c>
      <c r="M3" s="3">
        <v>0.01</v>
      </c>
      <c r="N3" s="11" t="b">
        <v>0</v>
      </c>
      <c r="O3" s="28">
        <f>$B$5</f>
        <v>1</v>
      </c>
      <c r="P3" s="7" t="b">
        <v>1</v>
      </c>
      <c r="Q3" s="24">
        <v>0.48599999999999999</v>
      </c>
      <c r="R3" s="27"/>
      <c r="S3" s="2"/>
      <c r="T3" s="2"/>
      <c r="U3" s="6"/>
      <c r="X3" s="4"/>
    </row>
    <row r="4" spans="1:24" x14ac:dyDescent="0.25">
      <c r="A4" s="1" t="s">
        <v>52</v>
      </c>
      <c r="B4" s="16">
        <f>_xll.qlCalendarAdvance(B13,B1,"0D",V3,W3,_xll.ohTrigger(B2))</f>
        <v>44616</v>
      </c>
      <c r="C4" s="22">
        <f t="shared" si="0"/>
        <v>20</v>
      </c>
      <c r="D4" s="2">
        <v>44636</v>
      </c>
      <c r="E4" s="25">
        <v>5.046302259894447E-3</v>
      </c>
      <c r="F4" s="45">
        <v>0.99972352851241642</v>
      </c>
      <c r="G4" s="44" t="str">
        <f t="shared" ref="G4:G11" si="1">H29</f>
        <v>obj_00022#0001</v>
      </c>
      <c r="H4" s="47" t="str">
        <f>_xll.qlSimpleQuote(J4,K4,M4,N4,O4,P4)</f>
        <v>obj_0001c#0001</v>
      </c>
      <c r="I4" s="3" t="str">
        <f>_xll.ohRangeRetrieveError(H4)</f>
        <v/>
      </c>
      <c r="K4" s="23">
        <f t="shared" ref="K4:K11" si="2">Q4/100</f>
        <v>5.0470000000000003E-3</v>
      </c>
      <c r="L4" s="6" t="s">
        <v>153</v>
      </c>
      <c r="M4" s="3">
        <f>$M$3</f>
        <v>0.01</v>
      </c>
      <c r="N4" s="11" t="b">
        <v>0</v>
      </c>
      <c r="O4" s="28">
        <f t="shared" ref="O4:O11" si="3">$B$5</f>
        <v>1</v>
      </c>
      <c r="P4" s="7" t="b">
        <v>1</v>
      </c>
      <c r="Q4" s="24">
        <v>0.50470000000000004</v>
      </c>
      <c r="R4" s="27"/>
      <c r="S4" s="2"/>
      <c r="T4" s="2"/>
      <c r="U4" s="6"/>
      <c r="X4" s="4"/>
    </row>
    <row r="5" spans="1:24" x14ac:dyDescent="0.25">
      <c r="A5" s="8" t="s">
        <v>6</v>
      </c>
      <c r="B5" s="3">
        <v>1</v>
      </c>
      <c r="C5" s="22">
        <f t="shared" si="0"/>
        <v>32</v>
      </c>
      <c r="D5" s="58">
        <v>44648</v>
      </c>
      <c r="E5" s="25">
        <v>5.2357981248432736E-3</v>
      </c>
      <c r="F5" s="45">
        <v>0.99954107646093804</v>
      </c>
      <c r="G5" s="44" t="str">
        <f t="shared" si="1"/>
        <v>obj_00023#0001</v>
      </c>
      <c r="H5" s="47" t="str">
        <f>_xll.qlSimpleQuote(J5,K5,M5,N5,O5,P5)</f>
        <v>obj_00017#0001</v>
      </c>
      <c r="I5" s="3" t="str">
        <f>_xll.ohRangeRetrieveError(H5)</f>
        <v/>
      </c>
      <c r="K5" s="23">
        <f t="shared" si="2"/>
        <v>5.2370000000000003E-3</v>
      </c>
      <c r="L5" s="6" t="s">
        <v>154</v>
      </c>
      <c r="M5" s="3">
        <f t="shared" ref="M5:M8" si="4">$M$3</f>
        <v>0.01</v>
      </c>
      <c r="N5" s="11" t="b">
        <v>0</v>
      </c>
      <c r="O5" s="28">
        <f t="shared" si="3"/>
        <v>1</v>
      </c>
      <c r="P5" s="7" t="b">
        <v>1</v>
      </c>
      <c r="Q5" s="24">
        <v>0.52370000000000005</v>
      </c>
      <c r="R5" s="27"/>
      <c r="S5" s="2"/>
      <c r="T5" s="2"/>
      <c r="U5" s="6"/>
      <c r="X5" s="4"/>
    </row>
    <row r="6" spans="1:24" x14ac:dyDescent="0.25">
      <c r="A6" s="8"/>
      <c r="C6" s="22">
        <f t="shared" si="0"/>
        <v>60</v>
      </c>
      <c r="D6" s="2">
        <v>44676</v>
      </c>
      <c r="E6" s="25">
        <v>5.6403843476415146E-3</v>
      </c>
      <c r="F6" s="45">
        <v>0.99907324323645208</v>
      </c>
      <c r="G6" s="44" t="str">
        <f t="shared" si="1"/>
        <v>obj_00024#0001</v>
      </c>
      <c r="H6" s="47" t="str">
        <f>_xll.qlSimpleQuote(J6,K6,M6,N6,O6,P6)</f>
        <v>obj_0001a#0001</v>
      </c>
      <c r="I6" s="3" t="str">
        <f>_xll.ohRangeRetrieveError(H6)</f>
        <v/>
      </c>
      <c r="K6" s="23">
        <f t="shared" si="2"/>
        <v>5.6430000000000004E-3</v>
      </c>
      <c r="L6" s="6" t="s">
        <v>155</v>
      </c>
      <c r="M6" s="3">
        <f t="shared" si="4"/>
        <v>0.01</v>
      </c>
      <c r="N6" s="11" t="b">
        <v>0</v>
      </c>
      <c r="O6" s="28">
        <f t="shared" si="3"/>
        <v>1</v>
      </c>
      <c r="P6" s="7" t="b">
        <v>1</v>
      </c>
      <c r="Q6" s="24">
        <v>0.56430000000000002</v>
      </c>
      <c r="R6" s="27"/>
      <c r="S6" s="2"/>
      <c r="T6" s="2"/>
      <c r="U6" s="6"/>
      <c r="X6" s="4"/>
    </row>
    <row r="7" spans="1:24" x14ac:dyDescent="0.25">
      <c r="A7" s="3" t="s">
        <v>20</v>
      </c>
      <c r="B7" s="49" t="str">
        <f>_xll.qlIborIndex(B8,B9,B10,B11,B12,B13,B14,B15,B16,B17,B18,B19,B20)</f>
        <v>Taibor3M#0003</v>
      </c>
      <c r="C7" s="22">
        <f t="shared" si="0"/>
        <v>90</v>
      </c>
      <c r="D7" s="2">
        <v>44706</v>
      </c>
      <c r="E7" s="25">
        <v>6.0784425566573251E-3</v>
      </c>
      <c r="F7" s="45">
        <v>0.99850232857580934</v>
      </c>
      <c r="G7" s="44" t="str">
        <f t="shared" si="1"/>
        <v>obj_00029#0001</v>
      </c>
      <c r="H7" s="47" t="str">
        <f>_xll.qlSimpleQuote(J7,K7,M7,N7,O7,P7)</f>
        <v>obj_00018#0001</v>
      </c>
      <c r="I7" s="3" t="str">
        <f>_xll.ohRangeRetrieveError(H7)</f>
        <v/>
      </c>
      <c r="K7" s="23">
        <f t="shared" si="2"/>
        <v>6.0829999999999999E-3</v>
      </c>
      <c r="L7" s="6" t="s">
        <v>156</v>
      </c>
      <c r="M7" s="3">
        <f t="shared" si="4"/>
        <v>0.01</v>
      </c>
      <c r="N7" s="11" t="b">
        <v>0</v>
      </c>
      <c r="O7" s="28">
        <f t="shared" si="3"/>
        <v>1</v>
      </c>
      <c r="P7" s="7" t="b">
        <v>1</v>
      </c>
      <c r="Q7" s="24">
        <v>0.60829999999999995</v>
      </c>
      <c r="R7" s="27"/>
      <c r="S7" s="2"/>
      <c r="T7" s="2"/>
      <c r="U7" s="6"/>
      <c r="X7" s="4"/>
    </row>
    <row r="8" spans="1:24" x14ac:dyDescent="0.25">
      <c r="A8" s="8" t="s">
        <v>2</v>
      </c>
      <c r="B8" s="9" t="s">
        <v>144</v>
      </c>
      <c r="C8" s="22">
        <f t="shared" si="0"/>
        <v>120</v>
      </c>
      <c r="D8" s="2">
        <v>44736</v>
      </c>
      <c r="E8" s="25">
        <v>6.4361856898867403E-3</v>
      </c>
      <c r="F8" s="45">
        <v>0.99788623090879613</v>
      </c>
      <c r="G8" s="44" t="str">
        <f t="shared" si="1"/>
        <v>obj_0002a#0001</v>
      </c>
      <c r="H8" s="47" t="str">
        <f>_xll.qlSimpleQuote(J8,K8,M8,N8,O8,P8)</f>
        <v>obj_00016#0001</v>
      </c>
      <c r="I8" s="3" t="str">
        <f>_xll.ohRangeRetrieveError(H8)</f>
        <v/>
      </c>
      <c r="K8" s="23">
        <f t="shared" si="2"/>
        <v>6.4429999999999999E-3</v>
      </c>
      <c r="L8" s="6" t="s">
        <v>157</v>
      </c>
      <c r="M8" s="3">
        <f t="shared" si="4"/>
        <v>0.01</v>
      </c>
      <c r="N8" s="11" t="b">
        <v>0</v>
      </c>
      <c r="O8" s="28">
        <f t="shared" si="3"/>
        <v>1</v>
      </c>
      <c r="P8" s="7" t="b">
        <v>1</v>
      </c>
      <c r="Q8" s="24">
        <v>0.64429999999999998</v>
      </c>
      <c r="R8" s="27"/>
      <c r="S8" s="2"/>
      <c r="T8" s="2"/>
      <c r="U8" s="6"/>
      <c r="X8" s="4"/>
    </row>
    <row r="9" spans="1:24" x14ac:dyDescent="0.25">
      <c r="A9" s="8" t="s">
        <v>21</v>
      </c>
      <c r="B9" s="9"/>
      <c r="C9" s="22"/>
      <c r="D9" s="2">
        <v>44767</v>
      </c>
      <c r="E9" s="25">
        <v>6.7605371605435095E-3</v>
      </c>
      <c r="F9" s="45">
        <v>0.99720708250894119</v>
      </c>
      <c r="G9" s="44" t="str">
        <f t="shared" si="1"/>
        <v>obj_0002b#0001</v>
      </c>
      <c r="H9" s="47" t="str">
        <f>_xll.qlSimpleQuote(J9,K9,M9,N9,O9,P9)</f>
        <v>obj_0001b#0001</v>
      </c>
      <c r="K9" s="23">
        <f t="shared" si="2"/>
        <v>6.7700000000000008E-3</v>
      </c>
      <c r="L9" s="6" t="s">
        <v>158</v>
      </c>
      <c r="M9" s="3">
        <v>1.01</v>
      </c>
      <c r="N9" s="11" t="b">
        <v>0</v>
      </c>
      <c r="O9" s="28">
        <f t="shared" si="3"/>
        <v>1</v>
      </c>
      <c r="P9" s="7" t="b">
        <v>1</v>
      </c>
      <c r="Q9" s="24">
        <v>0.67700000000000005</v>
      </c>
      <c r="R9" s="27"/>
      <c r="S9" s="2"/>
      <c r="T9" s="2"/>
      <c r="U9" s="6"/>
      <c r="X9" s="4"/>
    </row>
    <row r="10" spans="1:24" x14ac:dyDescent="0.25">
      <c r="A10" s="8" t="s">
        <v>4</v>
      </c>
      <c r="B10" s="9" t="s">
        <v>25</v>
      </c>
      <c r="C10" s="22"/>
      <c r="D10" s="2">
        <v>44796</v>
      </c>
      <c r="E10" s="25">
        <v>7.127459117482457E-3</v>
      </c>
      <c r="F10" s="45">
        <v>0.99649125872407629</v>
      </c>
      <c r="G10" s="44" t="str">
        <f t="shared" si="1"/>
        <v>obj_0002c#0001</v>
      </c>
      <c r="H10" s="47" t="str">
        <f>_xll.qlSimpleQuote(J10,K10,M10,N10,O10,P10)</f>
        <v>obj_0001d#0001</v>
      </c>
      <c r="K10" s="23">
        <f t="shared" si="2"/>
        <v>7.1399999999999996E-3</v>
      </c>
      <c r="L10" s="6" t="s">
        <v>159</v>
      </c>
      <c r="M10" s="3">
        <f>$M$3</f>
        <v>0.01</v>
      </c>
      <c r="N10" s="11" t="b">
        <v>0</v>
      </c>
      <c r="O10" s="28">
        <f t="shared" si="3"/>
        <v>1</v>
      </c>
      <c r="P10" s="7" t="b">
        <v>1</v>
      </c>
      <c r="Q10" s="24">
        <v>0.71399999999999997</v>
      </c>
      <c r="R10" s="27"/>
      <c r="S10" s="2"/>
      <c r="T10" s="2"/>
      <c r="U10" s="6"/>
      <c r="X10" s="4"/>
    </row>
    <row r="11" spans="1:24" x14ac:dyDescent="0.25">
      <c r="A11" s="8" t="s">
        <v>17</v>
      </c>
      <c r="B11" s="9">
        <v>0</v>
      </c>
      <c r="C11" s="22"/>
      <c r="D11" s="2">
        <v>44981</v>
      </c>
      <c r="E11" s="25">
        <v>7.9651934540647847E-3</v>
      </c>
      <c r="F11" s="45">
        <v>0.99206644464240168</v>
      </c>
      <c r="G11" s="44" t="str">
        <f t="shared" si="1"/>
        <v>obj_0002d#0001</v>
      </c>
      <c r="H11" s="47" t="str">
        <f>_xll.qlSimpleQuote(J11,K11,M11,N11,O11,P11)</f>
        <v>obj_00019#0001</v>
      </c>
      <c r="K11" s="23">
        <f t="shared" si="2"/>
        <v>7.9969999999999989E-3</v>
      </c>
      <c r="L11" s="6" t="s">
        <v>160</v>
      </c>
      <c r="M11" s="3">
        <f t="shared" ref="M11" si="5">$M$3</f>
        <v>0.01</v>
      </c>
      <c r="N11" s="11" t="b">
        <v>0</v>
      </c>
      <c r="O11" s="28">
        <f t="shared" si="3"/>
        <v>1</v>
      </c>
      <c r="P11" s="7" t="b">
        <v>1</v>
      </c>
      <c r="Q11" s="24">
        <v>0.79969999999999997</v>
      </c>
      <c r="R11" s="27"/>
      <c r="S11" s="2"/>
      <c r="T11" s="2"/>
      <c r="U11" s="6"/>
      <c r="V11" s="2">
        <v>44592</v>
      </c>
      <c r="X11" s="4" t="b">
        <f>_xll.qlCalendarAddHoliday(B13,V11)</f>
        <v>1</v>
      </c>
    </row>
    <row r="12" spans="1:24" x14ac:dyDescent="0.25">
      <c r="A12" s="8" t="s">
        <v>3</v>
      </c>
      <c r="B12" s="9" t="s">
        <v>48</v>
      </c>
      <c r="C12" s="22"/>
      <c r="D12" s="2"/>
      <c r="E12" s="22"/>
      <c r="F12" s="2"/>
      <c r="H12" s="17"/>
      <c r="K12" s="23"/>
      <c r="L12" s="6"/>
      <c r="N12" s="11"/>
      <c r="O12" s="28"/>
      <c r="P12" s="7"/>
      <c r="Q12" s="24"/>
      <c r="R12" s="27"/>
      <c r="S12" s="2"/>
      <c r="T12" s="2"/>
      <c r="U12" s="6"/>
      <c r="V12" s="2">
        <v>44583</v>
      </c>
      <c r="W12" s="3" t="b">
        <f>_xll.qlCalendarIsBusinessDay(N16,V12)</f>
        <v>0</v>
      </c>
      <c r="X12" s="4" t="b">
        <f>_xll.qlCalendarRemoveHoliday(B13,V12)</f>
        <v>1</v>
      </c>
    </row>
    <row r="13" spans="1:24" x14ac:dyDescent="0.25">
      <c r="A13" s="8" t="s">
        <v>9</v>
      </c>
      <c r="B13" s="10" t="s">
        <v>49</v>
      </c>
      <c r="C13" s="22"/>
      <c r="D13" s="2"/>
      <c r="E13" s="22"/>
      <c r="F13" s="2"/>
      <c r="H13" s="17"/>
      <c r="K13" s="23"/>
      <c r="L13" s="6"/>
      <c r="N13" s="11"/>
      <c r="O13" s="28"/>
      <c r="P13" s="7"/>
      <c r="Q13" s="24"/>
      <c r="R13" s="27"/>
      <c r="S13" s="2">
        <v>2</v>
      </c>
      <c r="T13" s="2"/>
      <c r="U13" s="6"/>
      <c r="X13" s="4"/>
    </row>
    <row r="14" spans="1:24" x14ac:dyDescent="0.25">
      <c r="A14" s="8" t="s">
        <v>22</v>
      </c>
      <c r="B14" s="9" t="s">
        <v>26</v>
      </c>
      <c r="C14" s="22"/>
      <c r="D14" s="2"/>
      <c r="E14" s="25"/>
      <c r="F14" s="45"/>
      <c r="H14" s="4" t="s">
        <v>15</v>
      </c>
      <c r="I14" s="4" t="s">
        <v>8</v>
      </c>
      <c r="J14" s="4" t="s">
        <v>2</v>
      </c>
      <c r="K14" s="4" t="s">
        <v>16</v>
      </c>
      <c r="L14" s="4" t="s">
        <v>4</v>
      </c>
      <c r="M14" s="4" t="s">
        <v>17</v>
      </c>
      <c r="N14" s="4" t="s">
        <v>9</v>
      </c>
      <c r="O14" s="4" t="s">
        <v>18</v>
      </c>
      <c r="P14" s="4" t="s">
        <v>19</v>
      </c>
      <c r="Q14" s="4" t="s">
        <v>10</v>
      </c>
      <c r="R14" s="4" t="s">
        <v>5</v>
      </c>
      <c r="S14" s="4" t="s">
        <v>6</v>
      </c>
      <c r="T14" s="4" t="s">
        <v>7</v>
      </c>
      <c r="U14" s="16">
        <f>B1</f>
        <v>44616</v>
      </c>
      <c r="X14" s="4"/>
    </row>
    <row r="15" spans="1:24" x14ac:dyDescent="0.25">
      <c r="A15" s="8" t="s">
        <v>23</v>
      </c>
      <c r="B15" s="9" t="b">
        <v>0</v>
      </c>
      <c r="C15" s="22"/>
      <c r="D15" s="2"/>
      <c r="E15" s="25"/>
      <c r="F15" s="45"/>
      <c r="H15" s="20" t="str">
        <f>_xll.qlDepositRateHelper2(J15,K15,L15,M15,N15,O15,P15,Q15,R15,S15,T15)</f>
        <v>Dep10D#0003</v>
      </c>
      <c r="I15" s="4"/>
      <c r="J15" s="3" t="str">
        <f>"Dep"&amp;L15</f>
        <v>Dep10D</v>
      </c>
      <c r="K15" s="48" t="str">
        <f>H3</f>
        <v>obj_00013#0003</v>
      </c>
      <c r="L15" s="6" t="s">
        <v>161</v>
      </c>
      <c r="M15" s="4">
        <v>0</v>
      </c>
      <c r="N15" s="19" t="s">
        <v>49</v>
      </c>
      <c r="O15" s="4" t="s">
        <v>162</v>
      </c>
      <c r="P15" s="4" t="b">
        <f>$B$15</f>
        <v>0</v>
      </c>
      <c r="Q15" s="3" t="str">
        <f t="shared" ref="Q15:Q23" si="6">$B$16</f>
        <v>A/365</v>
      </c>
      <c r="R15" s="11" t="b">
        <v>0</v>
      </c>
      <c r="S15" s="12">
        <f>S13</f>
        <v>2</v>
      </c>
      <c r="T15" s="7" t="b">
        <v>1</v>
      </c>
      <c r="U15" s="2">
        <f>_xll.qlRateHelperMaturityDate(H15)</f>
        <v>44631</v>
      </c>
      <c r="V15" s="59">
        <f>$U$14+W15+1</f>
        <v>44627</v>
      </c>
      <c r="W15" s="3">
        <v>10</v>
      </c>
      <c r="X15" s="4"/>
    </row>
    <row r="16" spans="1:24" x14ac:dyDescent="0.25">
      <c r="A16" s="8" t="s">
        <v>10</v>
      </c>
      <c r="B16" s="9" t="s">
        <v>143</v>
      </c>
      <c r="C16" s="22"/>
      <c r="D16" s="2"/>
      <c r="E16" s="25"/>
      <c r="F16" s="45"/>
      <c r="H16" s="20" t="str">
        <f>_xll.qlDepositRateHelper2(J16,K16,L16,M16,N16,O16,P16,Q16,R16,S16,T16)</f>
        <v>Dep20D#0001</v>
      </c>
      <c r="J16" s="3" t="str">
        <f t="shared" ref="J16:J23" si="7">"Dep"&amp;L16</f>
        <v>Dep20D</v>
      </c>
      <c r="K16" s="48" t="str">
        <f>H4</f>
        <v>obj_0001c#0001</v>
      </c>
      <c r="L16" s="6" t="s">
        <v>163</v>
      </c>
      <c r="M16" s="4">
        <v>0</v>
      </c>
      <c r="N16" s="19" t="s">
        <v>49</v>
      </c>
      <c r="O16" s="4" t="s">
        <v>162</v>
      </c>
      <c r="P16" s="4" t="b">
        <f t="shared" ref="P16:P23" si="8">$B$15</f>
        <v>0</v>
      </c>
      <c r="Q16" s="3" t="str">
        <f t="shared" si="6"/>
        <v>A/365</v>
      </c>
      <c r="R16" s="11" t="b">
        <v>0</v>
      </c>
      <c r="S16" s="12"/>
      <c r="T16" s="7" t="b">
        <v>1</v>
      </c>
      <c r="U16" s="2">
        <f>_xll.qlRateHelperMaturityDate(H16)</f>
        <v>44645</v>
      </c>
      <c r="V16" s="59">
        <f>$U$14+W16</f>
        <v>44636</v>
      </c>
      <c r="W16" s="3">
        <v>20</v>
      </c>
      <c r="X16" s="4"/>
    </row>
    <row r="17" spans="1:26" x14ac:dyDescent="0.25">
      <c r="A17" s="8" t="s">
        <v>24</v>
      </c>
      <c r="B17" s="9"/>
      <c r="C17" s="22"/>
      <c r="D17" s="2"/>
      <c r="E17" s="25"/>
      <c r="F17" s="45"/>
      <c r="H17" s="20" t="str">
        <f>_xll.qlDepositRateHelper2(J17,K17,L17,M17,N17,O17,P17,Q17,R17,S17,T17)</f>
        <v>Dep30D#0001</v>
      </c>
      <c r="J17" s="3" t="str">
        <f t="shared" si="7"/>
        <v>Dep30D</v>
      </c>
      <c r="K17" s="48" t="str">
        <f>H5</f>
        <v>obj_00017#0001</v>
      </c>
      <c r="L17" s="6" t="str">
        <f t="shared" ref="L17:L23" si="9">L5</f>
        <v>30D</v>
      </c>
      <c r="M17" s="4">
        <v>0</v>
      </c>
      <c r="N17" s="19" t="s">
        <v>49</v>
      </c>
      <c r="O17" s="4" t="s">
        <v>162</v>
      </c>
      <c r="P17" s="4" t="b">
        <f t="shared" si="8"/>
        <v>0</v>
      </c>
      <c r="Q17" s="3" t="str">
        <f t="shared" si="6"/>
        <v>A/365</v>
      </c>
      <c r="R17" s="11" t="b">
        <v>0</v>
      </c>
      <c r="S17" s="12"/>
      <c r="T17" s="7" t="b">
        <v>1</v>
      </c>
      <c r="U17" s="2">
        <f>_xll.qlRateHelperMaturityDate(H17)</f>
        <v>44659</v>
      </c>
      <c r="V17" s="59">
        <f>$U$14+W17+2</f>
        <v>44648</v>
      </c>
      <c r="W17" s="3">
        <v>30</v>
      </c>
      <c r="X17" s="4"/>
    </row>
    <row r="18" spans="1:26" x14ac:dyDescent="0.25">
      <c r="A18" s="8" t="s">
        <v>5</v>
      </c>
      <c r="B18" s="11" t="b">
        <v>0</v>
      </c>
      <c r="C18" s="22"/>
      <c r="D18" s="2"/>
      <c r="E18" s="25"/>
      <c r="F18" s="45"/>
      <c r="H18" s="20" t="str">
        <f>_xll.qlDepositRateHelper2(J18,K18,L18,M18,N18,O18,P18,Q18,R18,S18,T18)</f>
        <v>Dep60D#0001</v>
      </c>
      <c r="J18" s="3" t="str">
        <f t="shared" si="7"/>
        <v>Dep60D</v>
      </c>
      <c r="K18" s="48" t="str">
        <f>H6</f>
        <v>obj_0001a#0001</v>
      </c>
      <c r="L18" s="6" t="str">
        <f t="shared" si="9"/>
        <v>60D</v>
      </c>
      <c r="M18" s="4">
        <v>0</v>
      </c>
      <c r="N18" s="19" t="s">
        <v>49</v>
      </c>
      <c r="O18" s="4" t="s">
        <v>162</v>
      </c>
      <c r="P18" s="4" t="b">
        <f t="shared" si="8"/>
        <v>0</v>
      </c>
      <c r="Q18" s="3" t="str">
        <f t="shared" si="6"/>
        <v>A/365</v>
      </c>
      <c r="R18" s="11" t="b">
        <v>0</v>
      </c>
      <c r="S18" s="12"/>
      <c r="T18" s="7" t="b">
        <v>1</v>
      </c>
      <c r="U18" s="2">
        <f>_xll.qlRateHelperMaturityDate(H18)</f>
        <v>44701</v>
      </c>
      <c r="V18" s="59">
        <f t="shared" ref="V18:V23" si="10">$U$14+W18</f>
        <v>44676</v>
      </c>
      <c r="W18" s="3">
        <v>60</v>
      </c>
      <c r="X18" s="4"/>
    </row>
    <row r="19" spans="1:26" x14ac:dyDescent="0.25">
      <c r="A19" s="8" t="s">
        <v>6</v>
      </c>
      <c r="B19" s="28">
        <f>B5</f>
        <v>1</v>
      </c>
      <c r="C19" s="22"/>
      <c r="D19" s="2"/>
      <c r="E19" s="25"/>
      <c r="F19" s="45"/>
      <c r="H19" s="20" t="str">
        <f>_xll.qlDepositRateHelper2(J19,K19,L19,M19,N19,O19,P19,Q19,R19,S19,T19)</f>
        <v>Dep90D#0001</v>
      </c>
      <c r="J19" s="3" t="str">
        <f t="shared" si="7"/>
        <v>Dep90D</v>
      </c>
      <c r="K19" s="48" t="str">
        <f>H7</f>
        <v>obj_00018#0001</v>
      </c>
      <c r="L19" s="6" t="str">
        <f t="shared" si="9"/>
        <v>90D</v>
      </c>
      <c r="M19" s="4">
        <v>0</v>
      </c>
      <c r="N19" s="19" t="s">
        <v>49</v>
      </c>
      <c r="O19" s="4" t="s">
        <v>162</v>
      </c>
      <c r="P19" s="4" t="b">
        <f t="shared" si="8"/>
        <v>0</v>
      </c>
      <c r="Q19" s="3" t="str">
        <f t="shared" si="6"/>
        <v>A/365</v>
      </c>
      <c r="R19" s="11" t="b">
        <v>0</v>
      </c>
      <c r="S19" s="12"/>
      <c r="T19" s="7" t="b">
        <v>1</v>
      </c>
      <c r="U19" s="2">
        <f>_xll.qlRateHelperMaturityDate(H19)</f>
        <v>44743</v>
      </c>
      <c r="V19" s="59">
        <f t="shared" si="10"/>
        <v>44706</v>
      </c>
      <c r="W19" s="3">
        <v>90</v>
      </c>
      <c r="X19" s="4"/>
    </row>
    <row r="20" spans="1:26" x14ac:dyDescent="0.25">
      <c r="A20" s="8" t="s">
        <v>7</v>
      </c>
      <c r="B20" s="11" t="b">
        <v>1</v>
      </c>
      <c r="C20" s="22"/>
      <c r="D20" s="2"/>
      <c r="E20" s="25"/>
      <c r="F20" s="45"/>
      <c r="G20" s="2"/>
      <c r="H20" s="20" t="str">
        <f>_xll.qlDepositRateHelper2(J20,K20,L20,M20,N20,O20,P20,Q20,R20,S20,T20)</f>
        <v>Dep120D#0001</v>
      </c>
      <c r="J20" s="3" t="str">
        <f t="shared" si="7"/>
        <v>Dep120D</v>
      </c>
      <c r="K20" s="48" t="str">
        <f t="shared" ref="K20:K22" si="11">H8</f>
        <v>obj_00016#0001</v>
      </c>
      <c r="L20" s="6" t="str">
        <f t="shared" si="9"/>
        <v>120D</v>
      </c>
      <c r="M20" s="4">
        <v>0</v>
      </c>
      <c r="N20" s="19" t="s">
        <v>49</v>
      </c>
      <c r="O20" s="4" t="s">
        <v>162</v>
      </c>
      <c r="P20" s="4" t="b">
        <f t="shared" si="8"/>
        <v>0</v>
      </c>
      <c r="Q20" s="3" t="str">
        <f t="shared" si="6"/>
        <v>A/365</v>
      </c>
      <c r="R20" s="11" t="b">
        <v>0</v>
      </c>
      <c r="S20" s="12"/>
      <c r="T20" s="7" t="b">
        <v>1</v>
      </c>
      <c r="U20" s="2">
        <f>_xll.qlRateHelperMaturityDate(H20)</f>
        <v>44785</v>
      </c>
      <c r="V20" s="59">
        <f t="shared" si="10"/>
        <v>44736</v>
      </c>
      <c r="W20" s="3">
        <v>120</v>
      </c>
      <c r="X20" s="4"/>
    </row>
    <row r="21" spans="1:26" x14ac:dyDescent="0.25">
      <c r="C21" s="22"/>
      <c r="D21" s="2"/>
      <c r="E21" s="25"/>
      <c r="F21" s="45"/>
      <c r="G21" s="2"/>
      <c r="H21" s="20" t="str">
        <f>_xll.qlDepositRateHelper2(J21,K21,L21,M21,N21,O21,P21,Q21,R21,S21,T21)</f>
        <v>Dep150D#0001</v>
      </c>
      <c r="J21" s="3" t="str">
        <f t="shared" si="7"/>
        <v>Dep150D</v>
      </c>
      <c r="K21" s="48" t="str">
        <f t="shared" si="11"/>
        <v>obj_0001b#0001</v>
      </c>
      <c r="L21" s="6" t="str">
        <f t="shared" si="9"/>
        <v>150D</v>
      </c>
      <c r="M21" s="4">
        <v>0</v>
      </c>
      <c r="N21" s="19" t="s">
        <v>49</v>
      </c>
      <c r="O21" s="4" t="s">
        <v>162</v>
      </c>
      <c r="P21" s="4" t="b">
        <f t="shared" si="8"/>
        <v>0</v>
      </c>
      <c r="Q21" s="3" t="str">
        <f t="shared" si="6"/>
        <v>A/365</v>
      </c>
      <c r="R21" s="11" t="b">
        <v>0</v>
      </c>
      <c r="S21" s="12"/>
      <c r="T21" s="7" t="b">
        <v>1</v>
      </c>
      <c r="U21" s="2">
        <f>_xll.qlRateHelperMaturityDate(H21)</f>
        <v>44827</v>
      </c>
      <c r="V21" s="59">
        <f t="shared" si="10"/>
        <v>44766</v>
      </c>
      <c r="W21" s="3">
        <v>150</v>
      </c>
      <c r="X21" s="4"/>
    </row>
    <row r="22" spans="1:26" x14ac:dyDescent="0.25">
      <c r="C22" s="22"/>
      <c r="D22" s="2"/>
      <c r="E22" s="25"/>
      <c r="F22" s="45"/>
      <c r="G22" s="2"/>
      <c r="H22" s="20" t="str">
        <f>_xll.qlDepositRateHelper2(J22,K22,L22,M22,N22,O22,P22,Q22,R22,S22,T22)</f>
        <v>Dep180D#0001</v>
      </c>
      <c r="J22" s="3" t="str">
        <f t="shared" si="7"/>
        <v>Dep180D</v>
      </c>
      <c r="K22" s="48" t="str">
        <f t="shared" si="11"/>
        <v>obj_0001d#0001</v>
      </c>
      <c r="L22" s="6" t="str">
        <f t="shared" si="9"/>
        <v>180D</v>
      </c>
      <c r="M22" s="4">
        <v>0</v>
      </c>
      <c r="N22" s="19" t="s">
        <v>49</v>
      </c>
      <c r="O22" s="4" t="s">
        <v>162</v>
      </c>
      <c r="P22" s="4" t="b">
        <f t="shared" si="8"/>
        <v>0</v>
      </c>
      <c r="Q22" s="3" t="str">
        <f t="shared" si="6"/>
        <v>A/365</v>
      </c>
      <c r="R22" s="11" t="b">
        <v>0</v>
      </c>
      <c r="S22" s="12"/>
      <c r="T22" s="7" t="b">
        <v>1</v>
      </c>
      <c r="U22" s="2">
        <f>_xll.qlRateHelperMaturityDate(H22)</f>
        <v>44872</v>
      </c>
      <c r="V22" s="59">
        <f t="shared" si="10"/>
        <v>44796</v>
      </c>
      <c r="W22" s="3">
        <v>180</v>
      </c>
      <c r="X22" s="4"/>
      <c r="Y22" s="6"/>
    </row>
    <row r="23" spans="1:26" x14ac:dyDescent="0.25">
      <c r="C23" s="22"/>
      <c r="D23" s="20"/>
      <c r="E23" s="2"/>
      <c r="F23" s="2"/>
      <c r="H23" s="20" t="str">
        <f>_xll.qlDepositRateHelper2(J23,K23,L23,M23,N23,O23,P23,Q23,R23,S23,T23)</f>
        <v>Dep365D#0001</v>
      </c>
      <c r="J23" s="3" t="str">
        <f t="shared" si="7"/>
        <v>Dep365D</v>
      </c>
      <c r="K23" s="48" t="str">
        <f>H11</f>
        <v>obj_00019#0001</v>
      </c>
      <c r="L23" s="6" t="str">
        <f t="shared" si="9"/>
        <v>365D</v>
      </c>
      <c r="M23" s="4">
        <v>0</v>
      </c>
      <c r="N23" s="19" t="s">
        <v>49</v>
      </c>
      <c r="O23" s="4" t="s">
        <v>162</v>
      </c>
      <c r="P23" s="4" t="b">
        <f t="shared" si="8"/>
        <v>0</v>
      </c>
      <c r="Q23" s="3" t="str">
        <f t="shared" si="6"/>
        <v>A/365</v>
      </c>
      <c r="R23" s="11" t="b">
        <v>0</v>
      </c>
      <c r="S23" s="12"/>
      <c r="T23" s="7" t="b">
        <v>1</v>
      </c>
      <c r="U23" s="2">
        <f>_xll.qlRateHelperMaturityDate(H23)</f>
        <v>45133</v>
      </c>
      <c r="V23" s="59">
        <f t="shared" si="10"/>
        <v>44981</v>
      </c>
      <c r="W23" s="3">
        <v>365</v>
      </c>
      <c r="X23" s="4"/>
      <c r="Y23" s="6"/>
    </row>
    <row r="24" spans="1:26" x14ac:dyDescent="0.25">
      <c r="C24" s="13"/>
      <c r="D24" s="13"/>
      <c r="E24" s="2"/>
      <c r="F24" s="2"/>
      <c r="J24" s="4"/>
      <c r="K24" s="13"/>
      <c r="L24" s="6"/>
      <c r="M24" s="4"/>
      <c r="N24" s="4"/>
      <c r="O24" s="4"/>
      <c r="P24" s="4"/>
      <c r="Y24" s="6"/>
    </row>
    <row r="25" spans="1:26" x14ac:dyDescent="0.25">
      <c r="A25" s="8" t="s">
        <v>40</v>
      </c>
      <c r="B25" s="13" t="str">
        <f>_xll.qlPiecewiseYieldCurve(B26,B27,B28,$G$3:$G$11,B30,B31,B32,B33,B34,B35,B36,B37,B38)</f>
        <v>TWDZC#0001</v>
      </c>
      <c r="C25" s="8" t="s">
        <v>110</v>
      </c>
      <c r="D25" s="40" t="str">
        <f>_xll.qlDiscountCurve(D26,D2:D11,F2:F11,D29,D30,D31,D32)</f>
        <v>TWNCDDF#0001</v>
      </c>
      <c r="E25" s="2"/>
      <c r="F25" s="2"/>
      <c r="G25" s="18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25">
      <c r="A26" s="3" t="s">
        <v>27</v>
      </c>
      <c r="B26" s="3" t="s">
        <v>54</v>
      </c>
      <c r="C26" s="3" t="s">
        <v>2</v>
      </c>
      <c r="D26" s="22" t="s">
        <v>142</v>
      </c>
      <c r="E26" s="2"/>
      <c r="F26" s="2"/>
      <c r="G26" s="18"/>
      <c r="H26" s="20"/>
      <c r="K26" s="47"/>
      <c r="L26" s="6"/>
      <c r="M26" s="6"/>
      <c r="N26" s="2"/>
      <c r="R26" s="49"/>
      <c r="Y26" s="16"/>
    </row>
    <row r="27" spans="1:26" x14ac:dyDescent="0.25">
      <c r="A27" s="3" t="s">
        <v>28</v>
      </c>
      <c r="B27" s="3">
        <v>0</v>
      </c>
      <c r="C27" s="3" t="s">
        <v>108</v>
      </c>
      <c r="E27" s="2"/>
      <c r="F27" s="2"/>
      <c r="G27" s="18"/>
      <c r="H27" s="4" t="s">
        <v>174</v>
      </c>
      <c r="I27" s="4"/>
      <c r="J27" s="4" t="s">
        <v>2</v>
      </c>
      <c r="K27" s="4" t="s">
        <v>16</v>
      </c>
      <c r="L27" s="4" t="s">
        <v>164</v>
      </c>
      <c r="M27" s="4" t="s">
        <v>4</v>
      </c>
      <c r="N27" s="4" t="s">
        <v>9</v>
      </c>
      <c r="O27" s="4" t="s">
        <v>165</v>
      </c>
      <c r="P27" s="4" t="s">
        <v>166</v>
      </c>
      <c r="Q27" s="4" t="s">
        <v>167</v>
      </c>
      <c r="R27" s="4" t="s">
        <v>168</v>
      </c>
      <c r="S27" s="4" t="s">
        <v>169</v>
      </c>
      <c r="T27" s="4" t="s">
        <v>170</v>
      </c>
      <c r="U27" s="43" t="s">
        <v>171</v>
      </c>
      <c r="V27" s="4" t="s">
        <v>172</v>
      </c>
      <c r="W27" s="4" t="s">
        <v>173</v>
      </c>
      <c r="X27" s="4" t="s">
        <v>5</v>
      </c>
      <c r="Y27" s="4" t="s">
        <v>6</v>
      </c>
      <c r="Z27" s="4" t="s">
        <v>7</v>
      </c>
    </row>
    <row r="28" spans="1:26" x14ac:dyDescent="0.25">
      <c r="A28" s="3" t="s">
        <v>29</v>
      </c>
      <c r="B28" s="2" t="str">
        <f>B13</f>
        <v>Taiwan::TSEC</v>
      </c>
      <c r="C28" s="3" t="s">
        <v>109</v>
      </c>
      <c r="E28" s="2"/>
      <c r="F28" s="2"/>
      <c r="G28" s="18"/>
      <c r="H28" s="20" t="str">
        <f>_xll.qlSwapRateHelper2(J28,K28,L28,M28,N28,O28,P28,Q28,R28,S28,T28,U28,V28,W28,X28,Y28,Z28)</f>
        <v>obj_00015#0003</v>
      </c>
      <c r="K28" s="6" t="str">
        <f>H3</f>
        <v>obj_00013#0003</v>
      </c>
      <c r="L28" s="6">
        <v>0</v>
      </c>
      <c r="M28" s="9" t="str">
        <f>L15</f>
        <v>10D</v>
      </c>
      <c r="N28" s="10" t="str">
        <f>N15</f>
        <v>Taiwan::TSEC</v>
      </c>
      <c r="O28" s="9" t="s">
        <v>175</v>
      </c>
      <c r="P28" s="9" t="s">
        <v>76</v>
      </c>
      <c r="Q28" s="9" t="s">
        <v>176</v>
      </c>
      <c r="R28" s="9" t="str">
        <f>B7</f>
        <v>Taibor3M#0003</v>
      </c>
      <c r="S28" s="9">
        <v>0</v>
      </c>
      <c r="T28" s="10" t="s">
        <v>177</v>
      </c>
      <c r="U28" s="10"/>
      <c r="V28" s="9"/>
      <c r="W28" s="9"/>
      <c r="X28" s="9" t="b">
        <v>0</v>
      </c>
      <c r="Y28" s="9">
        <v>2</v>
      </c>
      <c r="Z28" s="9" t="b">
        <v>1</v>
      </c>
    </row>
    <row r="29" spans="1:26" x14ac:dyDescent="0.25">
      <c r="A29" s="3" t="s">
        <v>30</v>
      </c>
      <c r="C29" s="3" t="s">
        <v>10</v>
      </c>
      <c r="D29" s="3" t="str">
        <f>$B$16</f>
        <v>A/365</v>
      </c>
      <c r="E29" s="2"/>
      <c r="F29" s="2"/>
      <c r="G29" s="18"/>
      <c r="H29" s="20" t="str">
        <f>_xll.qlSwapRateHelper2(J29,K29,L29,M29,N29,O29,P29,Q29,R29,S29,T29,U29,V29,W29,X29,Y29,Z29)</f>
        <v>obj_00022#0001</v>
      </c>
      <c r="K29" s="6" t="str">
        <f t="shared" ref="K29:K36" si="12">H4</f>
        <v>obj_0001c#0001</v>
      </c>
      <c r="L29" s="6">
        <f t="shared" ref="L29:L36" si="13">L28</f>
        <v>0</v>
      </c>
      <c r="M29" s="9" t="str">
        <f t="shared" ref="M29:M36" si="14">L16</f>
        <v>20D</v>
      </c>
      <c r="N29" s="2" t="str">
        <f t="shared" ref="N29:T29" si="15">N28</f>
        <v>Taiwan::TSEC</v>
      </c>
      <c r="O29" s="2" t="str">
        <f t="shared" si="15"/>
        <v>Annual</v>
      </c>
      <c r="P29" s="2" t="str">
        <f t="shared" si="15"/>
        <v>F</v>
      </c>
      <c r="Q29" s="2" t="str">
        <f t="shared" si="15"/>
        <v>A/365</v>
      </c>
      <c r="R29" s="3" t="str">
        <f t="shared" si="15"/>
        <v>Taibor3M#0003</v>
      </c>
      <c r="S29" s="9">
        <f t="shared" si="15"/>
        <v>0</v>
      </c>
      <c r="T29" s="10" t="str">
        <f t="shared" si="15"/>
        <v>0D</v>
      </c>
      <c r="X29" s="9" t="b">
        <v>0</v>
      </c>
      <c r="Y29" s="9">
        <v>2</v>
      </c>
      <c r="Z29" s="9" t="b">
        <v>1</v>
      </c>
    </row>
    <row r="30" spans="1:26" x14ac:dyDescent="0.25">
      <c r="A30" s="3" t="s">
        <v>31</v>
      </c>
      <c r="B30" s="3" t="str">
        <f>$B$16</f>
        <v>A/365</v>
      </c>
      <c r="C30" s="3" t="s">
        <v>5</v>
      </c>
      <c r="D30" s="11" t="b">
        <v>0</v>
      </c>
      <c r="E30" s="2"/>
      <c r="F30" s="2"/>
      <c r="G30" s="18"/>
      <c r="H30" s="20" t="str">
        <f>_xll.qlSwapRateHelper2(J30,K30,L30,M30,N30,O30,P30,Q30,R30,S30,T30,U30,V30,W30,X30,Y30,Z30)</f>
        <v>obj_00023#0001</v>
      </c>
      <c r="K30" s="6" t="str">
        <f t="shared" si="12"/>
        <v>obj_00017#0001</v>
      </c>
      <c r="L30" s="6">
        <v>0</v>
      </c>
      <c r="M30" s="9" t="str">
        <f t="shared" si="14"/>
        <v>30D</v>
      </c>
      <c r="N30" s="2" t="str">
        <f t="shared" ref="N30:N36" si="16">N29</f>
        <v>Taiwan::TSEC</v>
      </c>
      <c r="O30" s="2" t="str">
        <f t="shared" ref="O30:O36" si="17">O29</f>
        <v>Annual</v>
      </c>
      <c r="P30" s="2" t="str">
        <f t="shared" ref="P30:P36" si="18">P29</f>
        <v>F</v>
      </c>
      <c r="Q30" s="2" t="str">
        <f t="shared" ref="Q30:Q36" si="19">Q29</f>
        <v>A/365</v>
      </c>
      <c r="R30" s="3" t="str">
        <f t="shared" ref="R30:R36" si="20">R29</f>
        <v>Taibor3M#0003</v>
      </c>
      <c r="S30" s="9">
        <f t="shared" ref="S30:S36" si="21">S29</f>
        <v>0</v>
      </c>
      <c r="T30" s="10" t="str">
        <f t="shared" ref="T30:T36" si="22">T29</f>
        <v>0D</v>
      </c>
      <c r="X30" s="9" t="b">
        <v>0</v>
      </c>
      <c r="Y30" s="9">
        <v>2</v>
      </c>
      <c r="Z30" s="9" t="b">
        <v>1</v>
      </c>
    </row>
    <row r="31" spans="1:26" x14ac:dyDescent="0.25">
      <c r="A31" s="3" t="s">
        <v>32</v>
      </c>
      <c r="C31" s="3" t="s">
        <v>6</v>
      </c>
      <c r="D31" s="28">
        <f>_xll.ohTrigger($B$5)</f>
        <v>3</v>
      </c>
      <c r="E31" s="2"/>
      <c r="F31" s="2"/>
      <c r="G31" s="18"/>
      <c r="H31" s="20" t="str">
        <f>_xll.qlSwapRateHelper2(J31,K31,L31,M31,N31,O31,P31,Q31,R31,S31,T31,U31,V31,W31,X31,Y31,Z31)</f>
        <v>obj_00024#0001</v>
      </c>
      <c r="K31" s="6" t="str">
        <f t="shared" si="12"/>
        <v>obj_0001a#0001</v>
      </c>
      <c r="L31" s="6">
        <f t="shared" si="13"/>
        <v>0</v>
      </c>
      <c r="M31" s="9" t="str">
        <f t="shared" si="14"/>
        <v>60D</v>
      </c>
      <c r="N31" s="2" t="str">
        <f t="shared" si="16"/>
        <v>Taiwan::TSEC</v>
      </c>
      <c r="O31" s="2" t="str">
        <f t="shared" si="17"/>
        <v>Annual</v>
      </c>
      <c r="P31" s="2" t="str">
        <f t="shared" si="18"/>
        <v>F</v>
      </c>
      <c r="Q31" s="2" t="str">
        <f t="shared" si="19"/>
        <v>A/365</v>
      </c>
      <c r="R31" s="3" t="str">
        <f t="shared" si="20"/>
        <v>Taibor3M#0003</v>
      </c>
      <c r="S31" s="9">
        <f t="shared" si="21"/>
        <v>0</v>
      </c>
      <c r="T31" s="10" t="str">
        <f t="shared" si="22"/>
        <v>0D</v>
      </c>
      <c r="X31" s="9" t="b">
        <v>0</v>
      </c>
      <c r="Y31" s="9">
        <v>2</v>
      </c>
      <c r="Z31" s="9" t="b">
        <v>1</v>
      </c>
    </row>
    <row r="32" spans="1:26" x14ac:dyDescent="0.25">
      <c r="A32" s="3" t="s">
        <v>33</v>
      </c>
      <c r="C32" s="3" t="s">
        <v>7</v>
      </c>
      <c r="D32" s="11" t="b">
        <v>1</v>
      </c>
      <c r="E32" s="2"/>
      <c r="F32" s="2"/>
      <c r="G32" s="18"/>
      <c r="H32" s="20" t="str">
        <f>_xll.qlSwapRateHelper2(J32,K32,L32,M32,N32,O32,P32,Q32,R32,S32,T32,U32,V32,W32,X32,Y32,Z32)</f>
        <v>obj_00029#0001</v>
      </c>
      <c r="K32" s="6" t="str">
        <f t="shared" si="12"/>
        <v>obj_00018#0001</v>
      </c>
      <c r="L32" s="6">
        <v>0</v>
      </c>
      <c r="M32" s="9" t="str">
        <f t="shared" si="14"/>
        <v>90D</v>
      </c>
      <c r="N32" s="2" t="str">
        <f t="shared" si="16"/>
        <v>Taiwan::TSEC</v>
      </c>
      <c r="O32" s="2" t="str">
        <f t="shared" si="17"/>
        <v>Annual</v>
      </c>
      <c r="P32" s="2" t="str">
        <f t="shared" si="18"/>
        <v>F</v>
      </c>
      <c r="Q32" s="2" t="str">
        <f t="shared" si="19"/>
        <v>A/365</v>
      </c>
      <c r="R32" s="3" t="str">
        <f t="shared" si="20"/>
        <v>Taibor3M#0003</v>
      </c>
      <c r="S32" s="9">
        <f t="shared" si="21"/>
        <v>0</v>
      </c>
      <c r="T32" s="10" t="str">
        <f t="shared" si="22"/>
        <v>0D</v>
      </c>
      <c r="X32" s="9" t="b">
        <v>0</v>
      </c>
      <c r="Y32" s="9">
        <v>2</v>
      </c>
      <c r="Z32" s="9" t="b">
        <v>1</v>
      </c>
    </row>
    <row r="33" spans="1:26" x14ac:dyDescent="0.25">
      <c r="A33" s="3" t="s">
        <v>34</v>
      </c>
      <c r="C33" s="21"/>
      <c r="D33" s="21"/>
      <c r="E33" s="2"/>
      <c r="F33" s="2"/>
      <c r="H33" s="20" t="str">
        <f>_xll.qlSwapRateHelper2(J33,K33,L33,M33,N33,O33,P33,Q33,R33,S33,T33,U33,V33,W33,X33,Y33,Z33)</f>
        <v>obj_0002a#0001</v>
      </c>
      <c r="K33" s="6" t="str">
        <f t="shared" si="12"/>
        <v>obj_00016#0001</v>
      </c>
      <c r="L33" s="6">
        <f t="shared" si="13"/>
        <v>0</v>
      </c>
      <c r="M33" s="9" t="str">
        <f t="shared" si="14"/>
        <v>120D</v>
      </c>
      <c r="N33" s="2" t="str">
        <f t="shared" si="16"/>
        <v>Taiwan::TSEC</v>
      </c>
      <c r="O33" s="2" t="str">
        <f t="shared" si="17"/>
        <v>Annual</v>
      </c>
      <c r="P33" s="2" t="str">
        <f t="shared" si="18"/>
        <v>F</v>
      </c>
      <c r="Q33" s="2" t="str">
        <f t="shared" si="19"/>
        <v>A/365</v>
      </c>
      <c r="R33" s="3" t="str">
        <f t="shared" si="20"/>
        <v>Taibor3M#0003</v>
      </c>
      <c r="S33" s="9">
        <f t="shared" si="21"/>
        <v>0</v>
      </c>
      <c r="T33" s="10" t="str">
        <f t="shared" si="22"/>
        <v>0D</v>
      </c>
      <c r="X33" s="9" t="b">
        <v>0</v>
      </c>
      <c r="Y33" s="9">
        <v>2</v>
      </c>
      <c r="Z33" s="9" t="b">
        <v>1</v>
      </c>
    </row>
    <row r="34" spans="1:26" x14ac:dyDescent="0.25">
      <c r="A34" s="3" t="s">
        <v>35</v>
      </c>
      <c r="B34" s="21" t="s">
        <v>50</v>
      </c>
      <c r="C34" s="21"/>
      <c r="D34" s="21"/>
      <c r="E34" s="2"/>
      <c r="F34" s="2"/>
      <c r="H34" s="20" t="str">
        <f>_xll.qlSwapRateHelper2(J34,K34,L34,M34,N34,O34,P34,Q34,R34,S34,T34,U34,V34,W34,X34,Y34,Z34)</f>
        <v>obj_0002b#0001</v>
      </c>
      <c r="K34" s="6" t="str">
        <f t="shared" si="12"/>
        <v>obj_0001b#0001</v>
      </c>
      <c r="L34" s="6">
        <v>0</v>
      </c>
      <c r="M34" s="9" t="str">
        <f t="shared" si="14"/>
        <v>150D</v>
      </c>
      <c r="N34" s="2" t="str">
        <f t="shared" si="16"/>
        <v>Taiwan::TSEC</v>
      </c>
      <c r="O34" s="2" t="str">
        <f t="shared" si="17"/>
        <v>Annual</v>
      </c>
      <c r="P34" s="2" t="str">
        <f t="shared" si="18"/>
        <v>F</v>
      </c>
      <c r="Q34" s="2" t="str">
        <f t="shared" si="19"/>
        <v>A/365</v>
      </c>
      <c r="R34" s="3" t="str">
        <f t="shared" si="20"/>
        <v>Taibor3M#0003</v>
      </c>
      <c r="S34" s="9">
        <f t="shared" si="21"/>
        <v>0</v>
      </c>
      <c r="T34" s="10" t="str">
        <f t="shared" si="22"/>
        <v>0D</v>
      </c>
      <c r="X34" s="9" t="b">
        <v>0</v>
      </c>
      <c r="Y34" s="9">
        <v>2</v>
      </c>
      <c r="Z34" s="9" t="b">
        <v>1</v>
      </c>
    </row>
    <row r="35" spans="1:26" x14ac:dyDescent="0.25">
      <c r="A35" s="3" t="s">
        <v>36</v>
      </c>
      <c r="B35" s="3" t="s">
        <v>43</v>
      </c>
      <c r="C35" s="21"/>
      <c r="D35" s="21"/>
      <c r="E35" s="21"/>
      <c r="F35" s="2"/>
      <c r="H35" s="20" t="str">
        <f>_xll.qlSwapRateHelper2(J35,K35,L35,M35,N35,O35,P35,Q35,R35,S35,T35,U35,V35,W35,X35,Y35,Z35)</f>
        <v>obj_0002c#0001</v>
      </c>
      <c r="K35" s="6" t="str">
        <f t="shared" si="12"/>
        <v>obj_0001d#0001</v>
      </c>
      <c r="L35" s="6">
        <f t="shared" si="13"/>
        <v>0</v>
      </c>
      <c r="M35" s="9" t="str">
        <f t="shared" si="14"/>
        <v>180D</v>
      </c>
      <c r="N35" s="2" t="str">
        <f t="shared" si="16"/>
        <v>Taiwan::TSEC</v>
      </c>
      <c r="O35" s="2" t="str">
        <f t="shared" si="17"/>
        <v>Annual</v>
      </c>
      <c r="P35" s="2" t="str">
        <f t="shared" si="18"/>
        <v>F</v>
      </c>
      <c r="Q35" s="2" t="str">
        <f t="shared" si="19"/>
        <v>A/365</v>
      </c>
      <c r="R35" s="3" t="str">
        <f t="shared" si="20"/>
        <v>Taibor3M#0003</v>
      </c>
      <c r="S35" s="9">
        <f t="shared" si="21"/>
        <v>0</v>
      </c>
      <c r="T35" s="10" t="str">
        <f t="shared" si="22"/>
        <v>0D</v>
      </c>
      <c r="X35" s="9" t="b">
        <v>0</v>
      </c>
      <c r="Y35" s="9">
        <v>2</v>
      </c>
      <c r="Z35" s="9" t="b">
        <v>1</v>
      </c>
    </row>
    <row r="36" spans="1:26" x14ac:dyDescent="0.25">
      <c r="A36" s="3" t="s">
        <v>37</v>
      </c>
      <c r="B36" s="11" t="b">
        <v>0</v>
      </c>
      <c r="C36" s="21"/>
      <c r="D36" s="21"/>
      <c r="E36" s="21"/>
      <c r="F36" s="21"/>
      <c r="H36" s="20" t="str">
        <f>_xll.qlSwapRateHelper2(J36,K36,L36,M36,N36,O36,P36,Q36,R36,S36,T36,U36,V36,W36,X36,Y36,Z36)</f>
        <v>obj_0002d#0001</v>
      </c>
      <c r="K36" s="6" t="str">
        <f t="shared" si="12"/>
        <v>obj_00019#0001</v>
      </c>
      <c r="L36" s="6">
        <f t="shared" si="13"/>
        <v>0</v>
      </c>
      <c r="M36" s="9" t="str">
        <f t="shared" si="14"/>
        <v>365D</v>
      </c>
      <c r="N36" s="2" t="str">
        <f t="shared" si="16"/>
        <v>Taiwan::TSEC</v>
      </c>
      <c r="O36" s="2" t="str">
        <f t="shared" si="17"/>
        <v>Annual</v>
      </c>
      <c r="P36" s="2" t="str">
        <f t="shared" si="18"/>
        <v>F</v>
      </c>
      <c r="Q36" s="2" t="str">
        <f t="shared" si="19"/>
        <v>A/365</v>
      </c>
      <c r="R36" s="3" t="str">
        <f t="shared" si="20"/>
        <v>Taibor3M#0003</v>
      </c>
      <c r="S36" s="9">
        <f t="shared" si="21"/>
        <v>0</v>
      </c>
      <c r="T36" s="10" t="str">
        <f t="shared" si="22"/>
        <v>0D</v>
      </c>
      <c r="X36" s="9" t="b">
        <v>0</v>
      </c>
      <c r="Y36" s="9">
        <v>2</v>
      </c>
      <c r="Z36" s="9" t="b">
        <v>1</v>
      </c>
    </row>
    <row r="37" spans="1:26" x14ac:dyDescent="0.25">
      <c r="A37" s="3" t="s">
        <v>38</v>
      </c>
      <c r="B37" s="28">
        <f>_xll.ohTrigger($B$5)</f>
        <v>3</v>
      </c>
      <c r="C37" s="21"/>
      <c r="D37" s="21"/>
      <c r="E37" s="21"/>
      <c r="F37" s="21"/>
      <c r="H37" s="14"/>
      <c r="K37" s="6"/>
      <c r="L37" s="6"/>
      <c r="M37" s="6"/>
      <c r="N37" s="2"/>
      <c r="Y37" s="6"/>
    </row>
    <row r="38" spans="1:26" x14ac:dyDescent="0.25">
      <c r="A38" s="3" t="s">
        <v>39</v>
      </c>
      <c r="B38" s="11" t="b">
        <v>1</v>
      </c>
      <c r="E38" s="21"/>
      <c r="F38" s="21"/>
      <c r="Y38" s="6"/>
    </row>
    <row r="39" spans="1:26" x14ac:dyDescent="0.25">
      <c r="C39" s="21"/>
      <c r="E39" s="21"/>
      <c r="F39" s="21"/>
      <c r="Y39" s="6"/>
    </row>
    <row r="40" spans="1:26" x14ac:dyDescent="0.25">
      <c r="C40" s="21"/>
      <c r="E40" s="21"/>
      <c r="F40" s="21"/>
      <c r="Y40" s="6"/>
    </row>
    <row r="41" spans="1:26" x14ac:dyDescent="0.25">
      <c r="C41" s="21"/>
      <c r="E41" s="21"/>
      <c r="F41" s="21"/>
      <c r="Y41" s="6"/>
    </row>
    <row r="42" spans="1:26" x14ac:dyDescent="0.25">
      <c r="A42" s="8" t="s">
        <v>41</v>
      </c>
      <c r="C42" s="2"/>
      <c r="E42" s="21"/>
      <c r="F42" s="21"/>
      <c r="Y42" s="6"/>
    </row>
    <row r="43" spans="1:26" x14ac:dyDescent="0.25">
      <c r="A43" s="50" t="str">
        <f>B25</f>
        <v>TWDZC#0001</v>
      </c>
      <c r="C43" s="2" t="s">
        <v>53</v>
      </c>
      <c r="E43" s="21"/>
      <c r="F43" s="21"/>
      <c r="Y43" s="6"/>
    </row>
    <row r="44" spans="1:26" x14ac:dyDescent="0.25">
      <c r="A44" s="15"/>
      <c r="B44" s="2">
        <f>D2</f>
        <v>44616</v>
      </c>
      <c r="C44" s="2"/>
      <c r="E44" s="21"/>
      <c r="F44" s="21"/>
      <c r="Y44" s="6"/>
    </row>
    <row r="45" spans="1:26" x14ac:dyDescent="0.25">
      <c r="A45" s="6" t="str">
        <f>$B$16</f>
        <v>A/365</v>
      </c>
      <c r="C45" s="2"/>
      <c r="E45" s="21"/>
      <c r="F45" s="21"/>
      <c r="Y45" s="6"/>
    </row>
    <row r="46" spans="1:26" x14ac:dyDescent="0.25">
      <c r="A46" s="46" t="s">
        <v>111</v>
      </c>
      <c r="C46" s="2"/>
      <c r="E46" s="21"/>
      <c r="F46" s="21"/>
    </row>
    <row r="47" spans="1:26" x14ac:dyDescent="0.25">
      <c r="A47" s="46" t="s">
        <v>51</v>
      </c>
      <c r="C47" s="2"/>
      <c r="E47" s="21"/>
      <c r="F47" s="21"/>
    </row>
    <row r="48" spans="1:26" x14ac:dyDescent="0.25">
      <c r="A48" s="46" t="b">
        <v>1</v>
      </c>
      <c r="C48" s="2"/>
      <c r="E48" s="21"/>
      <c r="F48" s="21"/>
    </row>
    <row r="49" spans="1:6" x14ac:dyDescent="0.25">
      <c r="A49" s="28">
        <f>B5</f>
        <v>1</v>
      </c>
      <c r="C49" s="2"/>
      <c r="E49" s="21"/>
      <c r="F49" s="21"/>
    </row>
    <row r="50" spans="1:6" x14ac:dyDescent="0.25">
      <c r="C50" s="2"/>
      <c r="E50" s="21"/>
      <c r="F50" s="21"/>
    </row>
    <row r="51" spans="1:6" x14ac:dyDescent="0.25">
      <c r="C51" s="2"/>
      <c r="E51" s="21"/>
      <c r="F51" s="21"/>
    </row>
    <row r="52" spans="1:6" x14ac:dyDescent="0.25">
      <c r="C52" s="2"/>
      <c r="E52" s="21"/>
      <c r="F52" s="21"/>
    </row>
    <row r="53" spans="1:6" x14ac:dyDescent="0.25">
      <c r="C53" s="2"/>
      <c r="E53" s="21"/>
      <c r="F53" s="21"/>
    </row>
    <row r="54" spans="1:6" x14ac:dyDescent="0.25">
      <c r="C54" s="2"/>
      <c r="E54" s="21"/>
      <c r="F54" s="21"/>
    </row>
    <row r="55" spans="1:6" x14ac:dyDescent="0.25">
      <c r="C55" s="2"/>
      <c r="E55" s="21"/>
      <c r="F55" s="2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11"/>
  <sheetViews>
    <sheetView workbookViewId="0">
      <selection activeCell="B1" sqref="B1:O2"/>
    </sheetView>
  </sheetViews>
  <sheetFormatPr defaultRowHeight="15.75" x14ac:dyDescent="0.25"/>
  <cols>
    <col min="1" max="1" width="15.5" style="29" customWidth="1"/>
    <col min="2" max="2" width="17.25" style="29" customWidth="1"/>
    <col min="3" max="3" width="18.25" style="29" customWidth="1"/>
    <col min="4" max="4" width="14.5" style="29" customWidth="1"/>
    <col min="5" max="5" width="11.625" style="29" customWidth="1"/>
    <col min="6" max="6" width="12.25" style="29" customWidth="1"/>
    <col min="7" max="13" width="9" style="29"/>
    <col min="14" max="14" width="9" style="33"/>
    <col min="15" max="16384" width="9" style="29"/>
  </cols>
  <sheetData>
    <row r="1" spans="1:18" x14ac:dyDescent="0.25">
      <c r="B1" s="34" t="s">
        <v>2</v>
      </c>
      <c r="C1" s="34" t="s">
        <v>55</v>
      </c>
      <c r="D1" s="34" t="s">
        <v>56</v>
      </c>
      <c r="E1" s="34" t="s">
        <v>4</v>
      </c>
      <c r="F1" s="34" t="s">
        <v>9</v>
      </c>
      <c r="G1" s="34" t="s">
        <v>18</v>
      </c>
      <c r="H1" s="34" t="s">
        <v>57</v>
      </c>
      <c r="I1" s="34" t="s">
        <v>58</v>
      </c>
      <c r="J1" s="34" t="s">
        <v>19</v>
      </c>
      <c r="K1" s="34" t="s">
        <v>59</v>
      </c>
      <c r="L1" s="34" t="s">
        <v>60</v>
      </c>
      <c r="M1" s="34" t="s">
        <v>5</v>
      </c>
      <c r="N1" s="32" t="s">
        <v>6</v>
      </c>
      <c r="O1" s="34" t="s">
        <v>7</v>
      </c>
    </row>
    <row r="2" spans="1:18" x14ac:dyDescent="0.25">
      <c r="A2" s="39" t="str">
        <f>_xll.qlSchedule(B2,C2,D2,E2,F2,G2,H2,I2,J2,K2,L2,M2,N2,O2)</f>
        <v>065000039109#0003</v>
      </c>
      <c r="B2" s="35" t="s">
        <v>178</v>
      </c>
      <c r="C2" s="30">
        <v>44615</v>
      </c>
      <c r="D2" s="30">
        <v>44627</v>
      </c>
      <c r="E2" s="29" t="str">
        <f>IF((D2-C2)&gt;365,"2Y",(D2-C2) &amp; "D")</f>
        <v>12D</v>
      </c>
      <c r="F2" s="29" t="s">
        <v>49</v>
      </c>
      <c r="G2" s="29" t="s">
        <v>75</v>
      </c>
      <c r="H2" s="29" t="s">
        <v>76</v>
      </c>
      <c r="I2" s="29" t="s">
        <v>77</v>
      </c>
      <c r="J2" s="29" t="b">
        <v>0</v>
      </c>
      <c r="M2" s="29" t="b">
        <v>0</v>
      </c>
      <c r="O2" s="29" t="b">
        <v>1</v>
      </c>
      <c r="R2" s="30"/>
    </row>
    <row r="3" spans="1:18" x14ac:dyDescent="0.25">
      <c r="A3" s="39"/>
      <c r="C3" s="30"/>
      <c r="D3" s="30"/>
      <c r="R3" s="30"/>
    </row>
    <row r="4" spans="1:18" x14ac:dyDescent="0.25">
      <c r="A4" s="39"/>
      <c r="C4" s="30"/>
      <c r="D4" s="30"/>
      <c r="R4" s="30"/>
    </row>
    <row r="5" spans="1:18" x14ac:dyDescent="0.25">
      <c r="A5" s="39"/>
      <c r="C5" s="30"/>
      <c r="D5" s="30"/>
      <c r="R5" s="30"/>
    </row>
    <row r="6" spans="1:18" x14ac:dyDescent="0.25">
      <c r="A6" s="39"/>
      <c r="C6" s="30"/>
      <c r="D6" s="30"/>
      <c r="R6" s="30"/>
    </row>
    <row r="7" spans="1:18" x14ac:dyDescent="0.25">
      <c r="A7" s="39"/>
      <c r="C7" s="30"/>
      <c r="D7" s="30"/>
      <c r="R7" s="30"/>
    </row>
    <row r="8" spans="1:18" x14ac:dyDescent="0.25">
      <c r="A8" s="39"/>
      <c r="C8" s="30"/>
      <c r="D8" s="30"/>
      <c r="R8" s="30"/>
    </row>
    <row r="9" spans="1:18" x14ac:dyDescent="0.25">
      <c r="A9" s="39"/>
      <c r="C9" s="30"/>
      <c r="D9" s="30"/>
      <c r="R9" s="30"/>
    </row>
    <row r="10" spans="1:18" x14ac:dyDescent="0.25">
      <c r="A10" s="39"/>
      <c r="C10" s="30"/>
      <c r="D10" s="30"/>
      <c r="R10" s="30"/>
    </row>
    <row r="11" spans="1:18" x14ac:dyDescent="0.25">
      <c r="A11" s="39"/>
      <c r="C11" s="30"/>
      <c r="D11" s="30"/>
      <c r="R11" s="30"/>
    </row>
    <row r="12" spans="1:18" x14ac:dyDescent="0.25">
      <c r="A12" s="39"/>
      <c r="C12" s="30"/>
      <c r="D12" s="30"/>
      <c r="R12" s="30"/>
    </row>
    <row r="13" spans="1:18" x14ac:dyDescent="0.25">
      <c r="A13" s="39"/>
      <c r="C13" s="30"/>
      <c r="D13" s="30"/>
      <c r="R13" s="30"/>
    </row>
    <row r="14" spans="1:18" x14ac:dyDescent="0.25">
      <c r="A14" s="39"/>
      <c r="C14" s="30"/>
      <c r="D14" s="30"/>
      <c r="R14" s="30"/>
    </row>
    <row r="15" spans="1:18" x14ac:dyDescent="0.25">
      <c r="A15" s="39"/>
      <c r="C15" s="30"/>
      <c r="D15" s="30"/>
      <c r="R15" s="30"/>
    </row>
    <row r="16" spans="1:18" x14ac:dyDescent="0.25">
      <c r="A16" s="39"/>
      <c r="C16" s="30"/>
      <c r="D16" s="30"/>
      <c r="R16" s="30"/>
    </row>
    <row r="17" spans="1:18" x14ac:dyDescent="0.25">
      <c r="A17" s="39"/>
      <c r="C17" s="30"/>
      <c r="D17" s="30"/>
      <c r="R17" s="30"/>
    </row>
    <row r="18" spans="1:18" x14ac:dyDescent="0.25">
      <c r="A18" s="39"/>
      <c r="C18" s="30"/>
      <c r="D18" s="30"/>
      <c r="R18" s="30"/>
    </row>
    <row r="19" spans="1:18" x14ac:dyDescent="0.25">
      <c r="A19" s="39"/>
      <c r="C19" s="30"/>
      <c r="D19" s="30"/>
      <c r="R19" s="30"/>
    </row>
    <row r="20" spans="1:18" x14ac:dyDescent="0.25">
      <c r="A20" s="39"/>
      <c r="C20" s="30"/>
      <c r="D20" s="30"/>
      <c r="R20" s="30"/>
    </row>
    <row r="21" spans="1:18" x14ac:dyDescent="0.25">
      <c r="A21" s="39"/>
      <c r="C21" s="30"/>
      <c r="D21" s="30"/>
      <c r="R21" s="30"/>
    </row>
    <row r="22" spans="1:18" x14ac:dyDescent="0.25">
      <c r="A22" s="39"/>
      <c r="C22" s="30"/>
      <c r="D22" s="30"/>
      <c r="R22" s="30"/>
    </row>
    <row r="23" spans="1:18" x14ac:dyDescent="0.25">
      <c r="A23" s="39"/>
      <c r="C23" s="30"/>
      <c r="D23" s="30"/>
      <c r="R23" s="30"/>
    </row>
    <row r="24" spans="1:18" x14ac:dyDescent="0.25">
      <c r="A24" s="39"/>
      <c r="C24" s="30"/>
      <c r="D24" s="30"/>
      <c r="R24" s="30"/>
    </row>
    <row r="25" spans="1:18" x14ac:dyDescent="0.25">
      <c r="A25" s="39"/>
      <c r="C25" s="30"/>
      <c r="D25" s="30"/>
      <c r="R25" s="30"/>
    </row>
    <row r="26" spans="1:18" x14ac:dyDescent="0.25">
      <c r="A26" s="39"/>
      <c r="C26" s="30"/>
      <c r="D26" s="30"/>
      <c r="R26" s="30"/>
    </row>
    <row r="27" spans="1:18" x14ac:dyDescent="0.25">
      <c r="A27" s="39"/>
      <c r="C27" s="30"/>
      <c r="D27" s="30"/>
      <c r="R27" s="30"/>
    </row>
    <row r="28" spans="1:18" x14ac:dyDescent="0.25">
      <c r="A28" s="39"/>
      <c r="C28" s="30"/>
      <c r="D28" s="30"/>
      <c r="R28" s="30"/>
    </row>
    <row r="29" spans="1:18" x14ac:dyDescent="0.25">
      <c r="A29" s="39"/>
      <c r="C29" s="30"/>
      <c r="D29" s="30"/>
      <c r="R29" s="30"/>
    </row>
    <row r="30" spans="1:18" x14ac:dyDescent="0.25">
      <c r="A30" s="39"/>
      <c r="C30" s="57"/>
      <c r="D30" s="57"/>
      <c r="R30" s="30"/>
    </row>
    <row r="31" spans="1:18" x14ac:dyDescent="0.25">
      <c r="A31" s="39"/>
      <c r="C31" s="57"/>
      <c r="D31" s="57"/>
      <c r="R31" s="30"/>
    </row>
    <row r="32" spans="1:18" x14ac:dyDescent="0.25">
      <c r="A32" s="39"/>
      <c r="C32" s="57"/>
      <c r="D32" s="57"/>
      <c r="R32" s="30"/>
    </row>
    <row r="33" spans="1:18" x14ac:dyDescent="0.25">
      <c r="A33" s="39"/>
      <c r="C33" s="57"/>
      <c r="D33" s="57"/>
      <c r="R33" s="30"/>
    </row>
    <row r="34" spans="1:18" x14ac:dyDescent="0.25">
      <c r="A34" s="39"/>
      <c r="C34" s="30"/>
      <c r="D34" s="30"/>
      <c r="R34" s="30"/>
    </row>
    <row r="35" spans="1:18" x14ac:dyDescent="0.25">
      <c r="A35" s="39"/>
      <c r="C35" s="30"/>
      <c r="D35" s="30"/>
      <c r="R35" s="30"/>
    </row>
    <row r="36" spans="1:18" x14ac:dyDescent="0.25">
      <c r="A36" s="39"/>
      <c r="C36" s="30"/>
      <c r="D36" s="30"/>
      <c r="R36" s="30"/>
    </row>
    <row r="37" spans="1:18" x14ac:dyDescent="0.25">
      <c r="A37" s="39"/>
      <c r="C37" s="30"/>
      <c r="D37" s="30"/>
      <c r="R37" s="30"/>
    </row>
    <row r="38" spans="1:18" x14ac:dyDescent="0.25">
      <c r="A38" s="39"/>
      <c r="C38" s="30"/>
      <c r="D38" s="30"/>
      <c r="R38" s="30"/>
    </row>
    <row r="39" spans="1:18" x14ac:dyDescent="0.25">
      <c r="A39" s="39"/>
      <c r="C39" s="30"/>
      <c r="D39" s="30"/>
      <c r="R39" s="30"/>
    </row>
    <row r="40" spans="1:18" x14ac:dyDescent="0.25">
      <c r="A40" s="39"/>
      <c r="C40" s="30"/>
      <c r="D40" s="30"/>
      <c r="R40" s="30"/>
    </row>
    <row r="41" spans="1:18" x14ac:dyDescent="0.25">
      <c r="A41" s="39"/>
      <c r="C41" s="30"/>
      <c r="D41" s="30"/>
      <c r="R41" s="30"/>
    </row>
    <row r="42" spans="1:18" x14ac:dyDescent="0.25">
      <c r="A42" s="39"/>
      <c r="C42" s="30"/>
      <c r="D42" s="30"/>
      <c r="R42" s="30"/>
    </row>
    <row r="43" spans="1:18" x14ac:dyDescent="0.25">
      <c r="A43" s="39"/>
      <c r="C43" s="30"/>
      <c r="D43" s="30"/>
      <c r="R43" s="30"/>
    </row>
    <row r="44" spans="1:18" x14ac:dyDescent="0.25">
      <c r="A44" s="39"/>
      <c r="C44" s="30"/>
      <c r="D44" s="30"/>
      <c r="R44" s="30"/>
    </row>
    <row r="45" spans="1:18" x14ac:dyDescent="0.25">
      <c r="A45" s="39"/>
      <c r="C45" s="30"/>
      <c r="D45" s="30"/>
      <c r="R45" s="30"/>
    </row>
    <row r="46" spans="1:18" x14ac:dyDescent="0.25">
      <c r="A46" s="39"/>
      <c r="C46" s="30"/>
      <c r="D46" s="30"/>
      <c r="R46" s="30"/>
    </row>
    <row r="47" spans="1:18" x14ac:dyDescent="0.25">
      <c r="A47" s="39"/>
      <c r="C47" s="30"/>
      <c r="D47" s="30"/>
      <c r="R47" s="30"/>
    </row>
    <row r="55" spans="2:5" x14ac:dyDescent="0.25">
      <c r="B55" s="35" t="s">
        <v>103</v>
      </c>
      <c r="C55" s="56">
        <v>500000000</v>
      </c>
      <c r="D55" s="29">
        <v>500163802.64819998</v>
      </c>
      <c r="E55" s="29">
        <v>500109008.13</v>
      </c>
    </row>
    <row r="56" spans="2:5" x14ac:dyDescent="0.25">
      <c r="B56" s="29" t="s">
        <v>102</v>
      </c>
      <c r="C56" s="56">
        <v>500000000</v>
      </c>
      <c r="D56" s="29">
        <v>500114281.47960001</v>
      </c>
      <c r="E56" s="29">
        <v>500060034.89999998</v>
      </c>
    </row>
    <row r="57" spans="2:5" x14ac:dyDescent="0.25">
      <c r="B57" s="29" t="s">
        <v>135</v>
      </c>
      <c r="C57" s="56">
        <v>500000000</v>
      </c>
      <c r="D57" s="29">
        <v>499064311.59100002</v>
      </c>
      <c r="E57" s="29">
        <v>498495818.44</v>
      </c>
    </row>
    <row r="58" spans="2:5" x14ac:dyDescent="0.25">
      <c r="B58" s="29" t="s">
        <v>134</v>
      </c>
      <c r="C58" s="56">
        <v>500000000</v>
      </c>
      <c r="D58" s="29">
        <v>499014518.06590003</v>
      </c>
      <c r="E58" s="29">
        <v>498457394.77999997</v>
      </c>
    </row>
    <row r="59" spans="2:5" x14ac:dyDescent="0.25">
      <c r="B59" s="29" t="s">
        <v>128</v>
      </c>
      <c r="C59" s="56">
        <v>500000000</v>
      </c>
      <c r="D59" s="29">
        <v>499111296.63020003</v>
      </c>
      <c r="E59" s="29">
        <v>498500063.75</v>
      </c>
    </row>
    <row r="60" spans="2:5" x14ac:dyDescent="0.25">
      <c r="B60" s="29" t="s">
        <v>123</v>
      </c>
      <c r="C60" s="56">
        <v>115000000</v>
      </c>
      <c r="D60" s="29">
        <v>114843477.5971</v>
      </c>
      <c r="E60" s="29">
        <v>114684746.09</v>
      </c>
    </row>
    <row r="61" spans="2:5" x14ac:dyDescent="0.25">
      <c r="B61" s="29" t="s">
        <v>118</v>
      </c>
      <c r="C61" s="56">
        <v>500000000</v>
      </c>
      <c r="D61" s="29">
        <v>499466105.20130002</v>
      </c>
      <c r="E61" s="29">
        <v>498726790.13</v>
      </c>
    </row>
    <row r="62" spans="2:5" x14ac:dyDescent="0.25">
      <c r="B62" s="29" t="s">
        <v>96</v>
      </c>
      <c r="C62" s="56">
        <v>500000000</v>
      </c>
      <c r="D62" s="29">
        <v>500078663.3768</v>
      </c>
      <c r="E62" s="29">
        <v>499976197.62</v>
      </c>
    </row>
    <row r="63" spans="2:5" x14ac:dyDescent="0.25">
      <c r="B63" s="29" t="s">
        <v>95</v>
      </c>
      <c r="C63" s="56">
        <v>500000000</v>
      </c>
      <c r="D63" s="29">
        <v>500053812.71530002</v>
      </c>
      <c r="E63" s="29">
        <v>499952853.81</v>
      </c>
    </row>
    <row r="64" spans="2:5" x14ac:dyDescent="0.25">
      <c r="B64" s="29" t="s">
        <v>94</v>
      </c>
      <c r="C64" s="56">
        <v>500000000</v>
      </c>
      <c r="D64" s="29">
        <v>500028961.05690002</v>
      </c>
      <c r="E64" s="29">
        <v>499929509</v>
      </c>
    </row>
    <row r="65" spans="2:5" x14ac:dyDescent="0.25">
      <c r="B65" s="29" t="s">
        <v>93</v>
      </c>
      <c r="C65" s="56">
        <v>500000000</v>
      </c>
      <c r="D65" s="29">
        <v>500019021.19099998</v>
      </c>
      <c r="E65" s="29">
        <v>499920171.88</v>
      </c>
    </row>
    <row r="66" spans="2:5" x14ac:dyDescent="0.25">
      <c r="B66" s="29" t="s">
        <v>141</v>
      </c>
      <c r="C66" s="56">
        <v>500000000</v>
      </c>
      <c r="D66" s="29">
        <v>500004110.39529997</v>
      </c>
      <c r="E66" s="29">
        <v>499906165.19</v>
      </c>
    </row>
    <row r="67" spans="2:5" x14ac:dyDescent="0.25">
      <c r="B67" s="29" t="s">
        <v>86</v>
      </c>
      <c r="C67" s="56">
        <v>500000000</v>
      </c>
      <c r="D67" s="29">
        <v>499993362.81889999</v>
      </c>
      <c r="E67" s="29">
        <v>499764047.75</v>
      </c>
    </row>
    <row r="68" spans="2:5" x14ac:dyDescent="0.25">
      <c r="B68" s="29" t="s">
        <v>85</v>
      </c>
      <c r="C68" s="56">
        <v>1000000000</v>
      </c>
      <c r="D68" s="29">
        <v>999937017.97130001</v>
      </c>
      <c r="E68" s="29">
        <v>999485785.09000003</v>
      </c>
    </row>
    <row r="69" spans="2:5" x14ac:dyDescent="0.25">
      <c r="B69" s="29" t="s">
        <v>140</v>
      </c>
      <c r="C69" s="56">
        <v>1000000000</v>
      </c>
      <c r="D69" s="29">
        <v>999867426.04190004</v>
      </c>
      <c r="E69" s="29">
        <v>999426549.33000004</v>
      </c>
    </row>
    <row r="70" spans="2:5" x14ac:dyDescent="0.25">
      <c r="B70" s="29" t="s">
        <v>139</v>
      </c>
      <c r="C70" s="56">
        <v>1000000000</v>
      </c>
      <c r="D70" s="29">
        <v>999807775.24689996</v>
      </c>
      <c r="E70" s="29">
        <v>999375775.25</v>
      </c>
    </row>
    <row r="71" spans="2:5" x14ac:dyDescent="0.25">
      <c r="B71" s="29" t="s">
        <v>138</v>
      </c>
      <c r="C71" s="56">
        <v>415000000</v>
      </c>
      <c r="D71" s="29">
        <v>414872496.52109998</v>
      </c>
      <c r="E71" s="29">
        <v>414613491.04000002</v>
      </c>
    </row>
    <row r="72" spans="2:5" x14ac:dyDescent="0.25">
      <c r="B72" s="29" t="s">
        <v>84</v>
      </c>
      <c r="C72" s="56">
        <v>500000000</v>
      </c>
      <c r="D72" s="29">
        <v>499831466.89219999</v>
      </c>
      <c r="E72" s="29">
        <v>499522905.25</v>
      </c>
    </row>
    <row r="73" spans="2:5" x14ac:dyDescent="0.25">
      <c r="B73" s="29" t="s">
        <v>137</v>
      </c>
      <c r="C73" s="56">
        <v>500000000</v>
      </c>
      <c r="D73" s="29">
        <v>499806608.98890001</v>
      </c>
      <c r="E73" s="29">
        <v>499503869.25999999</v>
      </c>
    </row>
    <row r="74" spans="2:5" x14ac:dyDescent="0.25">
      <c r="B74" s="29" t="s">
        <v>83</v>
      </c>
      <c r="C74" s="56">
        <v>440000000</v>
      </c>
      <c r="D74" s="29">
        <v>439813304.20590001</v>
      </c>
      <c r="E74" s="29">
        <v>439479567.22000003</v>
      </c>
    </row>
    <row r="75" spans="2:5" x14ac:dyDescent="0.25">
      <c r="B75" s="29" t="s">
        <v>82</v>
      </c>
      <c r="C75" s="56">
        <v>1000000000</v>
      </c>
      <c r="D75" s="29">
        <v>999545858.32620001</v>
      </c>
      <c r="E75" s="29">
        <v>998796652.85000002</v>
      </c>
    </row>
    <row r="76" spans="2:5" x14ac:dyDescent="0.25">
      <c r="B76" s="29" t="s">
        <v>81</v>
      </c>
      <c r="C76" s="56">
        <v>1000000000</v>
      </c>
      <c r="D76" s="29">
        <v>999506081.43869996</v>
      </c>
      <c r="E76" s="29">
        <v>998769259.51999998</v>
      </c>
    </row>
    <row r="77" spans="2:5" x14ac:dyDescent="0.25">
      <c r="B77" s="29" t="s">
        <v>136</v>
      </c>
      <c r="C77" s="56">
        <v>1000000000</v>
      </c>
      <c r="D77" s="29">
        <v>999476250.01950002</v>
      </c>
      <c r="E77" s="29">
        <v>998748715.76999998</v>
      </c>
    </row>
    <row r="78" spans="2:5" x14ac:dyDescent="0.25">
      <c r="B78" s="29" t="s">
        <v>80</v>
      </c>
      <c r="C78" s="56">
        <v>500000000</v>
      </c>
      <c r="D78" s="29">
        <v>499803900.29680002</v>
      </c>
      <c r="E78" s="29">
        <v>499333900.30000001</v>
      </c>
    </row>
    <row r="79" spans="2:5" x14ac:dyDescent="0.25">
      <c r="B79" s="29" t="s">
        <v>79</v>
      </c>
      <c r="C79" s="56">
        <v>500000000</v>
      </c>
      <c r="D79" s="29">
        <v>499779036.34530002</v>
      </c>
      <c r="E79" s="29">
        <v>499319036.35000002</v>
      </c>
    </row>
    <row r="80" spans="2:5" x14ac:dyDescent="0.25">
      <c r="B80" s="29" t="s">
        <v>133</v>
      </c>
      <c r="C80" s="56">
        <v>1000000000</v>
      </c>
      <c r="D80" s="29">
        <v>999478742.77129996</v>
      </c>
      <c r="E80" s="29">
        <v>998466140.02999997</v>
      </c>
    </row>
    <row r="81" spans="2:5" x14ac:dyDescent="0.25">
      <c r="B81" s="29" t="s">
        <v>132</v>
      </c>
      <c r="C81" s="56">
        <v>1000000000</v>
      </c>
      <c r="D81" s="29">
        <v>999458848.83109999</v>
      </c>
      <c r="E81" s="29">
        <v>998455889.92999995</v>
      </c>
    </row>
    <row r="82" spans="2:5" x14ac:dyDescent="0.25">
      <c r="B82" s="29" t="s">
        <v>131</v>
      </c>
      <c r="C82" s="56">
        <v>1000000000</v>
      </c>
      <c r="D82" s="29">
        <v>999438955.88839996</v>
      </c>
      <c r="E82" s="29">
        <v>998445640.82000005</v>
      </c>
    </row>
    <row r="83" spans="2:5" x14ac:dyDescent="0.25">
      <c r="B83" s="29" t="s">
        <v>130</v>
      </c>
      <c r="C83" s="56">
        <v>1000000000</v>
      </c>
      <c r="D83" s="29">
        <v>999399170.00279999</v>
      </c>
      <c r="E83" s="29">
        <v>998425142.61000001</v>
      </c>
    </row>
    <row r="84" spans="2:5" x14ac:dyDescent="0.25">
      <c r="B84" s="29" t="s">
        <v>129</v>
      </c>
      <c r="C84" s="56">
        <v>1000000000</v>
      </c>
      <c r="D84" s="29">
        <v>999379277.05999994</v>
      </c>
      <c r="E84" s="29">
        <v>998414893.5</v>
      </c>
    </row>
    <row r="85" spans="2:5" x14ac:dyDescent="0.25">
      <c r="B85" s="29" t="s">
        <v>127</v>
      </c>
      <c r="C85" s="56">
        <v>1000000000</v>
      </c>
      <c r="D85" s="29">
        <v>999804500.12730002</v>
      </c>
      <c r="E85" s="29">
        <v>998670253.54999995</v>
      </c>
    </row>
    <row r="86" spans="2:5" x14ac:dyDescent="0.25">
      <c r="B86" s="29" t="s">
        <v>126</v>
      </c>
      <c r="C86" s="56">
        <v>1000000000</v>
      </c>
      <c r="D86" s="29">
        <v>999754336.83220005</v>
      </c>
      <c r="E86" s="29">
        <v>998648446.41999996</v>
      </c>
    </row>
    <row r="87" spans="2:5" x14ac:dyDescent="0.25">
      <c r="B87" s="29" t="s">
        <v>125</v>
      </c>
      <c r="C87" s="56">
        <v>1000000000</v>
      </c>
      <c r="D87" s="29">
        <v>999724239.2543</v>
      </c>
      <c r="E87" s="29">
        <v>998635362.53999996</v>
      </c>
    </row>
    <row r="88" spans="2:5" x14ac:dyDescent="0.25">
      <c r="B88" s="29" t="s">
        <v>124</v>
      </c>
      <c r="C88" s="56">
        <v>1000000000</v>
      </c>
      <c r="D88" s="29">
        <v>999704173.53709996</v>
      </c>
      <c r="E88" s="29">
        <v>998626639.28999996</v>
      </c>
    </row>
    <row r="89" spans="2:5" x14ac:dyDescent="0.25">
      <c r="B89" s="29" t="s">
        <v>122</v>
      </c>
      <c r="C89" s="56">
        <v>2000000000</v>
      </c>
      <c r="D89" s="29">
        <v>2000527533.0014999</v>
      </c>
      <c r="E89" s="29">
        <v>1998075806.97</v>
      </c>
    </row>
    <row r="90" spans="2:5" x14ac:dyDescent="0.25">
      <c r="B90" s="29" t="s">
        <v>121</v>
      </c>
      <c r="C90" s="56">
        <v>2000000000</v>
      </c>
      <c r="D90" s="29">
        <v>2000467793.2219</v>
      </c>
      <c r="E90" s="29">
        <v>1998055190.48</v>
      </c>
    </row>
    <row r="91" spans="2:5" x14ac:dyDescent="0.25">
      <c r="B91" s="29" t="s">
        <v>120</v>
      </c>
      <c r="C91" s="56">
        <v>1000000000</v>
      </c>
      <c r="D91" s="29">
        <v>1000204027.2203</v>
      </c>
      <c r="E91" s="29">
        <v>999017287.49000001</v>
      </c>
    </row>
    <row r="92" spans="2:5" x14ac:dyDescent="0.25">
      <c r="B92" s="29" t="s">
        <v>119</v>
      </c>
      <c r="C92" s="56">
        <v>1000000000</v>
      </c>
      <c r="D92" s="29">
        <v>1000184113.2948999</v>
      </c>
      <c r="E92" s="29">
        <v>999010414.65999997</v>
      </c>
    </row>
    <row r="93" spans="2:5" x14ac:dyDescent="0.25">
      <c r="B93" s="29" t="s">
        <v>112</v>
      </c>
      <c r="C93" s="56">
        <v>845000000</v>
      </c>
      <c r="D93" s="29">
        <v>850547482.90359998</v>
      </c>
      <c r="E93" s="29">
        <v>844868735.63999999</v>
      </c>
    </row>
    <row r="94" spans="2:5" x14ac:dyDescent="0.25">
      <c r="B94" s="29" t="s">
        <v>117</v>
      </c>
      <c r="C94" s="56">
        <v>1000000000</v>
      </c>
      <c r="D94" s="29">
        <v>1000711758.0448999</v>
      </c>
      <c r="E94" s="29">
        <v>999363538.87</v>
      </c>
    </row>
    <row r="95" spans="2:5" x14ac:dyDescent="0.25">
      <c r="B95" s="29" t="s">
        <v>116</v>
      </c>
      <c r="C95" s="56">
        <v>1500000000</v>
      </c>
      <c r="D95" s="29">
        <v>1501022688.1937001</v>
      </c>
      <c r="E95" s="29">
        <v>1499033153.95</v>
      </c>
    </row>
    <row r="96" spans="2:5" x14ac:dyDescent="0.25">
      <c r="B96" s="29" t="s">
        <v>115</v>
      </c>
      <c r="C96" s="56">
        <v>1500000000</v>
      </c>
      <c r="D96" s="29">
        <v>1500992722.2779</v>
      </c>
      <c r="E96" s="29">
        <v>1499025051.05</v>
      </c>
    </row>
    <row r="97" spans="2:5" x14ac:dyDescent="0.25">
      <c r="B97" s="29" t="s">
        <v>114</v>
      </c>
      <c r="C97" s="56">
        <v>80000000</v>
      </c>
      <c r="D97" s="29">
        <v>80086488.628399998</v>
      </c>
      <c r="E97" s="29">
        <v>79969837.670000002</v>
      </c>
    </row>
    <row r="98" spans="2:5" x14ac:dyDescent="0.25">
      <c r="B98" s="29" t="s">
        <v>113</v>
      </c>
      <c r="C98" s="56">
        <v>3000000000</v>
      </c>
      <c r="D98" s="29">
        <v>3003153626.7507</v>
      </c>
      <c r="E98" s="29">
        <v>2998852941.8200002</v>
      </c>
    </row>
    <row r="99" spans="2:5" x14ac:dyDescent="0.25">
      <c r="B99" s="29" t="s">
        <v>151</v>
      </c>
      <c r="C99" s="56">
        <v>1400000000</v>
      </c>
      <c r="D99" s="29">
        <v>1400000000.3150001</v>
      </c>
      <c r="E99" s="29">
        <v>1400000000.3099999</v>
      </c>
    </row>
    <row r="100" spans="2:5" x14ac:dyDescent="0.25">
      <c r="B100" s="29" t="s">
        <v>150</v>
      </c>
      <c r="C100" s="56">
        <v>1300000000</v>
      </c>
      <c r="D100" s="29">
        <v>1300002731.7021</v>
      </c>
      <c r="E100" s="29">
        <v>1300002731.7</v>
      </c>
    </row>
    <row r="101" spans="2:5" x14ac:dyDescent="0.25">
      <c r="B101" s="29" t="s">
        <v>149</v>
      </c>
      <c r="C101" s="56">
        <v>1500000000</v>
      </c>
      <c r="D101" s="29">
        <v>1500068485.1842999</v>
      </c>
      <c r="E101" s="29">
        <v>1500012594.77</v>
      </c>
    </row>
    <row r="102" spans="2:5" x14ac:dyDescent="0.25">
      <c r="B102" s="29" t="s">
        <v>148</v>
      </c>
      <c r="C102" s="56">
        <v>1900000000</v>
      </c>
      <c r="D102" s="29">
        <v>1900108435.6549001</v>
      </c>
      <c r="E102" s="29">
        <v>1900019942.5</v>
      </c>
    </row>
    <row r="103" spans="2:5" x14ac:dyDescent="0.25">
      <c r="B103" s="29" t="s">
        <v>147</v>
      </c>
      <c r="C103" s="56">
        <v>2550000000</v>
      </c>
      <c r="D103" s="29">
        <v>2550174639.0085001</v>
      </c>
      <c r="E103" s="29">
        <v>2550032118.46</v>
      </c>
    </row>
    <row r="104" spans="2:5" x14ac:dyDescent="0.25">
      <c r="B104" s="29" t="s">
        <v>101</v>
      </c>
      <c r="C104" s="56">
        <v>1650000000</v>
      </c>
      <c r="D104" s="29">
        <v>1650207175.4215</v>
      </c>
      <c r="E104" s="29">
        <v>1650038106.9300001</v>
      </c>
    </row>
    <row r="105" spans="2:5" x14ac:dyDescent="0.25">
      <c r="B105" s="29" t="s">
        <v>100</v>
      </c>
      <c r="C105" s="56">
        <v>1600000000</v>
      </c>
      <c r="D105" s="29">
        <v>1600219162.1327</v>
      </c>
      <c r="E105" s="29">
        <v>1600040312.8199999</v>
      </c>
    </row>
    <row r="106" spans="2:5" x14ac:dyDescent="0.25">
      <c r="B106" s="29" t="s">
        <v>99</v>
      </c>
      <c r="C106" s="56">
        <v>1300000000</v>
      </c>
      <c r="D106" s="29">
        <v>1300192909.0037</v>
      </c>
      <c r="E106" s="29">
        <v>1300035484.3499999</v>
      </c>
    </row>
    <row r="107" spans="2:5" x14ac:dyDescent="0.25">
      <c r="B107" s="29" t="s">
        <v>98</v>
      </c>
      <c r="C107" s="56">
        <v>1300000000</v>
      </c>
      <c r="D107" s="29">
        <v>1300195641.6041999</v>
      </c>
      <c r="E107" s="29">
        <v>1300038216.95</v>
      </c>
    </row>
    <row r="108" spans="2:5" x14ac:dyDescent="0.25">
      <c r="B108" s="29" t="s">
        <v>97</v>
      </c>
      <c r="C108" s="56">
        <v>800000000</v>
      </c>
      <c r="D108" s="29">
        <v>800182643.97210002</v>
      </c>
      <c r="E108" s="29">
        <v>800033602.88</v>
      </c>
    </row>
    <row r="109" spans="2:5" x14ac:dyDescent="0.25">
      <c r="B109" s="29" t="s">
        <v>78</v>
      </c>
      <c r="C109" s="56">
        <v>2000000000</v>
      </c>
      <c r="D109" s="29">
        <v>2004152253.5892</v>
      </c>
      <c r="E109" s="29">
        <v>2000032801.53</v>
      </c>
    </row>
    <row r="110" spans="2:5" x14ac:dyDescent="0.25">
      <c r="B110" s="29" t="s">
        <v>92</v>
      </c>
      <c r="C110" s="56">
        <v>900000000</v>
      </c>
      <c r="D110" s="29">
        <v>900229314.00119996</v>
      </c>
      <c r="E110" s="29">
        <v>900011341.39999998</v>
      </c>
    </row>
    <row r="111" spans="2:5" x14ac:dyDescent="0.25">
      <c r="B111" s="29" t="s">
        <v>91</v>
      </c>
      <c r="C111" s="56">
        <v>500000000</v>
      </c>
      <c r="D111" s="29">
        <v>500128903.77579999</v>
      </c>
      <c r="E111" s="29">
        <v>500003150.35000002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90"/>
  <sheetViews>
    <sheetView workbookViewId="0">
      <selection activeCell="D17" sqref="D17"/>
    </sheetView>
  </sheetViews>
  <sheetFormatPr defaultRowHeight="15.75" x14ac:dyDescent="0.25"/>
  <cols>
    <col min="1" max="1" width="14.75" style="29" customWidth="1"/>
    <col min="2" max="2" width="11.375" style="29" customWidth="1"/>
    <col min="3" max="5" width="11.5" style="29" customWidth="1"/>
    <col min="6" max="6" width="12.25" style="29" customWidth="1"/>
    <col min="7" max="7" width="21" style="29" customWidth="1"/>
    <col min="8" max="11" width="9" style="29"/>
    <col min="12" max="12" width="12.625" style="29" customWidth="1"/>
    <col min="13" max="16384" width="9" style="29"/>
  </cols>
  <sheetData>
    <row r="1" spans="1:16" x14ac:dyDescent="0.25">
      <c r="B1" s="5" t="s">
        <v>2</v>
      </c>
      <c r="C1" s="5" t="s">
        <v>61</v>
      </c>
      <c r="D1" s="5" t="s">
        <v>3</v>
      </c>
      <c r="E1" s="5" t="s">
        <v>62</v>
      </c>
      <c r="F1" s="5" t="s">
        <v>63</v>
      </c>
      <c r="G1" s="5" t="s">
        <v>64</v>
      </c>
      <c r="H1" s="5" t="s">
        <v>65</v>
      </c>
      <c r="I1" s="5" t="s">
        <v>10</v>
      </c>
      <c r="J1" s="5" t="s">
        <v>66</v>
      </c>
      <c r="K1" s="5" t="s">
        <v>67</v>
      </c>
      <c r="L1" s="5" t="s">
        <v>68</v>
      </c>
      <c r="M1" s="5" t="s">
        <v>69</v>
      </c>
      <c r="N1" s="5" t="s">
        <v>5</v>
      </c>
      <c r="O1" s="5" t="s">
        <v>6</v>
      </c>
      <c r="P1" s="5" t="s">
        <v>7</v>
      </c>
    </row>
    <row r="2" spans="1:16" x14ac:dyDescent="0.25">
      <c r="A2" s="39" t="str">
        <f>_xll.qlFixedRateBond(B2,C2,D2,E2,F2,G2,H2,I2,J2,K2,L2,M2,N2,O2,P2)</f>
        <v>obj_00011#0005</v>
      </c>
      <c r="D2" s="29" t="s">
        <v>107</v>
      </c>
      <c r="E2" s="29">
        <v>0</v>
      </c>
      <c r="F2" s="61">
        <v>99.988200000000006</v>
      </c>
      <c r="G2" s="39" t="str">
        <f>Schedule!A2</f>
        <v>065000039109#0003</v>
      </c>
      <c r="H2" s="29">
        <v>0</v>
      </c>
      <c r="I2" s="29" t="s">
        <v>152</v>
      </c>
      <c r="K2" s="29">
        <v>100</v>
      </c>
      <c r="L2" s="30">
        <f>Schedule!C2</f>
        <v>44615</v>
      </c>
      <c r="M2" s="29" t="s">
        <v>49</v>
      </c>
      <c r="N2" s="29" t="b">
        <v>0</v>
      </c>
      <c r="P2" s="29" t="b">
        <v>1</v>
      </c>
    </row>
    <row r="3" spans="1:16" x14ac:dyDescent="0.25">
      <c r="A3" s="39"/>
      <c r="G3" s="39"/>
      <c r="L3" s="30"/>
    </row>
    <row r="4" spans="1:16" x14ac:dyDescent="0.25">
      <c r="A4" s="39"/>
      <c r="G4" s="39"/>
      <c r="L4" s="30"/>
    </row>
    <row r="5" spans="1:16" x14ac:dyDescent="0.25">
      <c r="A5" s="39"/>
      <c r="G5" s="39"/>
      <c r="L5" s="30"/>
    </row>
    <row r="6" spans="1:16" x14ac:dyDescent="0.25">
      <c r="A6" s="39"/>
      <c r="G6" s="39"/>
      <c r="L6" s="30"/>
    </row>
    <row r="7" spans="1:16" x14ac:dyDescent="0.25">
      <c r="A7" s="39"/>
      <c r="G7" s="39"/>
      <c r="L7" s="30"/>
    </row>
    <row r="8" spans="1:16" x14ac:dyDescent="0.25">
      <c r="A8" s="39"/>
      <c r="G8" s="39"/>
      <c r="L8" s="30"/>
    </row>
    <row r="9" spans="1:16" x14ac:dyDescent="0.25">
      <c r="A9" s="39"/>
      <c r="G9" s="39"/>
      <c r="L9" s="30"/>
    </row>
    <row r="10" spans="1:16" x14ac:dyDescent="0.25">
      <c r="A10" s="39"/>
      <c r="G10" s="39"/>
      <c r="L10" s="30"/>
    </row>
    <row r="11" spans="1:16" x14ac:dyDescent="0.25">
      <c r="A11" s="39"/>
      <c r="G11" s="39"/>
      <c r="L11" s="30"/>
    </row>
    <row r="12" spans="1:16" x14ac:dyDescent="0.25">
      <c r="A12" s="39"/>
      <c r="G12" s="39"/>
      <c r="L12" s="30"/>
    </row>
    <row r="13" spans="1:16" x14ac:dyDescent="0.25">
      <c r="A13" s="39"/>
      <c r="G13" s="39"/>
      <c r="L13" s="30"/>
    </row>
    <row r="14" spans="1:16" x14ac:dyDescent="0.25">
      <c r="A14" s="39"/>
      <c r="G14" s="39"/>
      <c r="L14" s="30"/>
    </row>
    <row r="15" spans="1:16" x14ac:dyDescent="0.25">
      <c r="A15" s="39"/>
      <c r="G15" s="39"/>
      <c r="L15" s="30"/>
    </row>
    <row r="16" spans="1:16" x14ac:dyDescent="0.25">
      <c r="A16" s="39"/>
      <c r="G16" s="39"/>
      <c r="L16" s="30"/>
    </row>
    <row r="17" spans="1:12" x14ac:dyDescent="0.25">
      <c r="A17" s="39"/>
      <c r="G17" s="39"/>
      <c r="L17" s="30"/>
    </row>
    <row r="18" spans="1:12" x14ac:dyDescent="0.25">
      <c r="A18" s="39"/>
      <c r="G18" s="39"/>
      <c r="L18" s="30"/>
    </row>
    <row r="19" spans="1:12" x14ac:dyDescent="0.25">
      <c r="A19" s="39"/>
      <c r="G19" s="39"/>
      <c r="L19" s="30"/>
    </row>
    <row r="20" spans="1:12" x14ac:dyDescent="0.25">
      <c r="A20" s="39"/>
      <c r="G20" s="39"/>
      <c r="L20" s="30"/>
    </row>
    <row r="21" spans="1:12" x14ac:dyDescent="0.25">
      <c r="A21" s="39"/>
      <c r="G21" s="39"/>
      <c r="L21" s="30"/>
    </row>
    <row r="22" spans="1:12" x14ac:dyDescent="0.25">
      <c r="A22" s="39"/>
      <c r="G22" s="39"/>
      <c r="L22" s="30"/>
    </row>
    <row r="23" spans="1:12" x14ac:dyDescent="0.25">
      <c r="A23" s="39"/>
      <c r="G23" s="39"/>
      <c r="L23" s="30"/>
    </row>
    <row r="24" spans="1:12" x14ac:dyDescent="0.25">
      <c r="A24" s="39"/>
      <c r="G24" s="39"/>
      <c r="L24" s="30"/>
    </row>
    <row r="25" spans="1:12" x14ac:dyDescent="0.25">
      <c r="A25" s="39"/>
      <c r="G25" s="39"/>
      <c r="L25" s="30"/>
    </row>
    <row r="26" spans="1:12" x14ac:dyDescent="0.25">
      <c r="A26" s="39"/>
      <c r="G26" s="39"/>
      <c r="L26" s="30"/>
    </row>
    <row r="27" spans="1:12" x14ac:dyDescent="0.25">
      <c r="A27" s="39"/>
      <c r="G27" s="39"/>
      <c r="L27" s="30"/>
    </row>
    <row r="28" spans="1:12" x14ac:dyDescent="0.25">
      <c r="A28" s="39"/>
      <c r="G28" s="39"/>
      <c r="L28" s="30"/>
    </row>
    <row r="29" spans="1:12" x14ac:dyDescent="0.25">
      <c r="A29" s="39"/>
      <c r="G29" s="39"/>
      <c r="L29" s="30"/>
    </row>
    <row r="30" spans="1:12" x14ac:dyDescent="0.25">
      <c r="A30" s="39"/>
      <c r="G30" s="39"/>
      <c r="L30" s="30"/>
    </row>
    <row r="31" spans="1:12" x14ac:dyDescent="0.25">
      <c r="A31" s="39"/>
      <c r="G31" s="39"/>
      <c r="L31" s="30"/>
    </row>
    <row r="32" spans="1:12" x14ac:dyDescent="0.25">
      <c r="A32" s="39"/>
      <c r="G32" s="39"/>
      <c r="L32" s="30"/>
    </row>
    <row r="33" spans="1:12" x14ac:dyDescent="0.25">
      <c r="A33" s="39"/>
      <c r="G33" s="39"/>
      <c r="L33" s="30"/>
    </row>
    <row r="34" spans="1:12" x14ac:dyDescent="0.25">
      <c r="A34" s="39"/>
      <c r="G34" s="39"/>
      <c r="L34" s="30"/>
    </row>
    <row r="35" spans="1:12" x14ac:dyDescent="0.25">
      <c r="A35" s="39"/>
      <c r="G35" s="39"/>
      <c r="L35" s="30"/>
    </row>
    <row r="36" spans="1:12" x14ac:dyDescent="0.25">
      <c r="A36" s="39"/>
      <c r="G36" s="39"/>
      <c r="L36" s="30"/>
    </row>
    <row r="37" spans="1:12" x14ac:dyDescent="0.25">
      <c r="A37" s="39"/>
      <c r="G37" s="39"/>
      <c r="L37" s="30"/>
    </row>
    <row r="38" spans="1:12" x14ac:dyDescent="0.25">
      <c r="A38" s="39"/>
      <c r="G38" s="39"/>
      <c r="L38" s="30"/>
    </row>
    <row r="39" spans="1:12" x14ac:dyDescent="0.25">
      <c r="A39" s="39"/>
      <c r="G39" s="39"/>
      <c r="L39" s="30"/>
    </row>
    <row r="40" spans="1:12" x14ac:dyDescent="0.25">
      <c r="A40" s="39"/>
      <c r="G40" s="39"/>
      <c r="L40" s="30"/>
    </row>
    <row r="41" spans="1:12" x14ac:dyDescent="0.25">
      <c r="A41" s="39"/>
      <c r="G41" s="39"/>
      <c r="L41" s="30"/>
    </row>
    <row r="42" spans="1:12" x14ac:dyDescent="0.25">
      <c r="A42" s="39"/>
      <c r="G42" s="39"/>
      <c r="L42" s="30"/>
    </row>
    <row r="43" spans="1:12" x14ac:dyDescent="0.25">
      <c r="A43" s="39"/>
      <c r="G43" s="39"/>
      <c r="L43" s="30"/>
    </row>
    <row r="44" spans="1:12" x14ac:dyDescent="0.25">
      <c r="A44" s="39"/>
      <c r="G44" s="39"/>
      <c r="L44" s="30"/>
    </row>
    <row r="45" spans="1:12" x14ac:dyDescent="0.25">
      <c r="A45" s="39"/>
      <c r="G45" s="39"/>
      <c r="L45" s="30"/>
    </row>
    <row r="46" spans="1:12" x14ac:dyDescent="0.25">
      <c r="A46" s="39"/>
      <c r="G46" s="39"/>
      <c r="L46" s="30"/>
    </row>
    <row r="47" spans="1:12" x14ac:dyDescent="0.25">
      <c r="A47" s="39"/>
      <c r="G47" s="39"/>
      <c r="L47" s="30"/>
    </row>
    <row r="48" spans="1:12" x14ac:dyDescent="0.25">
      <c r="A48" s="39"/>
      <c r="G48" s="39"/>
      <c r="L48" s="30"/>
    </row>
    <row r="49" spans="1:12" x14ac:dyDescent="0.25">
      <c r="A49" s="39"/>
      <c r="G49" s="39"/>
      <c r="L49" s="30"/>
    </row>
    <row r="50" spans="1:12" x14ac:dyDescent="0.25">
      <c r="A50" s="39"/>
      <c r="G50" s="39"/>
      <c r="L50" s="30"/>
    </row>
    <row r="51" spans="1:12" x14ac:dyDescent="0.25">
      <c r="A51" s="39"/>
      <c r="G51" s="39"/>
      <c r="L51" s="30"/>
    </row>
    <row r="52" spans="1:12" x14ac:dyDescent="0.25">
      <c r="A52" s="39"/>
      <c r="G52" s="39"/>
      <c r="L52" s="30"/>
    </row>
    <row r="53" spans="1:12" x14ac:dyDescent="0.25">
      <c r="A53" s="39"/>
      <c r="G53" s="39"/>
      <c r="L53" s="30"/>
    </row>
    <row r="54" spans="1:12" x14ac:dyDescent="0.25">
      <c r="A54" s="39"/>
      <c r="G54" s="39"/>
      <c r="L54" s="30"/>
    </row>
    <row r="55" spans="1:12" x14ac:dyDescent="0.25">
      <c r="A55" s="39"/>
      <c r="G55" s="39"/>
      <c r="L55" s="30"/>
    </row>
    <row r="56" spans="1:12" x14ac:dyDescent="0.25">
      <c r="A56" s="39"/>
      <c r="G56" s="39"/>
      <c r="L56" s="30"/>
    </row>
    <row r="57" spans="1:12" x14ac:dyDescent="0.25">
      <c r="A57" s="39"/>
      <c r="G57" s="39"/>
      <c r="L57" s="30"/>
    </row>
    <row r="58" spans="1:12" x14ac:dyDescent="0.25">
      <c r="A58" s="39"/>
      <c r="G58" s="39"/>
      <c r="L58" s="30"/>
    </row>
    <row r="59" spans="1:12" x14ac:dyDescent="0.25">
      <c r="G59" s="39"/>
    </row>
    <row r="60" spans="1:12" x14ac:dyDescent="0.25">
      <c r="G60" s="39"/>
    </row>
    <row r="61" spans="1:12" x14ac:dyDescent="0.25">
      <c r="G61" s="39"/>
    </row>
    <row r="62" spans="1:12" x14ac:dyDescent="0.25">
      <c r="G62" s="39"/>
    </row>
    <row r="63" spans="1:12" x14ac:dyDescent="0.25">
      <c r="G63" s="39"/>
    </row>
    <row r="64" spans="1:12" x14ac:dyDescent="0.25">
      <c r="G64" s="39"/>
    </row>
    <row r="65" spans="7:7" x14ac:dyDescent="0.25">
      <c r="G65" s="39"/>
    </row>
    <row r="66" spans="7:7" x14ac:dyDescent="0.25">
      <c r="G66" s="39"/>
    </row>
    <row r="67" spans="7:7" x14ac:dyDescent="0.25">
      <c r="G67" s="39"/>
    </row>
    <row r="68" spans="7:7" x14ac:dyDescent="0.25">
      <c r="G68" s="39"/>
    </row>
    <row r="69" spans="7:7" x14ac:dyDescent="0.25">
      <c r="G69" s="39"/>
    </row>
    <row r="70" spans="7:7" x14ac:dyDescent="0.25">
      <c r="G70" s="39"/>
    </row>
    <row r="71" spans="7:7" x14ac:dyDescent="0.25">
      <c r="G71" s="39"/>
    </row>
    <row r="72" spans="7:7" x14ac:dyDescent="0.25">
      <c r="G72" s="39"/>
    </row>
    <row r="73" spans="7:7" x14ac:dyDescent="0.25">
      <c r="G73" s="39"/>
    </row>
    <row r="74" spans="7:7" x14ac:dyDescent="0.25">
      <c r="G74" s="39"/>
    </row>
    <row r="75" spans="7:7" x14ac:dyDescent="0.25">
      <c r="G75" s="39"/>
    </row>
    <row r="76" spans="7:7" x14ac:dyDescent="0.25">
      <c r="G76" s="39"/>
    </row>
    <row r="77" spans="7:7" x14ac:dyDescent="0.25">
      <c r="G77" s="39"/>
    </row>
    <row r="78" spans="7:7" x14ac:dyDescent="0.25">
      <c r="G78" s="39"/>
    </row>
    <row r="79" spans="7:7" x14ac:dyDescent="0.25">
      <c r="G79" s="39"/>
    </row>
    <row r="80" spans="7:7" x14ac:dyDescent="0.25">
      <c r="G80" s="39"/>
    </row>
    <row r="81" spans="7:7" x14ac:dyDescent="0.25">
      <c r="G81" s="39"/>
    </row>
    <row r="82" spans="7:7" x14ac:dyDescent="0.25">
      <c r="G82" s="39"/>
    </row>
    <row r="83" spans="7:7" x14ac:dyDescent="0.25">
      <c r="G83" s="39"/>
    </row>
    <row r="84" spans="7:7" x14ac:dyDescent="0.25">
      <c r="G84" s="39"/>
    </row>
    <row r="85" spans="7:7" x14ac:dyDescent="0.25">
      <c r="G85" s="39"/>
    </row>
    <row r="86" spans="7:7" x14ac:dyDescent="0.25">
      <c r="G86" s="39"/>
    </row>
    <row r="87" spans="7:7" x14ac:dyDescent="0.25">
      <c r="G87" s="39"/>
    </row>
    <row r="88" spans="7:7" x14ac:dyDescent="0.25">
      <c r="G88" s="39"/>
    </row>
    <row r="89" spans="7:7" x14ac:dyDescent="0.25">
      <c r="G89" s="39"/>
    </row>
    <row r="90" spans="7:7" x14ac:dyDescent="0.25">
      <c r="G90" s="39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8"/>
  <sheetViews>
    <sheetView tabSelected="1" workbookViewId="0">
      <selection activeCell="I14" sqref="I14"/>
    </sheetView>
  </sheetViews>
  <sheetFormatPr defaultRowHeight="15.75" x14ac:dyDescent="0.25"/>
  <cols>
    <col min="1" max="1" width="18.625" style="29" customWidth="1"/>
    <col min="2" max="2" width="13.5" style="29" customWidth="1"/>
    <col min="3" max="3" width="21.25" style="29" customWidth="1"/>
    <col min="4" max="4" width="16.5" style="29" customWidth="1"/>
    <col min="5" max="6" width="16.75" style="29" customWidth="1"/>
    <col min="7" max="12" width="12.875" style="29" customWidth="1"/>
    <col min="13" max="13" width="13.875" style="29" customWidth="1"/>
    <col min="14" max="17" width="9" style="29"/>
    <col min="18" max="18" width="13.125" style="29" customWidth="1"/>
    <col min="19" max="16384" width="9" style="29"/>
  </cols>
  <sheetData>
    <row r="1" spans="1:12" x14ac:dyDescent="0.25">
      <c r="A1" s="30">
        <f>CP!B1</f>
        <v>44616</v>
      </c>
      <c r="B1" s="52" t="s">
        <v>145</v>
      </c>
      <c r="C1" s="52">
        <v>1</v>
      </c>
      <c r="D1" s="4" t="s">
        <v>72</v>
      </c>
      <c r="E1" s="4" t="s">
        <v>73</v>
      </c>
      <c r="F1" s="4" t="s">
        <v>74</v>
      </c>
      <c r="G1" s="5" t="s">
        <v>70</v>
      </c>
      <c r="H1" s="5" t="s">
        <v>11</v>
      </c>
      <c r="I1" s="5" t="s">
        <v>71</v>
      </c>
      <c r="J1" s="5" t="s">
        <v>5</v>
      </c>
      <c r="K1" s="5" t="s">
        <v>6</v>
      </c>
      <c r="L1" s="5" t="s">
        <v>7</v>
      </c>
    </row>
    <row r="2" spans="1:12" x14ac:dyDescent="0.25">
      <c r="A2" s="35"/>
      <c r="C2" s="31"/>
      <c r="D2" s="60">
        <f>_xll.qlBondCleanPrice(BulletBond!A2,PricingEng!$C$1)</f>
        <v>99.985355569565058</v>
      </c>
      <c r="E2" s="42">
        <f>_xll.qlInstrumentNPV(BulletBond!A2, $C$1)</f>
        <v>99.973557297607854</v>
      </c>
      <c r="F2" s="29" t="b">
        <f>_xll.qlInstrumentSetPricingEngine(BulletBond!A2,$G$2,$K$2)</f>
        <v>1</v>
      </c>
      <c r="G2" s="54" t="str">
        <f>_xll.qlBondEngine(H2,I2,J2,K2,L2)</f>
        <v>NCDEng#0003</v>
      </c>
      <c r="H2" s="29" t="s">
        <v>146</v>
      </c>
      <c r="I2" s="53" t="str">
        <f>CP!$D$25</f>
        <v>TWNCDDF#0001</v>
      </c>
      <c r="J2" s="29" t="b">
        <v>0</v>
      </c>
      <c r="K2" s="55">
        <f>_xll.ohTrigger(CP!E2)</f>
        <v>0</v>
      </c>
      <c r="L2" s="29" t="b">
        <v>1</v>
      </c>
    </row>
    <row r="3" spans="1:12" x14ac:dyDescent="0.25">
      <c r="A3" s="35"/>
      <c r="C3" s="31"/>
      <c r="D3" s="42"/>
      <c r="E3" s="31"/>
      <c r="G3" s="41"/>
    </row>
    <row r="4" spans="1:12" x14ac:dyDescent="0.25">
      <c r="A4" s="35"/>
      <c r="C4" s="31"/>
      <c r="D4" s="42">
        <f>BulletBond!F2</f>
        <v>99.988200000000006</v>
      </c>
      <c r="E4" s="31"/>
      <c r="G4" s="41"/>
    </row>
    <row r="5" spans="1:12" x14ac:dyDescent="0.25">
      <c r="A5" s="35"/>
      <c r="C5" s="31"/>
      <c r="D5" s="42"/>
      <c r="E5" s="31"/>
      <c r="G5" s="41"/>
      <c r="H5" s="30"/>
      <c r="K5" s="30"/>
      <c r="L5" s="30"/>
    </row>
    <row r="6" spans="1:12" x14ac:dyDescent="0.25">
      <c r="A6" s="35"/>
      <c r="C6" s="31"/>
      <c r="D6" s="42"/>
      <c r="E6" s="31"/>
      <c r="G6" s="41"/>
      <c r="H6" s="30"/>
    </row>
    <row r="7" spans="1:12" x14ac:dyDescent="0.25">
      <c r="A7" s="35"/>
      <c r="C7" s="31"/>
      <c r="D7" s="42"/>
      <c r="E7" s="31"/>
      <c r="G7" s="41"/>
    </row>
    <row r="8" spans="1:12" x14ac:dyDescent="0.25">
      <c r="A8" s="35"/>
      <c r="C8" s="31"/>
      <c r="D8" s="42"/>
      <c r="E8" s="31"/>
      <c r="G8" s="41"/>
    </row>
    <row r="9" spans="1:12" x14ac:dyDescent="0.25">
      <c r="A9" s="35"/>
      <c r="C9" s="31"/>
      <c r="D9" s="42"/>
      <c r="E9" s="31"/>
      <c r="G9" s="41"/>
    </row>
    <row r="10" spans="1:12" x14ac:dyDescent="0.25">
      <c r="A10" s="35"/>
      <c r="C10" s="31"/>
      <c r="D10" s="42"/>
      <c r="E10" s="31"/>
      <c r="G10" s="41"/>
    </row>
    <row r="11" spans="1:12" x14ac:dyDescent="0.25">
      <c r="A11" s="35"/>
      <c r="C11" s="31"/>
      <c r="D11" s="42"/>
      <c r="E11" s="31"/>
      <c r="G11" s="41"/>
    </row>
    <row r="12" spans="1:12" x14ac:dyDescent="0.25">
      <c r="A12" s="35"/>
      <c r="C12" s="31"/>
      <c r="D12" s="42"/>
      <c r="E12" s="31"/>
      <c r="G12" s="41"/>
    </row>
    <row r="13" spans="1:12" x14ac:dyDescent="0.25">
      <c r="A13" s="35"/>
      <c r="C13" s="31"/>
      <c r="D13" s="42"/>
      <c r="E13" s="31"/>
      <c r="G13" s="41"/>
    </row>
    <row r="14" spans="1:12" x14ac:dyDescent="0.25">
      <c r="A14" s="35"/>
      <c r="C14" s="31"/>
      <c r="D14" s="42"/>
      <c r="E14" s="31"/>
      <c r="G14" s="41"/>
    </row>
    <row r="15" spans="1:12" x14ac:dyDescent="0.25">
      <c r="A15" s="35"/>
      <c r="C15" s="31"/>
      <c r="D15" s="42"/>
      <c r="E15" s="31"/>
      <c r="G15" s="41"/>
    </row>
    <row r="16" spans="1:12" x14ac:dyDescent="0.25">
      <c r="A16" s="35"/>
      <c r="C16" s="31"/>
      <c r="D16" s="42"/>
      <c r="E16" s="31"/>
      <c r="G16" s="41"/>
    </row>
    <row r="17" spans="1:13" x14ac:dyDescent="0.25">
      <c r="A17" s="35"/>
      <c r="C17" s="31"/>
      <c r="D17" s="42"/>
      <c r="E17" s="31"/>
      <c r="G17" s="41"/>
    </row>
    <row r="18" spans="1:13" x14ac:dyDescent="0.25">
      <c r="A18" s="35"/>
      <c r="C18" s="31"/>
      <c r="D18" s="42"/>
      <c r="E18" s="31"/>
      <c r="G18" s="41"/>
    </row>
    <row r="19" spans="1:13" x14ac:dyDescent="0.25">
      <c r="A19" s="35"/>
      <c r="C19" s="31"/>
      <c r="D19" s="42"/>
      <c r="E19" s="31"/>
      <c r="G19" s="41"/>
    </row>
    <row r="20" spans="1:13" x14ac:dyDescent="0.25">
      <c r="A20" s="35"/>
      <c r="C20" s="31"/>
      <c r="D20" s="42"/>
      <c r="E20" s="31"/>
      <c r="G20" s="41"/>
    </row>
    <row r="21" spans="1:13" x14ac:dyDescent="0.25">
      <c r="A21" s="35"/>
      <c r="C21" s="31"/>
      <c r="D21" s="42"/>
      <c r="E21" s="31"/>
      <c r="G21" s="41"/>
    </row>
    <row r="22" spans="1:13" x14ac:dyDescent="0.25">
      <c r="A22" s="35"/>
      <c r="C22" s="31"/>
      <c r="D22" s="42"/>
      <c r="E22" s="31"/>
      <c r="G22" s="41"/>
    </row>
    <row r="23" spans="1:13" x14ac:dyDescent="0.25">
      <c r="A23" s="35"/>
      <c r="C23" s="31"/>
      <c r="D23" s="42"/>
      <c r="E23" s="31"/>
      <c r="G23" s="41"/>
    </row>
    <row r="24" spans="1:13" x14ac:dyDescent="0.25">
      <c r="A24" s="35"/>
      <c r="C24" s="31"/>
      <c r="D24" s="42"/>
      <c r="E24" s="31"/>
      <c r="G24" s="41"/>
    </row>
    <row r="25" spans="1:13" x14ac:dyDescent="0.25">
      <c r="A25" s="35"/>
      <c r="C25" s="31"/>
      <c r="D25" s="42"/>
      <c r="E25" s="31"/>
      <c r="G25" s="41"/>
    </row>
    <row r="26" spans="1:13" x14ac:dyDescent="0.25">
      <c r="A26" s="35"/>
      <c r="C26" s="31"/>
      <c r="D26" s="42"/>
      <c r="E26" s="31"/>
      <c r="G26" s="41"/>
    </row>
    <row r="27" spans="1:13" x14ac:dyDescent="0.25">
      <c r="A27" s="35"/>
      <c r="C27" s="31"/>
      <c r="D27" s="42"/>
      <c r="E27" s="31"/>
      <c r="G27" s="41"/>
    </row>
    <row r="28" spans="1:13" x14ac:dyDescent="0.25">
      <c r="A28" s="35"/>
      <c r="C28" s="31"/>
      <c r="D28" s="42"/>
      <c r="E28" s="31"/>
      <c r="G28" s="41"/>
    </row>
    <row r="29" spans="1:13" x14ac:dyDescent="0.25">
      <c r="A29" s="35"/>
      <c r="C29" s="31"/>
      <c r="D29" s="42"/>
      <c r="E29" s="31"/>
      <c r="G29" s="41"/>
    </row>
    <row r="30" spans="1:13" x14ac:dyDescent="0.25">
      <c r="A30" s="35"/>
      <c r="C30" s="31"/>
      <c r="D30" s="42"/>
      <c r="E30" s="31"/>
      <c r="G30" s="41"/>
      <c r="I30" s="30"/>
      <c r="L30" s="30"/>
      <c r="M30" s="30"/>
    </row>
    <row r="31" spans="1:13" x14ac:dyDescent="0.25">
      <c r="A31" s="35"/>
      <c r="C31" s="31"/>
      <c r="D31" s="42"/>
      <c r="E31" s="31"/>
      <c r="G31" s="41"/>
      <c r="I31" s="30"/>
      <c r="L31" s="30"/>
      <c r="M31" s="30"/>
    </row>
    <row r="32" spans="1:13" x14ac:dyDescent="0.25">
      <c r="A32" s="35"/>
      <c r="C32" s="31"/>
      <c r="D32" s="42"/>
      <c r="E32" s="31"/>
      <c r="G32" s="41"/>
      <c r="I32" s="30"/>
    </row>
    <row r="33" spans="1:7" x14ac:dyDescent="0.25">
      <c r="A33" s="35"/>
      <c r="C33" s="31"/>
      <c r="D33" s="42"/>
      <c r="E33" s="31"/>
      <c r="G33" s="41"/>
    </row>
    <row r="34" spans="1:7" x14ac:dyDescent="0.25">
      <c r="A34" s="35"/>
      <c r="C34" s="31"/>
      <c r="D34" s="42"/>
      <c r="E34" s="31"/>
      <c r="G34" s="41"/>
    </row>
    <row r="35" spans="1:7" x14ac:dyDescent="0.25">
      <c r="A35" s="35"/>
      <c r="C35" s="31"/>
      <c r="D35" s="42"/>
      <c r="E35" s="31"/>
    </row>
    <row r="36" spans="1:7" x14ac:dyDescent="0.25">
      <c r="A36" s="35"/>
      <c r="C36" s="31"/>
      <c r="D36" s="42"/>
      <c r="E36" s="31"/>
    </row>
    <row r="37" spans="1:7" x14ac:dyDescent="0.25">
      <c r="A37" s="35"/>
      <c r="C37" s="31"/>
      <c r="D37" s="42"/>
      <c r="E37" s="31"/>
    </row>
    <row r="38" spans="1:7" x14ac:dyDescent="0.25">
      <c r="A38" s="35"/>
      <c r="C38" s="31"/>
      <c r="D38" s="42"/>
      <c r="E38" s="31"/>
    </row>
    <row r="39" spans="1:7" x14ac:dyDescent="0.25">
      <c r="A39" s="35"/>
      <c r="C39" s="31"/>
      <c r="D39" s="42"/>
      <c r="E39" s="31"/>
      <c r="G39" s="41"/>
    </row>
    <row r="40" spans="1:7" x14ac:dyDescent="0.25">
      <c r="A40" s="35"/>
      <c r="C40" s="31"/>
      <c r="D40" s="42"/>
      <c r="E40" s="31"/>
      <c r="G40" s="41"/>
    </row>
    <row r="41" spans="1:7" x14ac:dyDescent="0.25">
      <c r="A41" s="35"/>
      <c r="C41" s="31"/>
      <c r="D41" s="42"/>
      <c r="E41" s="31"/>
      <c r="G41" s="41"/>
    </row>
    <row r="42" spans="1:7" x14ac:dyDescent="0.25">
      <c r="A42" s="35"/>
      <c r="C42" s="31"/>
      <c r="D42" s="42"/>
      <c r="E42" s="31"/>
      <c r="G42" s="41"/>
    </row>
    <row r="43" spans="1:7" x14ac:dyDescent="0.25">
      <c r="A43" s="35"/>
      <c r="C43" s="31"/>
      <c r="D43" s="42"/>
      <c r="E43" s="31"/>
      <c r="G43" s="41"/>
    </row>
    <row r="44" spans="1:7" x14ac:dyDescent="0.25">
      <c r="A44" s="35"/>
      <c r="C44" s="31"/>
      <c r="D44" s="42"/>
      <c r="E44" s="31"/>
      <c r="G44" s="41"/>
    </row>
    <row r="45" spans="1:7" x14ac:dyDescent="0.25">
      <c r="A45" s="35"/>
      <c r="C45" s="31"/>
      <c r="D45" s="42"/>
      <c r="E45" s="31"/>
    </row>
    <row r="46" spans="1:7" x14ac:dyDescent="0.25">
      <c r="A46" s="35"/>
      <c r="C46" s="31"/>
      <c r="D46" s="42"/>
      <c r="E46" s="31"/>
    </row>
    <row r="47" spans="1:7" x14ac:dyDescent="0.25">
      <c r="A47" s="35"/>
      <c r="C47" s="31"/>
      <c r="D47" s="42"/>
      <c r="E47" s="31"/>
    </row>
    <row r="48" spans="1:7" x14ac:dyDescent="0.25">
      <c r="A48" s="35"/>
      <c r="C48" s="31"/>
      <c r="D48" s="42"/>
      <c r="E48" s="31"/>
    </row>
    <row r="49" spans="1:7" x14ac:dyDescent="0.25">
      <c r="A49" s="35"/>
      <c r="C49" s="31"/>
      <c r="D49" s="42"/>
      <c r="E49" s="31"/>
    </row>
    <row r="50" spans="1:7" x14ac:dyDescent="0.25">
      <c r="A50" s="35"/>
      <c r="C50" s="31"/>
      <c r="D50" s="42"/>
      <c r="E50" s="31"/>
      <c r="G50" s="41"/>
    </row>
    <row r="51" spans="1:7" x14ac:dyDescent="0.25">
      <c r="A51" s="35"/>
      <c r="C51" s="31"/>
      <c r="D51" s="42"/>
      <c r="E51" s="31"/>
      <c r="G51" s="41"/>
    </row>
    <row r="52" spans="1:7" x14ac:dyDescent="0.25">
      <c r="A52" s="35"/>
      <c r="C52" s="31"/>
      <c r="D52" s="42"/>
      <c r="E52" s="31"/>
    </row>
    <row r="53" spans="1:7" x14ac:dyDescent="0.25">
      <c r="A53" s="35"/>
      <c r="C53" s="31"/>
      <c r="D53" s="42"/>
      <c r="E53" s="31"/>
    </row>
    <row r="54" spans="1:7" x14ac:dyDescent="0.25">
      <c r="A54" s="35"/>
      <c r="C54" s="31"/>
      <c r="D54" s="42"/>
      <c r="E54" s="31"/>
    </row>
    <row r="55" spans="1:7" x14ac:dyDescent="0.25">
      <c r="A55" s="35"/>
      <c r="C55" s="31"/>
      <c r="D55" s="42"/>
      <c r="E55" s="31"/>
    </row>
    <row r="56" spans="1:7" x14ac:dyDescent="0.25">
      <c r="A56" s="35"/>
      <c r="C56" s="31"/>
      <c r="D56" s="42"/>
      <c r="E56" s="31"/>
    </row>
    <row r="57" spans="1:7" x14ac:dyDescent="0.25">
      <c r="A57" s="35"/>
      <c r="C57" s="31"/>
      <c r="D57" s="42"/>
      <c r="E57" s="31"/>
    </row>
    <row r="58" spans="1:7" x14ac:dyDescent="0.25">
      <c r="A58" s="35"/>
      <c r="C58" s="31"/>
      <c r="D58" s="42"/>
      <c r="E58" s="31"/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"/>
  <sheetViews>
    <sheetView topLeftCell="A2" workbookViewId="0">
      <selection activeCell="B2" sqref="B2:B27"/>
    </sheetView>
  </sheetViews>
  <sheetFormatPr defaultRowHeight="16.5" x14ac:dyDescent="0.25"/>
  <cols>
    <col min="2" max="4" width="12.25" customWidth="1"/>
  </cols>
  <sheetData>
    <row r="1" spans="1:4" ht="33.75" thickBot="1" x14ac:dyDescent="0.3">
      <c r="B1" s="37" t="s">
        <v>104</v>
      </c>
      <c r="C1" s="38" t="s">
        <v>105</v>
      </c>
      <c r="D1" s="38" t="s">
        <v>106</v>
      </c>
    </row>
    <row r="2" spans="1:4" ht="18" x14ac:dyDescent="0.25">
      <c r="A2" s="36" t="s">
        <v>78</v>
      </c>
      <c r="B2">
        <v>2000000000</v>
      </c>
      <c r="C2">
        <v>2004008967.5081999</v>
      </c>
      <c r="D2">
        <v>1999970063.4000001</v>
      </c>
    </row>
    <row r="3" spans="1:4" ht="18" x14ac:dyDescent="0.25">
      <c r="A3" s="36" t="s">
        <v>79</v>
      </c>
      <c r="B3">
        <v>500000000</v>
      </c>
      <c r="C3">
        <v>499765083.98250002</v>
      </c>
      <c r="D3">
        <v>499327138.77999997</v>
      </c>
    </row>
    <row r="4" spans="1:4" ht="18" x14ac:dyDescent="0.25">
      <c r="A4" s="36" t="s">
        <v>80</v>
      </c>
      <c r="B4">
        <v>500000000</v>
      </c>
      <c r="C4">
        <v>499789947.23979998</v>
      </c>
      <c r="D4">
        <v>499342481.49000001</v>
      </c>
    </row>
    <row r="5" spans="1:4" ht="18" x14ac:dyDescent="0.25">
      <c r="A5" s="36" t="s">
        <v>81</v>
      </c>
      <c r="B5">
        <v>1000000000</v>
      </c>
      <c r="C5">
        <v>999478178.16439998</v>
      </c>
      <c r="D5">
        <v>998787000.08000004</v>
      </c>
    </row>
    <row r="6" spans="1:4" ht="18" x14ac:dyDescent="0.25">
      <c r="A6" s="36" t="s">
        <v>82</v>
      </c>
      <c r="B6">
        <v>1000000000</v>
      </c>
      <c r="C6">
        <v>999517953.94140005</v>
      </c>
      <c r="D6">
        <v>998815159.41999996</v>
      </c>
    </row>
    <row r="7" spans="1:4" ht="18" x14ac:dyDescent="0.25">
      <c r="A7" s="36" t="s">
        <v>83</v>
      </c>
      <c r="B7">
        <v>440000000</v>
      </c>
      <c r="C7">
        <v>439801025.9102</v>
      </c>
      <c r="D7">
        <v>439487962.89999998</v>
      </c>
    </row>
    <row r="8" spans="1:4" ht="18" x14ac:dyDescent="0.25">
      <c r="A8" s="36" t="s">
        <v>84</v>
      </c>
      <c r="B8">
        <v>500000000</v>
      </c>
      <c r="C8">
        <v>499817513.06559998</v>
      </c>
      <c r="D8">
        <v>499534362.38</v>
      </c>
    </row>
    <row r="9" spans="1:4" ht="18" x14ac:dyDescent="0.25">
      <c r="A9" s="36" t="s">
        <v>85</v>
      </c>
      <c r="B9">
        <v>1000000000</v>
      </c>
      <c r="C9">
        <v>999909102.66649997</v>
      </c>
      <c r="D9">
        <v>999516362.94000006</v>
      </c>
    </row>
    <row r="10" spans="1:4" ht="18" x14ac:dyDescent="0.25">
      <c r="A10" s="36" t="s">
        <v>86</v>
      </c>
      <c r="B10">
        <v>500000000</v>
      </c>
      <c r="C10">
        <v>499979404.4727</v>
      </c>
      <c r="D10">
        <v>499779815.43000001</v>
      </c>
    </row>
    <row r="11" spans="1:4" ht="18" x14ac:dyDescent="0.25">
      <c r="A11" s="36" t="s">
        <v>87</v>
      </c>
      <c r="B11">
        <v>2550000000</v>
      </c>
      <c r="C11">
        <v>2550657409.1567998</v>
      </c>
      <c r="D11">
        <v>2550016066.6900001</v>
      </c>
    </row>
    <row r="12" spans="1:4" ht="18" x14ac:dyDescent="0.25">
      <c r="A12" s="36" t="s">
        <v>88</v>
      </c>
      <c r="B12">
        <v>1900000000</v>
      </c>
      <c r="C12">
        <v>1900484107.1136</v>
      </c>
      <c r="D12">
        <v>1900023942.73</v>
      </c>
    </row>
    <row r="13" spans="1:4" ht="18" x14ac:dyDescent="0.25">
      <c r="A13" s="36" t="s">
        <v>89</v>
      </c>
      <c r="B13">
        <v>1500000000</v>
      </c>
      <c r="C13">
        <v>1500377668.0234001</v>
      </c>
      <c r="D13">
        <v>1500028352.95</v>
      </c>
    </row>
    <row r="14" spans="1:4" ht="18" x14ac:dyDescent="0.25">
      <c r="A14" s="36" t="s">
        <v>90</v>
      </c>
      <c r="B14">
        <v>2700000000</v>
      </c>
      <c r="C14">
        <v>2700647246.4417</v>
      </c>
      <c r="D14">
        <v>2700119082.0599999</v>
      </c>
    </row>
    <row r="15" spans="1:4" ht="18" x14ac:dyDescent="0.25">
      <c r="A15" s="36" t="s">
        <v>91</v>
      </c>
      <c r="B15">
        <v>500000000</v>
      </c>
      <c r="C15">
        <v>500114152.23259997</v>
      </c>
      <c r="D15">
        <v>500021001.55000001</v>
      </c>
    </row>
    <row r="16" spans="1:4" ht="18" x14ac:dyDescent="0.25">
      <c r="A16" s="36" t="s">
        <v>92</v>
      </c>
      <c r="B16">
        <v>900000000</v>
      </c>
      <c r="C16">
        <v>900195199.40740001</v>
      </c>
      <c r="D16">
        <v>900035911.74000001</v>
      </c>
    </row>
    <row r="17" spans="1:4" ht="18" x14ac:dyDescent="0.25">
      <c r="A17" s="36" t="s">
        <v>93</v>
      </c>
      <c r="B17">
        <v>500000000</v>
      </c>
      <c r="C17">
        <v>500005062.12840003</v>
      </c>
      <c r="D17">
        <v>499937664.87</v>
      </c>
    </row>
    <row r="18" spans="1:4" ht="18" x14ac:dyDescent="0.25">
      <c r="A18" s="36" t="s">
        <v>94</v>
      </c>
      <c r="B18">
        <v>500000000</v>
      </c>
      <c r="C18">
        <v>500015001.71689999</v>
      </c>
      <c r="D18">
        <v>499947193.5</v>
      </c>
    </row>
    <row r="19" spans="1:4" ht="18" x14ac:dyDescent="0.25">
      <c r="A19" s="36" t="s">
        <v>95</v>
      </c>
      <c r="B19">
        <v>500000000</v>
      </c>
      <c r="C19">
        <v>500039852.6814</v>
      </c>
      <c r="D19">
        <v>499971017.06</v>
      </c>
    </row>
    <row r="20" spans="1:4" ht="18" x14ac:dyDescent="0.25">
      <c r="A20" s="36" t="s">
        <v>96</v>
      </c>
      <c r="B20">
        <v>500000000</v>
      </c>
      <c r="C20">
        <v>500064702.64920002</v>
      </c>
      <c r="D20">
        <v>499994839.63999999</v>
      </c>
    </row>
    <row r="21" spans="1:4" ht="18" x14ac:dyDescent="0.25">
      <c r="A21" s="36" t="s">
        <v>97</v>
      </c>
      <c r="B21">
        <v>800000000</v>
      </c>
      <c r="C21">
        <v>800118714.00220001</v>
      </c>
      <c r="D21">
        <v>800021837.28999996</v>
      </c>
    </row>
    <row r="22" spans="1:4" ht="18" x14ac:dyDescent="0.25">
      <c r="A22" s="36" t="s">
        <v>98</v>
      </c>
      <c r="B22">
        <v>1300000000</v>
      </c>
      <c r="C22">
        <v>1300091763.4847</v>
      </c>
      <c r="D22">
        <v>1300019105.95</v>
      </c>
    </row>
    <row r="23" spans="1:4" ht="18" x14ac:dyDescent="0.25">
      <c r="A23" s="36" t="s">
        <v>99</v>
      </c>
      <c r="B23">
        <v>1300000000</v>
      </c>
      <c r="C23">
        <v>1300089031.1025</v>
      </c>
      <c r="D23">
        <v>1300016373.5699999</v>
      </c>
    </row>
    <row r="24" spans="1:4" ht="18" x14ac:dyDescent="0.25">
      <c r="A24" s="36" t="s">
        <v>100</v>
      </c>
      <c r="B24">
        <v>1600000000</v>
      </c>
      <c r="C24">
        <v>1600091313.8673</v>
      </c>
      <c r="D24">
        <v>1600016793.3199999</v>
      </c>
    </row>
    <row r="25" spans="1:4" ht="18" x14ac:dyDescent="0.25">
      <c r="A25" s="36" t="s">
        <v>101</v>
      </c>
      <c r="B25">
        <v>1650000000</v>
      </c>
      <c r="C25">
        <v>1650075333.4028001</v>
      </c>
      <c r="D25">
        <v>1650013853.95</v>
      </c>
    </row>
    <row r="26" spans="1:4" ht="18" x14ac:dyDescent="0.25">
      <c r="A26" s="36" t="s">
        <v>102</v>
      </c>
      <c r="B26">
        <v>500000000</v>
      </c>
      <c r="C26">
        <v>500052606.62010002</v>
      </c>
      <c r="D26">
        <v>500045825.80000001</v>
      </c>
    </row>
    <row r="27" spans="1:4" ht="18" x14ac:dyDescent="0.25">
      <c r="A27" s="36" t="s">
        <v>103</v>
      </c>
      <c r="B27">
        <v>500000000</v>
      </c>
      <c r="C27">
        <v>500102121.68169999</v>
      </c>
      <c r="D27">
        <v>500095272.37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CP</vt:lpstr>
      <vt:lpstr>Schedule</vt:lpstr>
      <vt:lpstr>BulletBond</vt:lpstr>
      <vt:lpstr>PricingEng</vt:lpstr>
      <vt:lpstr>工作表4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簡志豪</dc:creator>
  <cp:lastModifiedBy>簡志豪</cp:lastModifiedBy>
  <dcterms:created xsi:type="dcterms:W3CDTF">2021-03-02T01:34:07Z</dcterms:created>
  <dcterms:modified xsi:type="dcterms:W3CDTF">2022-02-25T01:37:03Z</dcterms:modified>
</cp:coreProperties>
</file>