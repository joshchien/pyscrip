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hchien\Desktop\QuantLib_Project\"/>
    </mc:Choice>
  </mc:AlternateContent>
  <bookViews>
    <workbookView xWindow="-330" yWindow="5040" windowWidth="15600" windowHeight="5580" activeTab="2"/>
  </bookViews>
  <sheets>
    <sheet name="Refinitiv-MktData" sheetId="65" r:id="rId1"/>
    <sheet name="FXRate" sheetId="68" r:id="rId2"/>
    <sheet name="ZeroCurve" sheetId="66" r:id="rId3"/>
    <sheet name="FX-ImpliedCurve" sheetId="31" r:id="rId4"/>
    <sheet name="FX-MtM" sheetId="36" r:id="rId5"/>
    <sheet name="IRS-MtM" sheetId="49" r:id="rId6"/>
    <sheet name="Opt-MtM" sheetId="64" r:id="rId7"/>
    <sheet name="Hist_USD" sheetId="60" r:id="rId8"/>
  </sheets>
  <functionGroups builtInGroupCount="18"/>
  <definedNames>
    <definedName name="_xlnm._FilterDatabase" localSheetId="4" hidden="1">'FX-MtM'!$A$1:$V$476</definedName>
    <definedName name="_xlnm._FilterDatabase" localSheetId="5" hidden="1">'IRS-MtM'!$A$1:$V$82</definedName>
    <definedName name="AUpdate">1</definedName>
    <definedName name="BUpdate">1</definedName>
    <definedName name="GUpdate">0</definedName>
    <definedName name="solver_adj" localSheetId="3" hidden="1">'FX-ImpliedCurve'!$W$5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'FX-ImpliedCurve'!#REF!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100</definedName>
    <definedName name="solver_ver" localSheetId="3" hidden="1">3</definedName>
    <definedName name="TUpdate">1</definedName>
  </definedNames>
  <calcPr calcId="162913"/>
</workbook>
</file>

<file path=xl/calcChain.xml><?xml version="1.0" encoding="utf-8"?>
<calcChain xmlns="http://schemas.openxmlformats.org/spreadsheetml/2006/main">
  <c r="K31" i="66" l="1"/>
  <c r="V1" i="36" l="1"/>
  <c r="N16" i="49" l="1"/>
  <c r="N17" i="49"/>
  <c r="N18" i="49"/>
  <c r="N19" i="49" s="1"/>
  <c r="N20" i="49" s="1"/>
  <c r="N21" i="49" s="1"/>
  <c r="N22" i="49" s="1"/>
  <c r="N15" i="49"/>
  <c r="Y56" i="66" l="1"/>
  <c r="Y57" i="66"/>
  <c r="Y58" i="66"/>
  <c r="Y59" i="66"/>
  <c r="Y55" i="66"/>
  <c r="Y54" i="66"/>
  <c r="Y53" i="66"/>
  <c r="Y52" i="66"/>
  <c r="Y51" i="66"/>
  <c r="Y50" i="66"/>
  <c r="Y49" i="66"/>
  <c r="Y48" i="66"/>
  <c r="Y47" i="66"/>
  <c r="Y46" i="66"/>
  <c r="Y45" i="66"/>
  <c r="S32" i="66"/>
  <c r="S33" i="66"/>
  <c r="S34" i="66"/>
  <c r="S35" i="66"/>
  <c r="S36" i="66"/>
  <c r="S37" i="66"/>
  <c r="S38" i="66"/>
  <c r="S39" i="66"/>
  <c r="S40" i="66"/>
  <c r="S41" i="66"/>
  <c r="S31" i="66"/>
  <c r="O4" i="66"/>
  <c r="O5" i="66"/>
  <c r="O6" i="66"/>
  <c r="O7" i="66"/>
  <c r="O8" i="66"/>
  <c r="O9" i="66"/>
  <c r="O10" i="66"/>
  <c r="O11" i="66"/>
  <c r="O12" i="66"/>
  <c r="O13" i="66"/>
  <c r="O14" i="66"/>
  <c r="O15" i="66"/>
  <c r="O16" i="66"/>
  <c r="O17" i="66"/>
  <c r="O18" i="66"/>
  <c r="O19" i="66"/>
  <c r="O20" i="66"/>
  <c r="O21" i="66"/>
  <c r="O22" i="66"/>
  <c r="O23" i="66"/>
  <c r="O24" i="66"/>
  <c r="O25" i="66"/>
  <c r="O26" i="66"/>
  <c r="O27" i="66"/>
  <c r="O28" i="66"/>
  <c r="O3" i="66"/>
  <c r="I31" i="66"/>
  <c r="B2" i="66"/>
  <c r="B3" i="66"/>
  <c r="B18" i="66" l="1"/>
  <c r="U31" i="66"/>
  <c r="H131" i="66" l="1"/>
  <c r="G131" i="66"/>
  <c r="H123" i="66"/>
  <c r="G123" i="66"/>
  <c r="E128" i="66"/>
  <c r="D122" i="66"/>
  <c r="B128" i="66"/>
  <c r="B105" i="66"/>
  <c r="B45" i="66"/>
  <c r="B35" i="66"/>
  <c r="I25" i="49" l="1"/>
  <c r="I26" i="49"/>
  <c r="I27" i="49"/>
  <c r="I28" i="49"/>
  <c r="I29" i="49"/>
  <c r="I30" i="49"/>
  <c r="I31" i="49"/>
  <c r="I32" i="49"/>
  <c r="O34" i="49" s="1"/>
  <c r="I24" i="49"/>
  <c r="O38" i="49" l="1"/>
  <c r="O37" i="49"/>
  <c r="O42" i="49"/>
  <c r="O36" i="49"/>
  <c r="O41" i="49"/>
  <c r="O35" i="49"/>
  <c r="O40" i="49"/>
  <c r="O39" i="49"/>
  <c r="A57" i="49" l="1"/>
  <c r="A58" i="49"/>
  <c r="A59" i="49"/>
  <c r="A60" i="49"/>
  <c r="A61" i="49"/>
  <c r="A62" i="49"/>
  <c r="A63" i="49"/>
  <c r="A64" i="49"/>
  <c r="B45" i="49"/>
  <c r="B46" i="49"/>
  <c r="B47" i="49"/>
  <c r="B48" i="49"/>
  <c r="B49" i="49"/>
  <c r="B50" i="49"/>
  <c r="B51" i="49"/>
  <c r="B52" i="49"/>
  <c r="H45" i="49"/>
  <c r="H46" i="49"/>
  <c r="H47" i="49"/>
  <c r="H48" i="49"/>
  <c r="H49" i="49"/>
  <c r="H50" i="49"/>
  <c r="H51" i="49"/>
  <c r="H52" i="49"/>
  <c r="F45" i="49"/>
  <c r="F46" i="49"/>
  <c r="F47" i="49"/>
  <c r="F48" i="49"/>
  <c r="F49" i="49"/>
  <c r="F50" i="49"/>
  <c r="F51" i="49"/>
  <c r="F52" i="49"/>
  <c r="F44" i="49"/>
  <c r="E44" i="49"/>
  <c r="E45" i="49"/>
  <c r="E46" i="49"/>
  <c r="E47" i="49"/>
  <c r="E48" i="49"/>
  <c r="E49" i="49"/>
  <c r="E50" i="49"/>
  <c r="E51" i="49"/>
  <c r="E52" i="49"/>
  <c r="H44" i="49"/>
  <c r="B44" i="49"/>
  <c r="A56" i="49" l="1"/>
  <c r="G27" i="49"/>
  <c r="H37" i="49" s="1"/>
  <c r="C35" i="49"/>
  <c r="C36" i="49"/>
  <c r="C37" i="49"/>
  <c r="C38" i="49"/>
  <c r="C39" i="49"/>
  <c r="C40" i="49"/>
  <c r="C41" i="49"/>
  <c r="C42" i="49"/>
  <c r="B35" i="49"/>
  <c r="B36" i="49"/>
  <c r="B37" i="49"/>
  <c r="B38" i="49"/>
  <c r="B39" i="49"/>
  <c r="B40" i="49"/>
  <c r="B41" i="49"/>
  <c r="B42" i="49"/>
  <c r="G25" i="49"/>
  <c r="H35" i="49" s="1"/>
  <c r="G26" i="49"/>
  <c r="H36" i="49" s="1"/>
  <c r="G28" i="49"/>
  <c r="H38" i="49" s="1"/>
  <c r="G29" i="49"/>
  <c r="H39" i="49" s="1"/>
  <c r="G30" i="49"/>
  <c r="H40" i="49" s="1"/>
  <c r="G31" i="49"/>
  <c r="H41" i="49" s="1"/>
  <c r="G32" i="49"/>
  <c r="H42" i="49" s="1"/>
  <c r="G24" i="49"/>
  <c r="H34" i="49" s="1"/>
  <c r="F25" i="49"/>
  <c r="F26" i="49"/>
  <c r="F27" i="49"/>
  <c r="F28" i="49"/>
  <c r="F29" i="49"/>
  <c r="F30" i="49"/>
  <c r="F31" i="49"/>
  <c r="F32" i="49"/>
  <c r="D25" i="49"/>
  <c r="D35" i="49" s="1"/>
  <c r="D26" i="49"/>
  <c r="D36" i="49" s="1"/>
  <c r="D27" i="49"/>
  <c r="D37" i="49" s="1"/>
  <c r="D28" i="49"/>
  <c r="D38" i="49" s="1"/>
  <c r="D29" i="49"/>
  <c r="D39" i="49" s="1"/>
  <c r="D30" i="49"/>
  <c r="D40" i="49" s="1"/>
  <c r="D31" i="49"/>
  <c r="D41" i="49" s="1"/>
  <c r="D32" i="49"/>
  <c r="D42" i="49" s="1"/>
  <c r="D24" i="49"/>
  <c r="B32" i="49"/>
  <c r="B25" i="49"/>
  <c r="B26" i="49"/>
  <c r="B27" i="49"/>
  <c r="B28" i="49"/>
  <c r="B29" i="49"/>
  <c r="B30" i="49"/>
  <c r="B31" i="49"/>
  <c r="B34" i="49"/>
  <c r="B24" i="49"/>
  <c r="B14" i="49"/>
  <c r="F24" i="49" l="1"/>
  <c r="C34" i="49"/>
  <c r="D34" i="49"/>
  <c r="B22" i="49"/>
  <c r="B15" i="49"/>
  <c r="B16" i="49"/>
  <c r="B17" i="49"/>
  <c r="B18" i="49"/>
  <c r="B19" i="49"/>
  <c r="B20" i="49"/>
  <c r="B21" i="49"/>
  <c r="A17" i="49"/>
  <c r="A15" i="49"/>
  <c r="A16" i="49"/>
  <c r="A22" i="49"/>
  <c r="A21" i="49"/>
  <c r="A20" i="49"/>
  <c r="A18" i="49"/>
  <c r="A19" i="49"/>
  <c r="E25" i="49" l="1"/>
  <c r="E35" i="49" s="1"/>
  <c r="E31" i="49"/>
  <c r="E41" i="49" s="1"/>
  <c r="E26" i="49"/>
  <c r="E36" i="49" s="1"/>
  <c r="E32" i="49"/>
  <c r="E42" i="49" s="1"/>
  <c r="E27" i="49"/>
  <c r="E37" i="49" s="1"/>
  <c r="E28" i="49"/>
  <c r="E38" i="49" s="1"/>
  <c r="E29" i="49"/>
  <c r="E39" i="49" s="1"/>
  <c r="E30" i="49"/>
  <c r="E40" i="49" s="1"/>
  <c r="A26" i="49"/>
  <c r="A30" i="49"/>
  <c r="A27" i="49"/>
  <c r="A32" i="49"/>
  <c r="A29" i="49"/>
  <c r="A14" i="49"/>
  <c r="A28" i="49"/>
  <c r="A25" i="49"/>
  <c r="A31" i="49"/>
  <c r="C51" i="49" l="1"/>
  <c r="C52" i="49"/>
  <c r="C49" i="49"/>
  <c r="C46" i="49"/>
  <c r="C45" i="49"/>
  <c r="C50" i="49"/>
  <c r="C48" i="49"/>
  <c r="C47" i="49"/>
  <c r="E24" i="49"/>
  <c r="A24" i="49"/>
  <c r="C44" i="49" l="1"/>
  <c r="E34" i="49"/>
  <c r="L65" i="66" l="1"/>
  <c r="L66" i="66"/>
  <c r="L67" i="66"/>
  <c r="L68" i="66"/>
  <c r="L69" i="66"/>
  <c r="L70" i="66"/>
  <c r="L71" i="66"/>
  <c r="L72" i="66"/>
  <c r="L73" i="66"/>
  <c r="L74" i="66"/>
  <c r="L75" i="66"/>
  <c r="L76" i="66"/>
  <c r="L77" i="66"/>
  <c r="L64" i="66"/>
  <c r="B65" i="66"/>
  <c r="I72" i="66"/>
  <c r="I74" i="66"/>
  <c r="I76" i="66"/>
  <c r="I69" i="66"/>
  <c r="I64" i="66"/>
  <c r="I73" i="66"/>
  <c r="I67" i="66"/>
  <c r="I66" i="66"/>
  <c r="B94" i="66"/>
  <c r="I70" i="66"/>
  <c r="I65" i="66"/>
  <c r="I68" i="66"/>
  <c r="I77" i="66"/>
  <c r="I71" i="66"/>
  <c r="I75" i="66"/>
  <c r="S94" i="66" l="1"/>
  <c r="S95" i="66"/>
  <c r="S90" i="66"/>
  <c r="S96" i="66"/>
  <c r="S91" i="66"/>
  <c r="S89" i="66"/>
  <c r="S92" i="66"/>
  <c r="S93" i="66"/>
  <c r="L81" i="66"/>
  <c r="L93" i="66"/>
  <c r="L85" i="66"/>
  <c r="L92" i="66"/>
  <c r="L84" i="66"/>
  <c r="L91" i="66"/>
  <c r="L83" i="66"/>
  <c r="L90" i="66"/>
  <c r="L82" i="66"/>
  <c r="L95" i="66"/>
  <c r="L89" i="66"/>
  <c r="L94" i="66"/>
  <c r="L86" i="66"/>
  <c r="L96" i="66"/>
  <c r="E24" i="68"/>
  <c r="E2" i="31" s="1"/>
  <c r="E210" i="31"/>
  <c r="E202" i="31"/>
  <c r="E186" i="31"/>
  <c r="E162" i="31"/>
  <c r="E130" i="31"/>
  <c r="E10" i="31"/>
  <c r="E23" i="68"/>
  <c r="E90" i="31" s="1"/>
  <c r="E22" i="68"/>
  <c r="E21" i="68"/>
  <c r="E20" i="68"/>
  <c r="E42" i="31" s="1"/>
  <c r="E19" i="68"/>
  <c r="E170" i="31" s="1"/>
  <c r="E18" i="68"/>
  <c r="E98" i="31" s="1"/>
  <c r="E17" i="68"/>
  <c r="E154" i="31" s="1"/>
  <c r="E15" i="68"/>
  <c r="E74" i="31" s="1"/>
  <c r="E14" i="68"/>
  <c r="E178" i="31" s="1"/>
  <c r="E13" i="68"/>
  <c r="E18" i="31" s="1"/>
  <c r="E12" i="68"/>
  <c r="E106" i="31" s="1"/>
  <c r="E11" i="68"/>
  <c r="E138" i="31" s="1"/>
  <c r="E10" i="68"/>
  <c r="E146" i="31" s="1"/>
  <c r="E9" i="68"/>
  <c r="E114" i="31" s="1"/>
  <c r="E16" i="68"/>
  <c r="E66" i="31" s="1"/>
  <c r="E8" i="68"/>
  <c r="E50" i="31" s="1"/>
  <c r="E7" i="68"/>
  <c r="E34" i="31" s="1"/>
  <c r="E6" i="68"/>
  <c r="E5" i="68"/>
  <c r="E82" i="31" s="1"/>
  <c r="E4" i="68"/>
  <c r="E122" i="31" s="1"/>
  <c r="E3" i="68"/>
  <c r="E58" i="31" s="1"/>
  <c r="E2" i="68"/>
  <c r="E194" i="31" s="1"/>
  <c r="E1" i="68"/>
  <c r="E26" i="31" s="1"/>
  <c r="B130" i="31"/>
  <c r="B122" i="31"/>
  <c r="B114" i="31"/>
  <c r="B106" i="31"/>
  <c r="B98" i="31"/>
  <c r="B90" i="31"/>
  <c r="B82" i="31"/>
  <c r="B74" i="31"/>
  <c r="B66" i="31"/>
  <c r="B58" i="31"/>
  <c r="B50" i="31"/>
  <c r="B42" i="31"/>
  <c r="B34" i="31"/>
  <c r="B26" i="31"/>
  <c r="B1" i="31"/>
  <c r="I83" i="66"/>
  <c r="I89" i="66"/>
  <c r="I85" i="66"/>
  <c r="I90" i="66"/>
  <c r="I84" i="66"/>
  <c r="I91" i="66"/>
  <c r="I96" i="66"/>
  <c r="I81" i="66"/>
  <c r="I93" i="66"/>
  <c r="I92" i="66"/>
  <c r="I82" i="66"/>
  <c r="I95" i="66"/>
  <c r="I86" i="66"/>
  <c r="I94" i="66"/>
  <c r="H70" i="66" l="1"/>
  <c r="H75" i="66"/>
  <c r="H68" i="66"/>
  <c r="H74" i="66"/>
  <c r="H72" i="66"/>
  <c r="H67" i="66"/>
  <c r="H77" i="66"/>
  <c r="H65" i="66"/>
  <c r="H71" i="66"/>
  <c r="H73" i="66"/>
  <c r="H69" i="66"/>
  <c r="H76" i="66"/>
  <c r="H66" i="66"/>
  <c r="H64" i="66"/>
  <c r="J89" i="66"/>
  <c r="L117" i="65" l="1"/>
  <c r="L118" i="65"/>
  <c r="L119" i="65"/>
  <c r="L120" i="65"/>
  <c r="L121" i="65"/>
  <c r="L122" i="65"/>
  <c r="L116" i="65"/>
  <c r="G4" i="31"/>
  <c r="S9" i="31" l="1"/>
  <c r="B26" i="66" l="1"/>
  <c r="N46" i="66"/>
  <c r="N47" i="66"/>
  <c r="N48" i="66"/>
  <c r="N49" i="66"/>
  <c r="N50" i="66"/>
  <c r="N51" i="66"/>
  <c r="N52" i="66"/>
  <c r="N53" i="66"/>
  <c r="N54" i="66"/>
  <c r="N55" i="66"/>
  <c r="N56" i="66"/>
  <c r="N57" i="66"/>
  <c r="N58" i="66"/>
  <c r="N59" i="66"/>
  <c r="N45" i="66"/>
  <c r="P59" i="66"/>
  <c r="P58" i="66"/>
  <c r="P57" i="66"/>
  <c r="P56" i="66"/>
  <c r="P55" i="66"/>
  <c r="P54" i="66"/>
  <c r="P53" i="66"/>
  <c r="P52" i="66"/>
  <c r="P51" i="66"/>
  <c r="P50" i="66"/>
  <c r="P49" i="66"/>
  <c r="P48" i="66"/>
  <c r="P47" i="66"/>
  <c r="P46" i="66"/>
  <c r="P45" i="66"/>
  <c r="Q41" i="66"/>
  <c r="Q59" i="66" s="1"/>
  <c r="P41" i="66"/>
  <c r="N41" i="66"/>
  <c r="Q40" i="66"/>
  <c r="P40" i="66"/>
  <c r="N40" i="66"/>
  <c r="M40" i="66"/>
  <c r="M41" i="66" s="1"/>
  <c r="Q39" i="66"/>
  <c r="P39" i="66"/>
  <c r="N39" i="66"/>
  <c r="M39" i="66"/>
  <c r="Q38" i="66"/>
  <c r="P38" i="66"/>
  <c r="N38" i="66"/>
  <c r="M38" i="66"/>
  <c r="Q37" i="66"/>
  <c r="P37" i="66"/>
  <c r="N37" i="66"/>
  <c r="M37" i="66"/>
  <c r="Q36" i="66"/>
  <c r="P36" i="66"/>
  <c r="N36" i="66"/>
  <c r="M36" i="66"/>
  <c r="Q35" i="66"/>
  <c r="P35" i="66"/>
  <c r="N35" i="66"/>
  <c r="M35" i="66"/>
  <c r="Q34" i="66"/>
  <c r="P34" i="66"/>
  <c r="N34" i="66"/>
  <c r="Q33" i="66"/>
  <c r="P33" i="66"/>
  <c r="N33" i="66"/>
  <c r="Q32" i="66"/>
  <c r="P32" i="66"/>
  <c r="N32" i="66"/>
  <c r="Q31" i="66"/>
  <c r="P31" i="66"/>
  <c r="N31" i="66"/>
  <c r="K4" i="66"/>
  <c r="K5" i="66"/>
  <c r="K6" i="66"/>
  <c r="K7" i="66"/>
  <c r="K8" i="66"/>
  <c r="K9" i="66"/>
  <c r="K10" i="66"/>
  <c r="K11" i="66"/>
  <c r="K12" i="66"/>
  <c r="K13" i="66"/>
  <c r="K14" i="66"/>
  <c r="K15" i="66"/>
  <c r="K16" i="66"/>
  <c r="K17" i="66"/>
  <c r="K18" i="66"/>
  <c r="K19" i="66"/>
  <c r="K20" i="66"/>
  <c r="K21" i="66"/>
  <c r="K22" i="66"/>
  <c r="K23" i="66"/>
  <c r="K24" i="66"/>
  <c r="K25" i="66"/>
  <c r="K26" i="66"/>
  <c r="K27" i="66"/>
  <c r="K28" i="66"/>
  <c r="K3" i="66"/>
  <c r="M28" i="66"/>
  <c r="M27" i="66"/>
  <c r="M26" i="66"/>
  <c r="M25" i="66"/>
  <c r="M24" i="66"/>
  <c r="M23" i="66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4" i="66"/>
  <c r="I27" i="66"/>
  <c r="I19" i="66"/>
  <c r="I26" i="66"/>
  <c r="I18" i="66"/>
  <c r="I11" i="66"/>
  <c r="I3" i="66"/>
  <c r="I6" i="66"/>
  <c r="I4" i="66"/>
  <c r="I12" i="66"/>
  <c r="I13" i="66"/>
  <c r="I14" i="66"/>
  <c r="I20" i="66"/>
  <c r="I23" i="66"/>
  <c r="I7" i="66"/>
  <c r="I8" i="66"/>
  <c r="I24" i="66"/>
  <c r="I16" i="66"/>
  <c r="I25" i="66"/>
  <c r="I10" i="66"/>
  <c r="I21" i="66"/>
  <c r="I5" i="66"/>
  <c r="I15" i="66"/>
  <c r="B6" i="66"/>
  <c r="I28" i="66"/>
  <c r="I17" i="66"/>
  <c r="I22" i="66"/>
  <c r="I9" i="66"/>
  <c r="Q48" i="66" l="1"/>
  <c r="Q46" i="66"/>
  <c r="Q50" i="66"/>
  <c r="Q52" i="66"/>
  <c r="Q54" i="66"/>
  <c r="Q56" i="66"/>
  <c r="Q58" i="66"/>
  <c r="Q45" i="66"/>
  <c r="Q47" i="66"/>
  <c r="Q49" i="66"/>
  <c r="Q51" i="66"/>
  <c r="Q53" i="66"/>
  <c r="Q55" i="66"/>
  <c r="Q57" i="66"/>
  <c r="K56" i="66"/>
  <c r="K50" i="66"/>
  <c r="K41" i="66"/>
  <c r="K35" i="66"/>
  <c r="K55" i="66"/>
  <c r="K49" i="66"/>
  <c r="K40" i="66"/>
  <c r="K34" i="66"/>
  <c r="K54" i="66"/>
  <c r="K48" i="66"/>
  <c r="K39" i="66"/>
  <c r="K33" i="66"/>
  <c r="K59" i="66"/>
  <c r="K53" i="66"/>
  <c r="K47" i="66"/>
  <c r="K38" i="66"/>
  <c r="K32" i="66"/>
  <c r="K58" i="66"/>
  <c r="K52" i="66"/>
  <c r="K46" i="66"/>
  <c r="K37" i="66"/>
  <c r="K57" i="66"/>
  <c r="K51" i="66"/>
  <c r="K45" i="66"/>
  <c r="K36" i="66"/>
  <c r="R54" i="66"/>
  <c r="R48" i="66"/>
  <c r="R55" i="66"/>
  <c r="R49" i="66"/>
  <c r="R56" i="66"/>
  <c r="R50" i="66"/>
  <c r="R57" i="66"/>
  <c r="R51" i="66"/>
  <c r="R45" i="66"/>
  <c r="R58" i="66"/>
  <c r="R52" i="66"/>
  <c r="R46" i="66"/>
  <c r="R59" i="66"/>
  <c r="R53" i="66"/>
  <c r="R47" i="66"/>
  <c r="G3" i="31"/>
  <c r="I41" i="66"/>
  <c r="I51" i="66"/>
  <c r="I46" i="66"/>
  <c r="I37" i="66"/>
  <c r="I58" i="66"/>
  <c r="I33" i="66"/>
  <c r="I48" i="66"/>
  <c r="I53" i="66"/>
  <c r="I57" i="66"/>
  <c r="I50" i="66"/>
  <c r="I47" i="66"/>
  <c r="I38" i="66"/>
  <c r="I39" i="66"/>
  <c r="I45" i="66"/>
  <c r="I36" i="66"/>
  <c r="I59" i="66"/>
  <c r="I32" i="66"/>
  <c r="I56" i="66"/>
  <c r="I40" i="66"/>
  <c r="I55" i="66"/>
  <c r="I49" i="66"/>
  <c r="I34" i="66"/>
  <c r="I52" i="66"/>
  <c r="I35" i="66"/>
  <c r="I54" i="66"/>
  <c r="H14" i="66" l="1"/>
  <c r="H3" i="66"/>
  <c r="H24" i="66"/>
  <c r="H26" i="66"/>
  <c r="H10" i="66"/>
  <c r="H17" i="66"/>
  <c r="H7" i="66"/>
  <c r="H18" i="66"/>
  <c r="H11" i="66"/>
  <c r="H9" i="66"/>
  <c r="H16" i="66"/>
  <c r="H23" i="66"/>
  <c r="H13" i="66"/>
  <c r="H27" i="66"/>
  <c r="H5" i="66"/>
  <c r="H4" i="66"/>
  <c r="H15" i="66"/>
  <c r="H22" i="66"/>
  <c r="H6" i="66"/>
  <c r="H19" i="66"/>
  <c r="H20" i="66"/>
  <c r="H8" i="66"/>
  <c r="H21" i="66"/>
  <c r="H28" i="66"/>
  <c r="H12" i="66"/>
  <c r="H25" i="66"/>
  <c r="U39" i="66"/>
  <c r="U35" i="66"/>
  <c r="U38" i="66"/>
  <c r="U34" i="66"/>
  <c r="U33" i="66"/>
  <c r="U40" i="66"/>
  <c r="U37" i="66"/>
  <c r="U32" i="66"/>
  <c r="U41" i="66"/>
  <c r="U36" i="66"/>
  <c r="G9" i="31" l="1"/>
  <c r="I9" i="31"/>
  <c r="I2" i="31"/>
  <c r="G8" i="31"/>
  <c r="I8" i="31"/>
  <c r="F2" i="31"/>
  <c r="I3" i="31"/>
  <c r="I4" i="31"/>
  <c r="I5" i="31"/>
  <c r="G5" i="31"/>
  <c r="I6" i="31"/>
  <c r="G6" i="31"/>
  <c r="I7" i="31"/>
  <c r="G7" i="31"/>
  <c r="R18" i="31"/>
  <c r="D154" i="31"/>
  <c r="P33" i="31" s="1"/>
  <c r="D178" i="31"/>
  <c r="P29" i="31" s="1"/>
  <c r="D170" i="31"/>
  <c r="P35" i="31" s="1"/>
  <c r="D162" i="31"/>
  <c r="P37" i="31" s="1"/>
  <c r="Q37" i="31" s="1"/>
  <c r="D186" i="31"/>
  <c r="P40" i="31" s="1"/>
  <c r="D202" i="31"/>
  <c r="P42" i="31" s="1"/>
  <c r="D146" i="31"/>
  <c r="P25" i="31" s="1"/>
  <c r="G217" i="31"/>
  <c r="G216" i="31"/>
  <c r="G215" i="31"/>
  <c r="G214" i="31"/>
  <c r="G213" i="31"/>
  <c r="G212" i="31"/>
  <c r="G211" i="31"/>
  <c r="G209" i="31"/>
  <c r="G208" i="31"/>
  <c r="G207" i="31"/>
  <c r="G206" i="31"/>
  <c r="G205" i="31"/>
  <c r="G204" i="31"/>
  <c r="G203" i="31"/>
  <c r="G201" i="31"/>
  <c r="G200" i="31"/>
  <c r="G199" i="31"/>
  <c r="G198" i="31"/>
  <c r="G197" i="31"/>
  <c r="G196" i="31"/>
  <c r="G195" i="31"/>
  <c r="G193" i="31"/>
  <c r="G192" i="31"/>
  <c r="G191" i="31"/>
  <c r="G190" i="31"/>
  <c r="G189" i="31"/>
  <c r="G188" i="31"/>
  <c r="G187" i="31"/>
  <c r="G185" i="31"/>
  <c r="G184" i="31"/>
  <c r="G183" i="31"/>
  <c r="G182" i="31"/>
  <c r="G181" i="31"/>
  <c r="G180" i="31"/>
  <c r="G179" i="31"/>
  <c r="G177" i="31"/>
  <c r="G176" i="31"/>
  <c r="G175" i="31"/>
  <c r="G174" i="31"/>
  <c r="G173" i="31"/>
  <c r="G172" i="31"/>
  <c r="G171" i="31"/>
  <c r="G169" i="31"/>
  <c r="G168" i="31"/>
  <c r="G167" i="31"/>
  <c r="G166" i="31"/>
  <c r="G165" i="31"/>
  <c r="G164" i="31"/>
  <c r="G163" i="31"/>
  <c r="G161" i="31"/>
  <c r="G160" i="31"/>
  <c r="G159" i="31"/>
  <c r="G158" i="31"/>
  <c r="G157" i="31"/>
  <c r="G156" i="31"/>
  <c r="G155" i="31"/>
  <c r="G153" i="31"/>
  <c r="G152" i="31"/>
  <c r="G151" i="31"/>
  <c r="G150" i="31"/>
  <c r="G149" i="31"/>
  <c r="G148" i="31"/>
  <c r="G147" i="31"/>
  <c r="G145" i="31"/>
  <c r="G144" i="31"/>
  <c r="G143" i="31"/>
  <c r="G142" i="31"/>
  <c r="G141" i="31"/>
  <c r="G140" i="31"/>
  <c r="G139" i="31"/>
  <c r="G137" i="31"/>
  <c r="G136" i="31"/>
  <c r="G135" i="31"/>
  <c r="G134" i="31"/>
  <c r="G133" i="31"/>
  <c r="G132" i="31"/>
  <c r="G131" i="31"/>
  <c r="G129" i="31"/>
  <c r="G128" i="31"/>
  <c r="G127" i="31"/>
  <c r="G126" i="31"/>
  <c r="G125" i="31"/>
  <c r="G124" i="31"/>
  <c r="G123" i="31"/>
  <c r="G121" i="31"/>
  <c r="G120" i="31"/>
  <c r="G119" i="31"/>
  <c r="G118" i="31"/>
  <c r="G117" i="31"/>
  <c r="G116" i="31"/>
  <c r="G115" i="31"/>
  <c r="G113" i="31"/>
  <c r="G112" i="31"/>
  <c r="G111" i="31"/>
  <c r="G110" i="31"/>
  <c r="G109" i="31"/>
  <c r="G108" i="31"/>
  <c r="G107" i="31"/>
  <c r="G105" i="31"/>
  <c r="G104" i="31"/>
  <c r="G103" i="31"/>
  <c r="G102" i="31"/>
  <c r="G101" i="31"/>
  <c r="G100" i="31"/>
  <c r="G99" i="31"/>
  <c r="G97" i="31"/>
  <c r="G96" i="31"/>
  <c r="G95" i="31"/>
  <c r="G94" i="31"/>
  <c r="G93" i="31"/>
  <c r="G92" i="31"/>
  <c r="G91" i="31"/>
  <c r="G89" i="31"/>
  <c r="G88" i="31"/>
  <c r="G87" i="31"/>
  <c r="G86" i="31"/>
  <c r="G85" i="31"/>
  <c r="G84" i="31"/>
  <c r="G83" i="31"/>
  <c r="G81" i="31"/>
  <c r="G80" i="31"/>
  <c r="G79" i="31"/>
  <c r="G78" i="31"/>
  <c r="G77" i="31"/>
  <c r="G76" i="31"/>
  <c r="G75" i="31"/>
  <c r="G73" i="31"/>
  <c r="G72" i="31"/>
  <c r="G71" i="31"/>
  <c r="G70" i="31"/>
  <c r="G69" i="31"/>
  <c r="G68" i="31"/>
  <c r="G67" i="31"/>
  <c r="G65" i="31"/>
  <c r="G64" i="31"/>
  <c r="G63" i="31"/>
  <c r="G62" i="31"/>
  <c r="G61" i="31"/>
  <c r="G60" i="31"/>
  <c r="G59" i="31"/>
  <c r="G57" i="31"/>
  <c r="G56" i="31"/>
  <c r="G55" i="31"/>
  <c r="G54" i="31"/>
  <c r="G53" i="31"/>
  <c r="G52" i="31"/>
  <c r="G51" i="31"/>
  <c r="G49" i="31"/>
  <c r="G48" i="31"/>
  <c r="G47" i="31"/>
  <c r="G46" i="31"/>
  <c r="G45" i="31"/>
  <c r="G44" i="31"/>
  <c r="G43" i="31"/>
  <c r="G41" i="31"/>
  <c r="G40" i="31"/>
  <c r="G39" i="31"/>
  <c r="G38" i="31"/>
  <c r="G37" i="31"/>
  <c r="G36" i="31"/>
  <c r="G35" i="31"/>
  <c r="G33" i="31"/>
  <c r="G32" i="31"/>
  <c r="G31" i="31"/>
  <c r="G30" i="31"/>
  <c r="G29" i="31"/>
  <c r="G28" i="31"/>
  <c r="G27" i="31"/>
  <c r="G25" i="31"/>
  <c r="G24" i="31"/>
  <c r="G23" i="31"/>
  <c r="G22" i="31"/>
  <c r="G21" i="31"/>
  <c r="G20" i="31"/>
  <c r="G19" i="31"/>
  <c r="I217" i="31"/>
  <c r="I216" i="31"/>
  <c r="F216" i="31" s="1"/>
  <c r="I215" i="31"/>
  <c r="I214" i="31"/>
  <c r="F214" i="31" s="1"/>
  <c r="I213" i="31"/>
  <c r="F213" i="31" s="1"/>
  <c r="I212" i="31"/>
  <c r="F212" i="31" s="1"/>
  <c r="I211" i="31"/>
  <c r="I209" i="31"/>
  <c r="F209" i="31" s="1"/>
  <c r="I208" i="31"/>
  <c r="I207" i="31"/>
  <c r="F207" i="31" s="1"/>
  <c r="I206" i="31"/>
  <c r="I205" i="31"/>
  <c r="F205" i="31" s="1"/>
  <c r="I204" i="31"/>
  <c r="I203" i="31"/>
  <c r="F203" i="31" s="1"/>
  <c r="I201" i="31"/>
  <c r="I200" i="31"/>
  <c r="F200" i="31" s="1"/>
  <c r="I199" i="31"/>
  <c r="F199" i="31" s="1"/>
  <c r="I198" i="31"/>
  <c r="F198" i="31" s="1"/>
  <c r="I197" i="31"/>
  <c r="I196" i="31"/>
  <c r="F196" i="31" s="1"/>
  <c r="I195" i="31"/>
  <c r="I193" i="31"/>
  <c r="F193" i="31" s="1"/>
  <c r="I192" i="31"/>
  <c r="F192" i="31" s="1"/>
  <c r="I191" i="31"/>
  <c r="F191" i="31" s="1"/>
  <c r="I190" i="31"/>
  <c r="I189" i="31"/>
  <c r="I188" i="31"/>
  <c r="I187" i="31"/>
  <c r="F187" i="31" s="1"/>
  <c r="I185" i="31"/>
  <c r="F185" i="31" s="1"/>
  <c r="I184" i="31"/>
  <c r="F184" i="31" s="1"/>
  <c r="I183" i="31"/>
  <c r="I182" i="31"/>
  <c r="F182" i="31" s="1"/>
  <c r="I181" i="31"/>
  <c r="I180" i="31"/>
  <c r="F180" i="31" s="1"/>
  <c r="I179" i="31"/>
  <c r="F179" i="31" s="1"/>
  <c r="I177" i="31"/>
  <c r="F177" i="31" s="1"/>
  <c r="I176" i="31"/>
  <c r="I175" i="31"/>
  <c r="F175" i="31" s="1"/>
  <c r="I174" i="31"/>
  <c r="F174" i="31" s="1"/>
  <c r="I173" i="31"/>
  <c r="F173" i="31" s="1"/>
  <c r="I172" i="31"/>
  <c r="F172" i="31" s="1"/>
  <c r="I171" i="31"/>
  <c r="F171" i="31" s="1"/>
  <c r="I169" i="31"/>
  <c r="I168" i="31"/>
  <c r="F168" i="31" s="1"/>
  <c r="I167" i="31"/>
  <c r="I166" i="31"/>
  <c r="F166" i="31" s="1"/>
  <c r="I165" i="31"/>
  <c r="F165" i="31" s="1"/>
  <c r="I164" i="31"/>
  <c r="I163" i="31"/>
  <c r="I161" i="31"/>
  <c r="F161" i="31" s="1"/>
  <c r="I160" i="31"/>
  <c r="I159" i="31"/>
  <c r="F159" i="31" s="1"/>
  <c r="I158" i="31"/>
  <c r="F158" i="31" s="1"/>
  <c r="I157" i="31"/>
  <c r="I156" i="31"/>
  <c r="I155" i="31"/>
  <c r="F155" i="31" s="1"/>
  <c r="I153" i="31"/>
  <c r="F153" i="31" s="1"/>
  <c r="I152" i="31"/>
  <c r="F152" i="31" s="1"/>
  <c r="I151" i="31"/>
  <c r="F151" i="31" s="1"/>
  <c r="I150" i="31"/>
  <c r="F150" i="31" s="1"/>
  <c r="I149" i="31"/>
  <c r="I148" i="31"/>
  <c r="F148" i="31" s="1"/>
  <c r="I147" i="31"/>
  <c r="I145" i="31"/>
  <c r="F145" i="31" s="1"/>
  <c r="I144" i="31"/>
  <c r="F144" i="31" s="1"/>
  <c r="I143" i="31"/>
  <c r="F143" i="31" s="1"/>
  <c r="I142" i="31"/>
  <c r="I141" i="31"/>
  <c r="F141" i="31" s="1"/>
  <c r="I140" i="31"/>
  <c r="I139" i="31"/>
  <c r="F139" i="31" s="1"/>
  <c r="I137" i="31"/>
  <c r="F137" i="31" s="1"/>
  <c r="I136" i="31"/>
  <c r="F136" i="31" s="1"/>
  <c r="I135" i="31"/>
  <c r="I134" i="31"/>
  <c r="F134" i="31" s="1"/>
  <c r="I133" i="31"/>
  <c r="I132" i="31"/>
  <c r="F132" i="31" s="1"/>
  <c r="I131" i="31"/>
  <c r="F131" i="31" s="1"/>
  <c r="I129" i="31"/>
  <c r="I128" i="31"/>
  <c r="F128" i="31" s="1"/>
  <c r="I127" i="31"/>
  <c r="F127" i="31" s="1"/>
  <c r="I126" i="31"/>
  <c r="I125" i="31"/>
  <c r="F125" i="31" s="1"/>
  <c r="I124" i="31"/>
  <c r="F124" i="31" s="1"/>
  <c r="I123" i="31"/>
  <c r="F123" i="31" s="1"/>
  <c r="I121" i="31"/>
  <c r="I120" i="31"/>
  <c r="F120" i="31" s="1"/>
  <c r="I119" i="31"/>
  <c r="F119" i="31" s="1"/>
  <c r="I118" i="31"/>
  <c r="F118" i="31" s="1"/>
  <c r="I117" i="31"/>
  <c r="F117" i="31" s="1"/>
  <c r="I116" i="31"/>
  <c r="F116" i="31" s="1"/>
  <c r="I115" i="31"/>
  <c r="F115" i="31" s="1"/>
  <c r="I113" i="31"/>
  <c r="F113" i="31" s="1"/>
  <c r="I112" i="31"/>
  <c r="F112" i="31" s="1"/>
  <c r="I111" i="31"/>
  <c r="F111" i="31" s="1"/>
  <c r="I110" i="31"/>
  <c r="F110" i="31" s="1"/>
  <c r="I109" i="31"/>
  <c r="F109" i="31" s="1"/>
  <c r="I108" i="31"/>
  <c r="F108" i="31" s="1"/>
  <c r="I107" i="31"/>
  <c r="F107" i="31" s="1"/>
  <c r="I105" i="31"/>
  <c r="F105" i="31" s="1"/>
  <c r="I104" i="31"/>
  <c r="F104" i="31" s="1"/>
  <c r="I103" i="31"/>
  <c r="F103" i="31" s="1"/>
  <c r="I102" i="31"/>
  <c r="F102" i="31" s="1"/>
  <c r="I101" i="31"/>
  <c r="I100" i="31"/>
  <c r="F100" i="31" s="1"/>
  <c r="I99" i="31"/>
  <c r="F99" i="31" s="1"/>
  <c r="I97" i="31"/>
  <c r="F97" i="31" s="1"/>
  <c r="I96" i="31"/>
  <c r="F96" i="31" s="1"/>
  <c r="I95" i="31"/>
  <c r="F95" i="31" s="1"/>
  <c r="I94" i="31"/>
  <c r="F94" i="31" s="1"/>
  <c r="I93" i="31"/>
  <c r="F93" i="31" s="1"/>
  <c r="I92" i="31"/>
  <c r="F92" i="31" s="1"/>
  <c r="I91" i="31"/>
  <c r="F91" i="31" s="1"/>
  <c r="I89" i="31"/>
  <c r="F89" i="31" s="1"/>
  <c r="I88" i="31"/>
  <c r="F88" i="31" s="1"/>
  <c r="I87" i="31"/>
  <c r="F87" i="31" s="1"/>
  <c r="I86" i="31"/>
  <c r="F86" i="31" s="1"/>
  <c r="I85" i="31"/>
  <c r="F85" i="31" s="1"/>
  <c r="I84" i="31"/>
  <c r="F84" i="31" s="1"/>
  <c r="I83" i="31"/>
  <c r="F83" i="31" s="1"/>
  <c r="I81" i="31"/>
  <c r="F81" i="31" s="1"/>
  <c r="I80" i="31"/>
  <c r="I79" i="31"/>
  <c r="F79" i="31" s="1"/>
  <c r="I78" i="31"/>
  <c r="F78" i="31" s="1"/>
  <c r="I77" i="31"/>
  <c r="F77" i="31" s="1"/>
  <c r="I76" i="31"/>
  <c r="F76" i="31" s="1"/>
  <c r="I75" i="31"/>
  <c r="F75" i="31" s="1"/>
  <c r="I73" i="31"/>
  <c r="I72" i="31"/>
  <c r="F72" i="31" s="1"/>
  <c r="I71" i="31"/>
  <c r="F71" i="31" s="1"/>
  <c r="I70" i="31"/>
  <c r="F70" i="31" s="1"/>
  <c r="I69" i="31"/>
  <c r="F69" i="31" s="1"/>
  <c r="I68" i="31"/>
  <c r="F68" i="31" s="1"/>
  <c r="I67" i="31"/>
  <c r="I65" i="31"/>
  <c r="I64" i="31"/>
  <c r="F64" i="31" s="1"/>
  <c r="I63" i="31"/>
  <c r="F63" i="31" s="1"/>
  <c r="I62" i="31"/>
  <c r="F62" i="31" s="1"/>
  <c r="I61" i="31"/>
  <c r="F61" i="31" s="1"/>
  <c r="I60" i="31"/>
  <c r="F60" i="31" s="1"/>
  <c r="I59" i="31"/>
  <c r="F59" i="31" s="1"/>
  <c r="I57" i="31"/>
  <c r="F57" i="31" s="1"/>
  <c r="I56" i="31"/>
  <c r="F56" i="31" s="1"/>
  <c r="I55" i="31"/>
  <c r="F55" i="31" s="1"/>
  <c r="I54" i="31"/>
  <c r="F54" i="31" s="1"/>
  <c r="I53" i="31"/>
  <c r="F53" i="31" s="1"/>
  <c r="I52" i="31"/>
  <c r="F52" i="31" s="1"/>
  <c r="I51" i="31"/>
  <c r="F51" i="31" s="1"/>
  <c r="I49" i="31"/>
  <c r="F49" i="31" s="1"/>
  <c r="I48" i="31"/>
  <c r="F48" i="31" s="1"/>
  <c r="I47" i="31"/>
  <c r="F47" i="31" s="1"/>
  <c r="I46" i="31"/>
  <c r="F46" i="31" s="1"/>
  <c r="I45" i="31"/>
  <c r="F45" i="31" s="1"/>
  <c r="I44" i="31"/>
  <c r="F44" i="31" s="1"/>
  <c r="I43" i="31"/>
  <c r="F43" i="31" s="1"/>
  <c r="I41" i="31"/>
  <c r="F41" i="31" s="1"/>
  <c r="I40" i="31"/>
  <c r="F40" i="31" s="1"/>
  <c r="I39" i="31"/>
  <c r="F39" i="31" s="1"/>
  <c r="I38" i="31"/>
  <c r="F38" i="31" s="1"/>
  <c r="I37" i="31"/>
  <c r="F37" i="31" s="1"/>
  <c r="I36" i="31"/>
  <c r="F36" i="31" s="1"/>
  <c r="I35" i="31"/>
  <c r="F35" i="31" s="1"/>
  <c r="I33" i="31"/>
  <c r="F33" i="31" s="1"/>
  <c r="I32" i="31"/>
  <c r="F32" i="31" s="1"/>
  <c r="I31" i="31"/>
  <c r="F31" i="31" s="1"/>
  <c r="I30" i="31"/>
  <c r="F30" i="31" s="1"/>
  <c r="I29" i="31"/>
  <c r="F29" i="31" s="1"/>
  <c r="I28" i="31"/>
  <c r="F28" i="31" s="1"/>
  <c r="I27" i="31"/>
  <c r="F27" i="31" s="1"/>
  <c r="I25" i="31"/>
  <c r="F25" i="31" s="1"/>
  <c r="I24" i="31"/>
  <c r="F24" i="31" s="1"/>
  <c r="I23" i="31"/>
  <c r="F23" i="31" s="1"/>
  <c r="I22" i="31"/>
  <c r="F22" i="31" s="1"/>
  <c r="I21" i="31"/>
  <c r="F21" i="31" s="1"/>
  <c r="I20" i="31"/>
  <c r="F20" i="31" s="1"/>
  <c r="I19" i="31"/>
  <c r="F19" i="31" s="1"/>
  <c r="I17" i="31"/>
  <c r="I16" i="31"/>
  <c r="I15" i="31"/>
  <c r="I14" i="31"/>
  <c r="I13" i="31"/>
  <c r="I12" i="31"/>
  <c r="I11" i="31"/>
  <c r="G17" i="31"/>
  <c r="G16" i="31"/>
  <c r="G15" i="31"/>
  <c r="G14" i="31"/>
  <c r="G13" i="31"/>
  <c r="G12" i="31"/>
  <c r="G11" i="31"/>
  <c r="D210" i="31"/>
  <c r="P43" i="31" s="1"/>
  <c r="D10" i="31"/>
  <c r="D2" i="31"/>
  <c r="F210" i="31"/>
  <c r="F194" i="31"/>
  <c r="F202" i="31"/>
  <c r="F178" i="31"/>
  <c r="F186" i="31"/>
  <c r="F162" i="31"/>
  <c r="F170" i="31"/>
  <c r="F154" i="31"/>
  <c r="F146" i="31"/>
  <c r="F138" i="31"/>
  <c r="F18" i="31"/>
  <c r="F10" i="31"/>
  <c r="F217" i="31"/>
  <c r="F211" i="31"/>
  <c r="F215" i="31"/>
  <c r="F204" i="31"/>
  <c r="F208" i="31"/>
  <c r="F206" i="31"/>
  <c r="F197" i="31"/>
  <c r="F201" i="31"/>
  <c r="F195" i="31"/>
  <c r="F189" i="31"/>
  <c r="F188" i="31"/>
  <c r="F190" i="31"/>
  <c r="F183" i="31"/>
  <c r="F181" i="31"/>
  <c r="F176" i="31"/>
  <c r="F164" i="31"/>
  <c r="F169" i="31"/>
  <c r="F163" i="31"/>
  <c r="F167" i="31"/>
  <c r="F157" i="31"/>
  <c r="F156" i="31"/>
  <c r="F160" i="31"/>
  <c r="F149" i="31"/>
  <c r="F147" i="31"/>
  <c r="F140" i="31"/>
  <c r="F142" i="31"/>
  <c r="F133" i="31"/>
  <c r="F135" i="31"/>
  <c r="F129" i="31"/>
  <c r="F126" i="31"/>
  <c r="F121" i="31"/>
  <c r="F101" i="31"/>
  <c r="F80" i="31"/>
  <c r="F73" i="31"/>
  <c r="F67" i="31"/>
  <c r="F65" i="31"/>
  <c r="D42" i="31"/>
  <c r="P36" i="31" s="1"/>
  <c r="Q36" i="31" s="1"/>
  <c r="D26" i="31"/>
  <c r="P18" i="31" s="1"/>
  <c r="C3" i="31"/>
  <c r="C12" i="31"/>
  <c r="C11" i="31"/>
  <c r="R43" i="31"/>
  <c r="D194" i="31"/>
  <c r="P41" i="31" s="1"/>
  <c r="R42" i="31"/>
  <c r="R41" i="31"/>
  <c r="R40" i="31"/>
  <c r="D138" i="31"/>
  <c r="P26" i="31" s="1"/>
  <c r="Q26" i="31" s="1"/>
  <c r="D130" i="31"/>
  <c r="P31" i="31" s="1"/>
  <c r="D122" i="31"/>
  <c r="P20" i="31" s="1"/>
  <c r="D114" i="31"/>
  <c r="P24" i="31" s="1"/>
  <c r="T24" i="31" s="1"/>
  <c r="D106" i="31"/>
  <c r="P27" i="31" s="1"/>
  <c r="D98" i="31"/>
  <c r="P34" i="31" s="1"/>
  <c r="D90" i="31"/>
  <c r="P39" i="31" s="1"/>
  <c r="Q39" i="31" s="1"/>
  <c r="D82" i="31"/>
  <c r="P21" i="31" s="1"/>
  <c r="D74" i="31"/>
  <c r="P30" i="31" s="1"/>
  <c r="F74" i="31"/>
  <c r="D66" i="31"/>
  <c r="P32" i="31" s="1"/>
  <c r="D58" i="31"/>
  <c r="P19" i="31" s="1"/>
  <c r="D50" i="31"/>
  <c r="P23" i="31" s="1"/>
  <c r="Q23" i="31" s="1"/>
  <c r="F42" i="31"/>
  <c r="R39" i="31"/>
  <c r="R38" i="31"/>
  <c r="R37" i="31"/>
  <c r="R36" i="31"/>
  <c r="R35" i="31"/>
  <c r="R34" i="31"/>
  <c r="D34" i="31"/>
  <c r="P22" i="31" s="1"/>
  <c r="R33" i="31"/>
  <c r="R32" i="31"/>
  <c r="R31" i="31"/>
  <c r="R30" i="31"/>
  <c r="R29" i="31"/>
  <c r="R28" i="31"/>
  <c r="R27" i="31"/>
  <c r="R26" i="31"/>
  <c r="R25" i="31"/>
  <c r="R24" i="31"/>
  <c r="R23" i="31"/>
  <c r="R22" i="31"/>
  <c r="R21" i="31"/>
  <c r="R20" i="31"/>
  <c r="R19" i="31"/>
  <c r="F66" i="31"/>
  <c r="F106" i="31"/>
  <c r="F34" i="31"/>
  <c r="F58" i="31"/>
  <c r="F98" i="31"/>
  <c r="F50" i="31"/>
  <c r="F130" i="31"/>
  <c r="F26" i="31"/>
  <c r="F122" i="31"/>
  <c r="F90" i="31"/>
  <c r="F82" i="31"/>
  <c r="F114" i="31"/>
  <c r="C103" i="31"/>
  <c r="C127" i="31"/>
  <c r="C191" i="31"/>
  <c r="C207" i="31"/>
  <c r="C215" i="31"/>
  <c r="C47" i="31"/>
  <c r="C119" i="31"/>
  <c r="C111" i="31"/>
  <c r="C167" i="31"/>
  <c r="C31" i="31"/>
  <c r="C87" i="31"/>
  <c r="C7" i="31"/>
  <c r="C71" i="31"/>
  <c r="C151" i="31"/>
  <c r="C143" i="31"/>
  <c r="C55" i="31"/>
  <c r="C95" i="31"/>
  <c r="C135" i="31"/>
  <c r="C175" i="31"/>
  <c r="C15" i="31"/>
  <c r="C39" i="31"/>
  <c r="C183" i="31"/>
  <c r="C79" i="31"/>
  <c r="C159" i="31"/>
  <c r="C199" i="31"/>
  <c r="C23" i="31"/>
  <c r="C63" i="31"/>
  <c r="C133" i="31"/>
  <c r="C37" i="31"/>
  <c r="C109" i="31"/>
  <c r="C117" i="31"/>
  <c r="C205" i="31"/>
  <c r="C93" i="31"/>
  <c r="C213" i="31"/>
  <c r="C101" i="31"/>
  <c r="C13" i="31"/>
  <c r="C45" i="31"/>
  <c r="C53" i="31"/>
  <c r="C189" i="31"/>
  <c r="C77" i="31"/>
  <c r="C197" i="31"/>
  <c r="C85" i="31"/>
  <c r="C157" i="31"/>
  <c r="C165" i="31"/>
  <c r="C21" i="31"/>
  <c r="C173" i="31"/>
  <c r="C61" i="31"/>
  <c r="C141" i="31"/>
  <c r="C29" i="31"/>
  <c r="C149" i="31"/>
  <c r="C181" i="31"/>
  <c r="C5" i="31"/>
  <c r="C125" i="31"/>
  <c r="C69" i="31"/>
  <c r="C196" i="31"/>
  <c r="C132" i="31"/>
  <c r="C52" i="31"/>
  <c r="C4" i="31"/>
  <c r="C188" i="31"/>
  <c r="C124" i="31"/>
  <c r="C44" i="31"/>
  <c r="C180" i="31"/>
  <c r="C116" i="31"/>
  <c r="C84" i="31"/>
  <c r="C172" i="31"/>
  <c r="C108" i="31"/>
  <c r="C20" i="31"/>
  <c r="C164" i="31"/>
  <c r="C100" i="31"/>
  <c r="C76" i="31"/>
  <c r="C36" i="31"/>
  <c r="C156" i="31"/>
  <c r="C92" i="31"/>
  <c r="C212" i="31"/>
  <c r="C204" i="31"/>
  <c r="C148" i="31"/>
  <c r="C140" i="31"/>
  <c r="C68" i="31"/>
  <c r="C60" i="31"/>
  <c r="C28" i="31"/>
  <c r="C166" i="31"/>
  <c r="C54" i="31"/>
  <c r="C190" i="31"/>
  <c r="C62" i="31"/>
  <c r="C198" i="31"/>
  <c r="C70" i="31"/>
  <c r="C78" i="31"/>
  <c r="C150" i="31"/>
  <c r="C38" i="31"/>
  <c r="C174" i="31"/>
  <c r="C22" i="31"/>
  <c r="C182" i="31"/>
  <c r="C158" i="31"/>
  <c r="C46" i="31"/>
  <c r="C118" i="31"/>
  <c r="C14" i="31"/>
  <c r="C126" i="31"/>
  <c r="C6" i="31"/>
  <c r="C134" i="31"/>
  <c r="C142" i="31"/>
  <c r="C30" i="31"/>
  <c r="C94" i="31"/>
  <c r="C214" i="31"/>
  <c r="C86" i="31"/>
  <c r="C102" i="31"/>
  <c r="C110" i="31"/>
  <c r="C206" i="31"/>
  <c r="C185" i="31"/>
  <c r="C57" i="31"/>
  <c r="C161" i="31"/>
  <c r="C33" i="31"/>
  <c r="C105" i="31"/>
  <c r="C209" i="31"/>
  <c r="C81" i="31"/>
  <c r="C153" i="31"/>
  <c r="C25" i="31"/>
  <c r="C129" i="31"/>
  <c r="C201" i="31"/>
  <c r="C73" i="31"/>
  <c r="C177" i="31"/>
  <c r="C49" i="31"/>
  <c r="C121" i="31"/>
  <c r="C217" i="31"/>
  <c r="C97" i="31"/>
  <c r="C169" i="31"/>
  <c r="C41" i="31"/>
  <c r="C145" i="31"/>
  <c r="C17" i="31"/>
  <c r="C137" i="31"/>
  <c r="C89" i="31"/>
  <c r="C9" i="31"/>
  <c r="C193" i="31"/>
  <c r="C113" i="31"/>
  <c r="C65" i="31"/>
  <c r="C131" i="31"/>
  <c r="C19" i="31"/>
  <c r="C107" i="31"/>
  <c r="C43" i="31"/>
  <c r="C187" i="31"/>
  <c r="C51" i="31"/>
  <c r="C67" i="31"/>
  <c r="C99" i="31"/>
  <c r="C179" i="31"/>
  <c r="C27" i="31"/>
  <c r="C35" i="31"/>
  <c r="C115" i="31"/>
  <c r="C91" i="31"/>
  <c r="C147" i="31"/>
  <c r="C211" i="31"/>
  <c r="C75" i="31"/>
  <c r="C155" i="31"/>
  <c r="C163" i="31"/>
  <c r="C171" i="31"/>
  <c r="C195" i="31"/>
  <c r="C123" i="31"/>
  <c r="C203" i="31"/>
  <c r="C83" i="31"/>
  <c r="C59" i="31"/>
  <c r="C139" i="31"/>
  <c r="J101" i="31"/>
  <c r="E131" i="31"/>
  <c r="J150" i="31"/>
  <c r="J75" i="31"/>
  <c r="J85" i="31"/>
  <c r="J73" i="31"/>
  <c r="J135" i="31"/>
  <c r="J172" i="31"/>
  <c r="J99" i="31"/>
  <c r="J32" i="31"/>
  <c r="J30" i="31"/>
  <c r="J20" i="31"/>
  <c r="J129" i="31"/>
  <c r="E190" i="31"/>
  <c r="J173" i="31"/>
  <c r="J176" i="31"/>
  <c r="J145" i="31"/>
  <c r="J164" i="31"/>
  <c r="J208" i="31"/>
  <c r="J174" i="31"/>
  <c r="J213" i="31"/>
  <c r="J31" i="31"/>
  <c r="J23" i="31"/>
  <c r="J181" i="31"/>
  <c r="J53" i="31"/>
  <c r="J151" i="31"/>
  <c r="J183" i="31"/>
  <c r="J131" i="31"/>
  <c r="J192" i="31"/>
  <c r="J205" i="31"/>
  <c r="E132" i="31"/>
  <c r="J68" i="31"/>
  <c r="J109" i="31"/>
  <c r="J49" i="31"/>
  <c r="J160" i="31"/>
  <c r="J29" i="31"/>
  <c r="J142" i="31"/>
  <c r="J65" i="31"/>
  <c r="J187" i="31"/>
  <c r="J198" i="31"/>
  <c r="J37" i="31"/>
  <c r="E187" i="31"/>
  <c r="J159" i="31"/>
  <c r="J168" i="31"/>
  <c r="J191" i="31"/>
  <c r="J22" i="31"/>
  <c r="J72" i="31"/>
  <c r="J199" i="31"/>
  <c r="J86" i="31"/>
  <c r="J57" i="31"/>
  <c r="J59" i="31"/>
  <c r="E207" i="31"/>
  <c r="J188" i="31"/>
  <c r="J115" i="31"/>
  <c r="J102" i="31"/>
  <c r="J61" i="31"/>
  <c r="J121" i="31"/>
  <c r="J80" i="31"/>
  <c r="J91" i="31"/>
  <c r="J216" i="31"/>
  <c r="J136" i="31"/>
  <c r="J112" i="31"/>
  <c r="J127" i="31"/>
  <c r="J179" i="31"/>
  <c r="J35" i="31"/>
  <c r="E135" i="31"/>
  <c r="J155" i="31"/>
  <c r="J152" i="31"/>
  <c r="J124" i="31"/>
  <c r="J217" i="31"/>
  <c r="J158" i="31"/>
  <c r="J44" i="31"/>
  <c r="J40" i="31"/>
  <c r="J27" i="31"/>
  <c r="J211" i="31"/>
  <c r="J71" i="31"/>
  <c r="E137" i="31"/>
  <c r="J175" i="31"/>
  <c r="J76" i="31"/>
  <c r="J55" i="31"/>
  <c r="J33" i="31"/>
  <c r="J107" i="31"/>
  <c r="J51" i="31"/>
  <c r="J189" i="31"/>
  <c r="J48" i="31"/>
  <c r="J79" i="31"/>
  <c r="E191" i="31"/>
  <c r="J54" i="31"/>
  <c r="J201" i="31"/>
  <c r="J204" i="31"/>
  <c r="J96" i="31"/>
  <c r="E205" i="31"/>
  <c r="J180" i="31"/>
  <c r="J203" i="31"/>
  <c r="E189" i="31"/>
  <c r="J157" i="31"/>
  <c r="J206" i="31"/>
  <c r="J95" i="31"/>
  <c r="J184" i="31"/>
  <c r="J161" i="31"/>
  <c r="J108" i="31"/>
  <c r="J171" i="31"/>
  <c r="J94" i="31"/>
  <c r="J111" i="31"/>
  <c r="J81" i="31"/>
  <c r="J64" i="31"/>
  <c r="J119" i="31"/>
  <c r="J144" i="31"/>
  <c r="J167" i="31"/>
  <c r="J92" i="31"/>
  <c r="J177" i="31"/>
  <c r="J104" i="31"/>
  <c r="J97" i="31"/>
  <c r="J133" i="31"/>
  <c r="J45" i="31"/>
  <c r="J125" i="31"/>
  <c r="J140" i="31"/>
  <c r="J120" i="31"/>
  <c r="J169" i="31"/>
  <c r="J165" i="31"/>
  <c r="J43" i="31"/>
  <c r="J70" i="31"/>
  <c r="J137" i="31"/>
  <c r="E192" i="31"/>
  <c r="J52" i="31"/>
  <c r="J89" i="31"/>
  <c r="J193" i="31"/>
  <c r="E209" i="31"/>
  <c r="J110" i="31"/>
  <c r="E133" i="31"/>
  <c r="J62" i="31"/>
  <c r="J117" i="31"/>
  <c r="J103" i="31"/>
  <c r="E134" i="31"/>
  <c r="J88" i="31"/>
  <c r="J149" i="31"/>
  <c r="J63" i="31"/>
  <c r="J60" i="31"/>
  <c r="J200" i="31"/>
  <c r="J166" i="31"/>
  <c r="J123" i="31"/>
  <c r="J36" i="31"/>
  <c r="J21" i="31"/>
  <c r="J19" i="31"/>
  <c r="J163" i="31"/>
  <c r="J113" i="31"/>
  <c r="J25" i="31"/>
  <c r="J46" i="31"/>
  <c r="J87" i="31"/>
  <c r="J56" i="31"/>
  <c r="J147" i="31"/>
  <c r="E193" i="31"/>
  <c r="J212" i="31"/>
  <c r="J47" i="31"/>
  <c r="J83" i="31"/>
  <c r="E136" i="31"/>
  <c r="J41" i="31"/>
  <c r="J105" i="31"/>
  <c r="J214" i="31"/>
  <c r="J190" i="31"/>
  <c r="J126" i="31"/>
  <c r="J38" i="31"/>
  <c r="J143" i="31"/>
  <c r="J67" i="31"/>
  <c r="J78" i="31"/>
  <c r="J118" i="31"/>
  <c r="J24" i="31"/>
  <c r="J156" i="31"/>
  <c r="J195" i="31"/>
  <c r="J69" i="31"/>
  <c r="J153" i="31"/>
  <c r="J93" i="31"/>
  <c r="J197" i="31"/>
  <c r="J132" i="31"/>
  <c r="J207" i="31"/>
  <c r="J182" i="31"/>
  <c r="J141" i="31"/>
  <c r="J100" i="31"/>
  <c r="J77" i="31"/>
  <c r="J84" i="31"/>
  <c r="J196" i="31"/>
  <c r="J39" i="31"/>
  <c r="J28" i="31"/>
  <c r="E188" i="31"/>
  <c r="J139" i="31"/>
  <c r="J134" i="31"/>
  <c r="J215" i="31"/>
  <c r="J128" i="31"/>
  <c r="J185" i="31"/>
  <c r="J148" i="31"/>
  <c r="J116" i="31"/>
  <c r="J209" i="31"/>
  <c r="E201" i="31"/>
  <c r="E183" i="31"/>
  <c r="E69" i="31"/>
  <c r="E94" i="31"/>
  <c r="E43" i="31"/>
  <c r="E152" i="31"/>
  <c r="E184" i="31"/>
  <c r="E140" i="31"/>
  <c r="E199" i="31"/>
  <c r="E72" i="31"/>
  <c r="E44" i="31"/>
  <c r="E93" i="31"/>
  <c r="E160" i="31"/>
  <c r="E200" i="31"/>
  <c r="E104" i="31"/>
  <c r="E196" i="31"/>
  <c r="E30" i="31"/>
  <c r="E195" i="31"/>
  <c r="E45" i="31"/>
  <c r="E84" i="31"/>
  <c r="E148" i="31"/>
  <c r="E47" i="31"/>
  <c r="E127" i="31"/>
  <c r="E85" i="31"/>
  <c r="E61" i="31"/>
  <c r="E27" i="31"/>
  <c r="E157" i="31"/>
  <c r="E70" i="31"/>
  <c r="E46" i="31"/>
  <c r="E49" i="31"/>
  <c r="E103" i="31"/>
  <c r="E149" i="31"/>
  <c r="E86" i="31"/>
  <c r="E83" i="31"/>
  <c r="E33" i="31"/>
  <c r="E111" i="31"/>
  <c r="E67" i="31"/>
  <c r="E73" i="31"/>
  <c r="E129" i="31"/>
  <c r="E181" i="31"/>
  <c r="E197" i="31"/>
  <c r="E80" i="31"/>
  <c r="E32" i="31"/>
  <c r="E153" i="31"/>
  <c r="E180" i="31"/>
  <c r="E87" i="31"/>
  <c r="E107" i="31"/>
  <c r="E128" i="31"/>
  <c r="E126" i="31"/>
  <c r="E88" i="31"/>
  <c r="E31" i="31"/>
  <c r="E100" i="31"/>
  <c r="E185" i="31"/>
  <c r="E179" i="31"/>
  <c r="E29" i="31"/>
  <c r="E151" i="31"/>
  <c r="E161" i="31"/>
  <c r="E71" i="31"/>
  <c r="E150" i="31"/>
  <c r="E48" i="31"/>
  <c r="E68" i="31"/>
  <c r="E125" i="31"/>
  <c r="E147" i="31"/>
  <c r="E198" i="31"/>
  <c r="E91" i="31"/>
  <c r="E89" i="31"/>
  <c r="E28" i="31"/>
  <c r="E142" i="31"/>
  <c r="E76" i="31"/>
  <c r="D18" i="31" l="1"/>
  <c r="P28" i="31" s="1"/>
  <c r="F4" i="31"/>
  <c r="F12" i="31" s="1"/>
  <c r="F7" i="31"/>
  <c r="F15" i="31" s="1"/>
  <c r="P38" i="31"/>
  <c r="Q38" i="31" s="1"/>
  <c r="Q41" i="31"/>
  <c r="T41" i="31"/>
  <c r="T26" i="31"/>
  <c r="F9" i="31"/>
  <c r="Q43" i="31"/>
  <c r="T43" i="31"/>
  <c r="Q19" i="31"/>
  <c r="T19" i="31"/>
  <c r="T32" i="31"/>
  <c r="Q32" i="31"/>
  <c r="Q35" i="31"/>
  <c r="T35" i="31"/>
  <c r="T42" i="31"/>
  <c r="Q42" i="31"/>
  <c r="T40" i="31"/>
  <c r="Q40" i="31"/>
  <c r="Q27" i="31"/>
  <c r="T27" i="31"/>
  <c r="T18" i="31"/>
  <c r="Q18" i="31"/>
  <c r="Q33" i="31"/>
  <c r="T33" i="31"/>
  <c r="Q24" i="31"/>
  <c r="F3" i="31"/>
  <c r="F11" i="31" s="1"/>
  <c r="T23" i="31"/>
  <c r="Q34" i="31"/>
  <c r="T34" i="31"/>
  <c r="Q31" i="31"/>
  <c r="T31" i="31"/>
  <c r="T37" i="31"/>
  <c r="F8" i="31"/>
  <c r="T39" i="31"/>
  <c r="F5" i="31"/>
  <c r="F13" i="31" s="1"/>
  <c r="F6" i="31"/>
  <c r="F14" i="31" s="1"/>
  <c r="D149" i="31"/>
  <c r="D137" i="31"/>
  <c r="D197" i="31"/>
  <c r="D161" i="31"/>
  <c r="D91" i="31"/>
  <c r="D132" i="31"/>
  <c r="D147" i="31"/>
  <c r="D100" i="31"/>
  <c r="D94" i="31"/>
  <c r="D61" i="31"/>
  <c r="D69" i="31"/>
  <c r="D160" i="31"/>
  <c r="D30" i="31"/>
  <c r="D48" i="31"/>
  <c r="D193" i="31"/>
  <c r="D133" i="31"/>
  <c r="D179" i="31"/>
  <c r="D192" i="31"/>
  <c r="D184" i="31"/>
  <c r="D188" i="31"/>
  <c r="D68" i="31"/>
  <c r="D67" i="31"/>
  <c r="D93" i="31"/>
  <c r="D209" i="31"/>
  <c r="D107" i="31"/>
  <c r="D86" i="31"/>
  <c r="D126" i="31"/>
  <c r="D127" i="31"/>
  <c r="D80" i="31"/>
  <c r="D135" i="31"/>
  <c r="D131" i="31"/>
  <c r="D187" i="31"/>
  <c r="D128" i="31"/>
  <c r="D191" i="31"/>
  <c r="D198" i="31"/>
  <c r="D181" i="31"/>
  <c r="D195" i="31"/>
  <c r="D85" i="31"/>
  <c r="D134" i="31"/>
  <c r="D73" i="31"/>
  <c r="D125" i="31"/>
  <c r="D103" i="31"/>
  <c r="D136" i="31"/>
  <c r="D28" i="31"/>
  <c r="D199" i="31"/>
  <c r="D129" i="31"/>
  <c r="D190" i="31"/>
  <c r="D153" i="31"/>
  <c r="D150" i="31"/>
  <c r="D111" i="31"/>
  <c r="D157" i="31"/>
  <c r="D88" i="31"/>
  <c r="D47" i="31"/>
  <c r="D43" i="31"/>
  <c r="D27" i="31"/>
  <c r="D83" i="31"/>
  <c r="D84" i="31"/>
  <c r="D142" i="31"/>
  <c r="D140" i="31"/>
  <c r="D185" i="31"/>
  <c r="D183" i="31"/>
  <c r="D70" i="31"/>
  <c r="D207" i="31"/>
  <c r="D87" i="31"/>
  <c r="D152" i="31"/>
  <c r="D200" i="31"/>
  <c r="D89" i="31"/>
  <c r="D180" i="31"/>
  <c r="D76" i="31"/>
  <c r="D189" i="31"/>
  <c r="D148" i="31"/>
  <c r="D205" i="31"/>
  <c r="D196" i="31"/>
  <c r="D201" i="31"/>
  <c r="D151" i="31"/>
  <c r="D71" i="31"/>
  <c r="D104" i="31"/>
  <c r="D33" i="31"/>
  <c r="D45" i="31"/>
  <c r="D29" i="31"/>
  <c r="D49" i="31"/>
  <c r="D44" i="31"/>
  <c r="D32" i="31"/>
  <c r="D31" i="31"/>
  <c r="D46" i="31"/>
  <c r="D72" i="31"/>
  <c r="T29" i="31"/>
  <c r="Q29" i="31"/>
  <c r="T20" i="31"/>
  <c r="Q20" i="31"/>
  <c r="Q22" i="31"/>
  <c r="T22" i="31"/>
  <c r="T25" i="31"/>
  <c r="Q25" i="31"/>
  <c r="T36" i="31"/>
  <c r="Q30" i="31"/>
  <c r="T30" i="31"/>
  <c r="T21" i="31"/>
  <c r="Q21" i="31"/>
  <c r="E215" i="31"/>
  <c r="J3" i="31"/>
  <c r="J5" i="31"/>
  <c r="E208" i="31"/>
  <c r="E204" i="31"/>
  <c r="E167" i="31"/>
  <c r="E213" i="31"/>
  <c r="E217" i="31"/>
  <c r="E206" i="31"/>
  <c r="E169" i="31"/>
  <c r="E163" i="31"/>
  <c r="E164" i="31"/>
  <c r="J9" i="31"/>
  <c r="E211" i="31"/>
  <c r="E166" i="31"/>
  <c r="E216" i="31"/>
  <c r="J4" i="31"/>
  <c r="J6" i="31"/>
  <c r="E168" i="31"/>
  <c r="E203" i="31"/>
  <c r="J8" i="31"/>
  <c r="E165" i="31"/>
  <c r="E214" i="31"/>
  <c r="J7" i="31"/>
  <c r="E212" i="31"/>
  <c r="E75" i="31"/>
  <c r="E123" i="31"/>
  <c r="E78" i="31"/>
  <c r="E35" i="31"/>
  <c r="E22" i="31"/>
  <c r="E172" i="31"/>
  <c r="E64" i="31"/>
  <c r="E182" i="31"/>
  <c r="E110" i="31"/>
  <c r="E19" i="31"/>
  <c r="E121" i="31"/>
  <c r="E145" i="31"/>
  <c r="E96" i="31"/>
  <c r="E171" i="31"/>
  <c r="E155" i="31"/>
  <c r="E21" i="31"/>
  <c r="E37" i="31"/>
  <c r="E54" i="31"/>
  <c r="E105" i="31"/>
  <c r="E7" i="31"/>
  <c r="E8" i="31"/>
  <c r="E177" i="31"/>
  <c r="E36" i="31"/>
  <c r="E55" i="31"/>
  <c r="E81" i="31"/>
  <c r="E176" i="31"/>
  <c r="E3" i="31"/>
  <c r="E102" i="31"/>
  <c r="E108" i="31"/>
  <c r="E159" i="31"/>
  <c r="E143" i="31"/>
  <c r="E95" i="31"/>
  <c r="E92" i="31"/>
  <c r="E113" i="31"/>
  <c r="E41" i="31"/>
  <c r="E53" i="31"/>
  <c r="E59" i="31"/>
  <c r="E65" i="31"/>
  <c r="E4" i="31"/>
  <c r="E23" i="31"/>
  <c r="E158" i="31"/>
  <c r="E51" i="31"/>
  <c r="E62" i="31"/>
  <c r="E156" i="31"/>
  <c r="E109" i="31"/>
  <c r="E79" i="31"/>
  <c r="E20" i="31"/>
  <c r="E77" i="31"/>
  <c r="E38" i="31"/>
  <c r="E124" i="31"/>
  <c r="E24" i="31"/>
  <c r="E175" i="31"/>
  <c r="E174" i="31"/>
  <c r="E9" i="31"/>
  <c r="E97" i="31"/>
  <c r="E52" i="31"/>
  <c r="E56" i="31"/>
  <c r="E115" i="31"/>
  <c r="E144" i="31"/>
  <c r="E117" i="31"/>
  <c r="E39" i="31"/>
  <c r="E40" i="31"/>
  <c r="E63" i="31"/>
  <c r="E101" i="31"/>
  <c r="E5" i="31"/>
  <c r="E6" i="31"/>
  <c r="E141" i="31"/>
  <c r="E118" i="31"/>
  <c r="E60" i="31"/>
  <c r="E119" i="31"/>
  <c r="E112" i="31"/>
  <c r="E173" i="31"/>
  <c r="E57" i="31"/>
  <c r="E120" i="31"/>
  <c r="E139" i="31"/>
  <c r="E25" i="31"/>
  <c r="E116" i="31"/>
  <c r="E99" i="31"/>
  <c r="D63" i="31" l="1"/>
  <c r="D40" i="31"/>
  <c r="D39" i="31"/>
  <c r="D124" i="31"/>
  <c r="D38" i="31"/>
  <c r="D77" i="31"/>
  <c r="D79" i="31"/>
  <c r="D51" i="31"/>
  <c r="D59" i="31"/>
  <c r="D53" i="31"/>
  <c r="D41" i="31"/>
  <c r="D81" i="31"/>
  <c r="D55" i="31"/>
  <c r="D36" i="31"/>
  <c r="D37" i="31"/>
  <c r="D35" i="31"/>
  <c r="D78" i="31"/>
  <c r="D123" i="31"/>
  <c r="D75" i="31"/>
  <c r="D177" i="31"/>
  <c r="D176" i="31"/>
  <c r="W21" i="31"/>
  <c r="W20" i="31"/>
  <c r="W27" i="31"/>
  <c r="W33" i="31"/>
  <c r="W39" i="31"/>
  <c r="W22" i="31"/>
  <c r="W34" i="31"/>
  <c r="W40" i="31"/>
  <c r="W23" i="31"/>
  <c r="W29" i="31"/>
  <c r="W35" i="31"/>
  <c r="W41" i="31"/>
  <c r="W30" i="31"/>
  <c r="W42" i="31"/>
  <c r="W25" i="31"/>
  <c r="W31" i="31"/>
  <c r="W37" i="31"/>
  <c r="W43" i="31"/>
  <c r="W19" i="31"/>
  <c r="W32" i="31"/>
  <c r="W18" i="31"/>
  <c r="W24" i="31"/>
  <c r="W36" i="31"/>
  <c r="W26" i="31"/>
  <c r="W38" i="31"/>
  <c r="D20" i="31"/>
  <c r="D24" i="31"/>
  <c r="D22" i="31"/>
  <c r="D19" i="31"/>
  <c r="D23" i="31"/>
  <c r="D25" i="31"/>
  <c r="D21" i="31"/>
  <c r="T28" i="31"/>
  <c r="Q28" i="31"/>
  <c r="W28" i="31" s="1"/>
  <c r="D155" i="31"/>
  <c r="D217" i="31"/>
  <c r="D208" i="31"/>
  <c r="D214" i="31"/>
  <c r="D60" i="31"/>
  <c r="D99" i="31"/>
  <c r="D213" i="31"/>
  <c r="D156" i="31"/>
  <c r="D216" i="31"/>
  <c r="D211" i="31"/>
  <c r="D52" i="31"/>
  <c r="D64" i="31"/>
  <c r="D56" i="31"/>
  <c r="D143" i="31"/>
  <c r="D159" i="31"/>
  <c r="D215" i="31"/>
  <c r="D65" i="31"/>
  <c r="D95" i="31"/>
  <c r="D139" i="31"/>
  <c r="D203" i="31"/>
  <c r="D92" i="31"/>
  <c r="D105" i="31"/>
  <c r="D212" i="31"/>
  <c r="D97" i="31"/>
  <c r="D102" i="31"/>
  <c r="D57" i="31"/>
  <c r="D96" i="31"/>
  <c r="D158" i="31"/>
  <c r="D204" i="31"/>
  <c r="D101" i="31"/>
  <c r="D62" i="31"/>
  <c r="D206" i="31"/>
  <c r="D54" i="31"/>
  <c r="T38" i="31"/>
  <c r="U29" i="31"/>
  <c r="F17" i="31"/>
  <c r="D165" i="31"/>
  <c r="D119" i="31"/>
  <c r="D182" i="31"/>
  <c r="D175" i="31"/>
  <c r="D141" i="31"/>
  <c r="D115" i="31"/>
  <c r="D168" i="31"/>
  <c r="D110" i="31"/>
  <c r="D174" i="31"/>
  <c r="D173" i="31"/>
  <c r="D145" i="31"/>
  <c r="D144" i="31"/>
  <c r="D164" i="31"/>
  <c r="D113" i="31"/>
  <c r="D169" i="31"/>
  <c r="D163" i="31"/>
  <c r="D171" i="31"/>
  <c r="D118" i="31"/>
  <c r="D108" i="31"/>
  <c r="D121" i="31"/>
  <c r="D109" i="31"/>
  <c r="D112" i="31"/>
  <c r="D166" i="31"/>
  <c r="D167" i="31"/>
  <c r="D116" i="31"/>
  <c r="D172" i="31"/>
  <c r="D120" i="31"/>
  <c r="D117" i="31"/>
  <c r="U30" i="31"/>
  <c r="U31" i="31"/>
  <c r="U35" i="31"/>
  <c r="U34" i="31"/>
  <c r="U39" i="31"/>
  <c r="U40" i="31"/>
  <c r="U22" i="31"/>
  <c r="U28" i="31"/>
  <c r="U20" i="31"/>
  <c r="U42" i="31"/>
  <c r="D8" i="31"/>
  <c r="D9" i="31"/>
  <c r="D3" i="31"/>
  <c r="D4" i="31"/>
  <c r="D6" i="31"/>
  <c r="D5" i="31"/>
  <c r="D7" i="31"/>
  <c r="U43" i="31"/>
  <c r="U32" i="31"/>
  <c r="U18" i="31"/>
  <c r="U36" i="31"/>
  <c r="U21" i="31"/>
  <c r="U25" i="31"/>
  <c r="U41" i="31"/>
  <c r="U27" i="31"/>
  <c r="U19" i="31"/>
  <c r="U24" i="31"/>
  <c r="U26" i="31"/>
  <c r="U37" i="31"/>
  <c r="U33" i="31"/>
  <c r="U23" i="31"/>
  <c r="U38" i="31"/>
  <c r="B23" i="66"/>
  <c r="E126" i="66" l="1"/>
  <c r="D120" i="66"/>
  <c r="F16" i="31"/>
  <c r="B39" i="66"/>
  <c r="J14" i="31"/>
  <c r="J12" i="31"/>
  <c r="J11" i="31"/>
  <c r="J15" i="31"/>
  <c r="J13" i="31"/>
  <c r="J16" i="31"/>
  <c r="J17" i="31"/>
  <c r="E13" i="31"/>
  <c r="E14" i="31"/>
  <c r="E17" i="31"/>
  <c r="E11" i="31"/>
  <c r="E12" i="31"/>
  <c r="E16" i="31"/>
  <c r="E15" i="31"/>
  <c r="E2" i="66" a="1"/>
  <c r="E116" i="66"/>
  <c r="D116" i="66"/>
  <c r="J54" i="49" l="1"/>
  <c r="K41" i="49"/>
  <c r="K42" i="49"/>
  <c r="K37" i="49"/>
  <c r="K38" i="49"/>
  <c r="E10" i="66"/>
  <c r="D10" i="66" s="1"/>
  <c r="E11" i="66"/>
  <c r="D11" i="66" s="1"/>
  <c r="E7" i="66"/>
  <c r="D7" i="66" s="1"/>
  <c r="E20" i="66"/>
  <c r="D20" i="66" s="1"/>
  <c r="E5" i="66"/>
  <c r="D5" i="66" s="1"/>
  <c r="E24" i="66"/>
  <c r="D24" i="66" s="1"/>
  <c r="E14" i="66"/>
  <c r="D14" i="66" s="1"/>
  <c r="E26" i="66"/>
  <c r="D26" i="66" s="1"/>
  <c r="E18" i="66"/>
  <c r="D18" i="66" s="1"/>
  <c r="E8" i="66"/>
  <c r="D8" i="66" s="1"/>
  <c r="E21" i="66"/>
  <c r="D21" i="66" s="1"/>
  <c r="E27" i="66"/>
  <c r="D27" i="66" s="1"/>
  <c r="E12" i="66"/>
  <c r="D12" i="66" s="1"/>
  <c r="E2" i="66"/>
  <c r="D2" i="66" s="1"/>
  <c r="E15" i="66"/>
  <c r="D15" i="66" s="1"/>
  <c r="E28" i="66"/>
  <c r="E4" i="66"/>
  <c r="D4" i="66" s="1"/>
  <c r="E25" i="66"/>
  <c r="D25" i="66" s="1"/>
  <c r="E9" i="66"/>
  <c r="D9" i="66" s="1"/>
  <c r="E22" i="66"/>
  <c r="D22" i="66" s="1"/>
  <c r="E23" i="66"/>
  <c r="D23" i="66" s="1"/>
  <c r="E6" i="66"/>
  <c r="D6" i="66" s="1"/>
  <c r="E3" i="66"/>
  <c r="D3" i="66" s="1"/>
  <c r="E16" i="66"/>
  <c r="D16" i="66" s="1"/>
  <c r="E17" i="66"/>
  <c r="D17" i="66" s="1"/>
  <c r="E13" i="66"/>
  <c r="D13" i="66" s="1"/>
  <c r="E19" i="66"/>
  <c r="D19" i="66" s="1"/>
  <c r="D28" i="66"/>
  <c r="D17" i="31"/>
  <c r="D13" i="31"/>
  <c r="D11" i="31"/>
  <c r="D12" i="31"/>
  <c r="D16" i="31"/>
  <c r="D14" i="31"/>
  <c r="D15" i="31"/>
  <c r="B82" i="66"/>
  <c r="A37" i="49"/>
  <c r="A42" i="49"/>
  <c r="A41" i="49"/>
  <c r="I56" i="49"/>
  <c r="A38" i="49"/>
  <c r="B126" i="66" l="1"/>
  <c r="D48" i="49"/>
  <c r="D47" i="49"/>
  <c r="D52" i="49"/>
  <c r="D51" i="49"/>
  <c r="B99" i="66"/>
  <c r="E64" i="66" a="1"/>
  <c r="G2" i="66" a="1"/>
  <c r="B116" i="66"/>
  <c r="L56" i="49"/>
  <c r="K34" i="49" l="1"/>
  <c r="F54" i="49"/>
  <c r="E73" i="66"/>
  <c r="D73" i="66" s="1"/>
  <c r="E68" i="66"/>
  <c r="D68" i="66" s="1"/>
  <c r="E66" i="66"/>
  <c r="D66" i="66" s="1"/>
  <c r="E65" i="66"/>
  <c r="D65" i="66" s="1"/>
  <c r="E69" i="66"/>
  <c r="D69" i="66" s="1"/>
  <c r="E64" i="66"/>
  <c r="D64" i="66" s="1"/>
  <c r="E78" i="66"/>
  <c r="D78" i="66" s="1"/>
  <c r="E77" i="66"/>
  <c r="D77" i="66" s="1"/>
  <c r="E74" i="66"/>
  <c r="D74" i="66" s="1"/>
  <c r="E70" i="66"/>
  <c r="D70" i="66" s="1"/>
  <c r="E76" i="66"/>
  <c r="D76" i="66" s="1"/>
  <c r="E72" i="66"/>
  <c r="D72" i="66" s="1"/>
  <c r="E71" i="66"/>
  <c r="D71" i="66" s="1"/>
  <c r="E75" i="66"/>
  <c r="D75" i="66" s="1"/>
  <c r="E67" i="66"/>
  <c r="D67" i="66" s="1"/>
  <c r="K40" i="49"/>
  <c r="K35" i="49"/>
  <c r="K36" i="49"/>
  <c r="K39" i="49"/>
  <c r="G18" i="66"/>
  <c r="G22" i="66"/>
  <c r="G25" i="66"/>
  <c r="G24" i="66"/>
  <c r="G21" i="66"/>
  <c r="G15" i="66"/>
  <c r="G20" i="66"/>
  <c r="G11" i="66"/>
  <c r="G14" i="66"/>
  <c r="G28" i="66"/>
  <c r="G12" i="66"/>
  <c r="G7" i="66"/>
  <c r="G2" i="66"/>
  <c r="G13" i="66"/>
  <c r="G16" i="66"/>
  <c r="G5" i="66"/>
  <c r="G19" i="66"/>
  <c r="G23" i="66"/>
  <c r="G4" i="66"/>
  <c r="G17" i="66"/>
  <c r="G6" i="66"/>
  <c r="G10" i="66"/>
  <c r="G26" i="66"/>
  <c r="G9" i="66"/>
  <c r="G27" i="66"/>
  <c r="G3" i="66"/>
  <c r="G8" i="66"/>
  <c r="H57" i="49"/>
  <c r="A39" i="49"/>
  <c r="A36" i="49"/>
  <c r="A40" i="49"/>
  <c r="G64" i="66" a="1"/>
  <c r="E56" i="49"/>
  <c r="A34" i="49"/>
  <c r="A35" i="49"/>
  <c r="B115" i="66"/>
  <c r="D45" i="49" l="1"/>
  <c r="D50" i="49"/>
  <c r="D49" i="49"/>
  <c r="D44" i="49"/>
  <c r="D46" i="49"/>
  <c r="G75" i="66"/>
  <c r="G74" i="66"/>
  <c r="G73" i="66"/>
  <c r="G78" i="66"/>
  <c r="G66" i="66"/>
  <c r="G70" i="66"/>
  <c r="G71" i="66"/>
  <c r="G64" i="66"/>
  <c r="G69" i="66"/>
  <c r="G68" i="66"/>
  <c r="G67" i="66"/>
  <c r="G72" i="66"/>
  <c r="G77" i="66"/>
  <c r="G65" i="66"/>
  <c r="G76" i="66"/>
  <c r="A48" i="49"/>
  <c r="A45" i="49"/>
  <c r="A50" i="49"/>
  <c r="A49" i="49"/>
  <c r="A51" i="49"/>
  <c r="A52" i="49"/>
  <c r="G125" i="66"/>
  <c r="F2" i="66" a="1"/>
  <c r="A44" i="49"/>
  <c r="A47" i="49"/>
  <c r="H125" i="66"/>
  <c r="A46" i="49"/>
  <c r="S2" i="31"/>
  <c r="H56" i="49"/>
  <c r="Q6" i="31"/>
  <c r="Q9" i="31"/>
  <c r="Q3" i="31"/>
  <c r="Q8" i="31"/>
  <c r="P9" i="31" l="1"/>
  <c r="P8" i="31"/>
  <c r="P3" i="31"/>
  <c r="H118" i="66"/>
  <c r="P6" i="31"/>
  <c r="G118" i="66"/>
  <c r="F21" i="66"/>
  <c r="F11" i="66"/>
  <c r="F25" i="66"/>
  <c r="F28" i="66"/>
  <c r="F7" i="66"/>
  <c r="F10" i="66"/>
  <c r="F13" i="66"/>
  <c r="F16" i="66"/>
  <c r="F5" i="66"/>
  <c r="F12" i="66"/>
  <c r="F17" i="66"/>
  <c r="F3" i="66"/>
  <c r="F26" i="66"/>
  <c r="F8" i="66"/>
  <c r="F27" i="66"/>
  <c r="F20" i="66"/>
  <c r="F23" i="66"/>
  <c r="F18" i="66"/>
  <c r="F22" i="66"/>
  <c r="F14" i="66"/>
  <c r="F4" i="66"/>
  <c r="F15" i="66"/>
  <c r="F19" i="66"/>
  <c r="F6" i="66"/>
  <c r="F2" i="66"/>
  <c r="F9" i="66"/>
  <c r="F24" i="66"/>
  <c r="B60" i="49"/>
  <c r="H116" i="66"/>
  <c r="B61" i="49"/>
  <c r="B56" i="49"/>
  <c r="B63" i="49"/>
  <c r="B62" i="49"/>
  <c r="B59" i="49"/>
  <c r="G116" i="66"/>
  <c r="B64" i="49"/>
  <c r="B58" i="49"/>
  <c r="B57" i="49"/>
  <c r="Q7" i="31"/>
  <c r="Q5" i="31"/>
  <c r="Q4" i="31"/>
  <c r="H63" i="49"/>
  <c r="H62" i="49"/>
  <c r="H61" i="49"/>
  <c r="H64" i="49"/>
  <c r="H60" i="49"/>
  <c r="H58" i="49"/>
  <c r="H59" i="49"/>
  <c r="P7" i="31" l="1"/>
  <c r="K143" i="31" s="1"/>
  <c r="S4" i="49"/>
  <c r="T4" i="49" s="1"/>
  <c r="X4" i="49" s="1"/>
  <c r="S6" i="49"/>
  <c r="T6" i="49" s="1"/>
  <c r="X6" i="49" s="1"/>
  <c r="S5" i="49"/>
  <c r="T5" i="49" s="1"/>
  <c r="X5" i="49" s="1"/>
  <c r="S9" i="49"/>
  <c r="T9" i="49" s="1"/>
  <c r="X9" i="49" s="1"/>
  <c r="S3" i="49"/>
  <c r="T3" i="49" s="1"/>
  <c r="X3" i="49" s="1"/>
  <c r="S10" i="49"/>
  <c r="T10" i="49" s="1"/>
  <c r="X10" i="49" s="1"/>
  <c r="S7" i="49"/>
  <c r="T7" i="49" s="1"/>
  <c r="X7" i="49" s="1"/>
  <c r="S8" i="49"/>
  <c r="T8" i="49" s="1"/>
  <c r="X8" i="49" s="1"/>
  <c r="S2" i="49"/>
  <c r="T2" i="49" s="1"/>
  <c r="X2" i="49" s="1"/>
  <c r="P5" i="31"/>
  <c r="K149" i="31" s="1"/>
  <c r="P4" i="31"/>
  <c r="K204" i="31" s="1"/>
  <c r="D62" i="49"/>
  <c r="D61" i="49"/>
  <c r="D56" i="49"/>
  <c r="D57" i="49"/>
  <c r="D58" i="49"/>
  <c r="D64" i="49"/>
  <c r="D60" i="49"/>
  <c r="D63" i="49"/>
  <c r="D59" i="49"/>
  <c r="K160" i="31"/>
  <c r="K112" i="31"/>
  <c r="K32" i="31"/>
  <c r="K8" i="31"/>
  <c r="K168" i="31"/>
  <c r="K88" i="31"/>
  <c r="K48" i="31"/>
  <c r="K24" i="31"/>
  <c r="K120" i="31"/>
  <c r="K136" i="31"/>
  <c r="K192" i="31"/>
  <c r="K64" i="31"/>
  <c r="K80" i="31"/>
  <c r="K200" i="31"/>
  <c r="K16" i="31"/>
  <c r="K144" i="31"/>
  <c r="K56" i="31"/>
  <c r="K104" i="31"/>
  <c r="K176" i="31"/>
  <c r="K216" i="31"/>
  <c r="K184" i="31"/>
  <c r="K40" i="31"/>
  <c r="K72" i="31"/>
  <c r="K208" i="31"/>
  <c r="K96" i="31"/>
  <c r="K152" i="31"/>
  <c r="K128" i="31"/>
  <c r="K151" i="31"/>
  <c r="K191" i="31"/>
  <c r="K7" i="31"/>
  <c r="K135" i="31"/>
  <c r="K119" i="31"/>
  <c r="K214" i="31"/>
  <c r="K86" i="31"/>
  <c r="K38" i="31"/>
  <c r="K46" i="31"/>
  <c r="K182" i="31"/>
  <c r="K54" i="31"/>
  <c r="K6" i="31"/>
  <c r="K110" i="31"/>
  <c r="K158" i="31"/>
  <c r="K14" i="31"/>
  <c r="K94" i="31"/>
  <c r="K70" i="31"/>
  <c r="K126" i="31"/>
  <c r="K166" i="31"/>
  <c r="K78" i="31"/>
  <c r="K150" i="31"/>
  <c r="K134" i="31"/>
  <c r="K118" i="31"/>
  <c r="K190" i="31"/>
  <c r="K142" i="31"/>
  <c r="K206" i="31"/>
  <c r="K198" i="31"/>
  <c r="K102" i="31"/>
  <c r="K30" i="31"/>
  <c r="K174" i="31"/>
  <c r="K62" i="31"/>
  <c r="K22" i="31"/>
  <c r="K145" i="31"/>
  <c r="K137" i="31"/>
  <c r="K209" i="31"/>
  <c r="K41" i="31"/>
  <c r="K217" i="31"/>
  <c r="K89" i="31"/>
  <c r="K57" i="31"/>
  <c r="K169" i="31"/>
  <c r="K49" i="31"/>
  <c r="K33" i="31"/>
  <c r="K9" i="31"/>
  <c r="K17" i="31"/>
  <c r="K121" i="31"/>
  <c r="K25" i="31"/>
  <c r="K73" i="31"/>
  <c r="K97" i="31"/>
  <c r="K81" i="31"/>
  <c r="K177" i="31"/>
  <c r="K201" i="31"/>
  <c r="K65" i="31"/>
  <c r="K113" i="31"/>
  <c r="K105" i="31"/>
  <c r="K161" i="31"/>
  <c r="K129" i="31"/>
  <c r="K185" i="31"/>
  <c r="K153" i="31"/>
  <c r="K193" i="31"/>
  <c r="K59" i="31"/>
  <c r="K11" i="31"/>
  <c r="K107" i="31"/>
  <c r="K187" i="31"/>
  <c r="K163" i="31"/>
  <c r="K155" i="31"/>
  <c r="K179" i="31"/>
  <c r="K51" i="31"/>
  <c r="K27" i="31"/>
  <c r="K115" i="31"/>
  <c r="K211" i="31"/>
  <c r="K203" i="31"/>
  <c r="K147" i="31"/>
  <c r="K139" i="31"/>
  <c r="K83" i="31"/>
  <c r="K131" i="31"/>
  <c r="K19" i="31"/>
  <c r="K91" i="31"/>
  <c r="K75" i="31"/>
  <c r="K67" i="31"/>
  <c r="K123" i="31"/>
  <c r="K171" i="31"/>
  <c r="K43" i="31"/>
  <c r="K3" i="31"/>
  <c r="K195" i="31"/>
  <c r="K35" i="31"/>
  <c r="K99" i="31"/>
  <c r="C61" i="49"/>
  <c r="C60" i="49"/>
  <c r="C63" i="49"/>
  <c r="C64" i="49"/>
  <c r="C58" i="49"/>
  <c r="C57" i="49"/>
  <c r="C62" i="49"/>
  <c r="C59" i="49"/>
  <c r="C56" i="49"/>
  <c r="M14" i="31"/>
  <c r="M3" i="31"/>
  <c r="M24" i="31"/>
  <c r="M17" i="31"/>
  <c r="M9" i="31"/>
  <c r="M4" i="31"/>
  <c r="M23" i="31"/>
  <c r="M25" i="31"/>
  <c r="M11" i="31"/>
  <c r="M15" i="31"/>
  <c r="M21" i="31"/>
  <c r="M7" i="31"/>
  <c r="M13" i="31"/>
  <c r="M19" i="31"/>
  <c r="M20" i="31"/>
  <c r="M5" i="31"/>
  <c r="M22" i="31"/>
  <c r="M12" i="31"/>
  <c r="M6" i="31"/>
  <c r="M8" i="31"/>
  <c r="M16" i="31"/>
  <c r="X1" i="49" l="1"/>
  <c r="K63" i="31"/>
  <c r="K215" i="31"/>
  <c r="K167" i="31"/>
  <c r="K79" i="31"/>
  <c r="K47" i="31"/>
  <c r="K39" i="31"/>
  <c r="K71" i="31"/>
  <c r="K87" i="31"/>
  <c r="K183" i="31"/>
  <c r="K31" i="31"/>
  <c r="K95" i="31"/>
  <c r="K111" i="31"/>
  <c r="K175" i="31"/>
  <c r="K127" i="31"/>
  <c r="K103" i="31"/>
  <c r="K199" i="31"/>
  <c r="K159" i="31"/>
  <c r="K23" i="31"/>
  <c r="K55" i="31"/>
  <c r="K15" i="31"/>
  <c r="K207" i="31"/>
  <c r="K5" i="31"/>
  <c r="K12" i="31"/>
  <c r="K173" i="31"/>
  <c r="K45" i="31"/>
  <c r="K180" i="31"/>
  <c r="K21" i="31"/>
  <c r="K189" i="31"/>
  <c r="K133" i="31"/>
  <c r="K53" i="31"/>
  <c r="K109" i="31"/>
  <c r="K13" i="31"/>
  <c r="K165" i="31"/>
  <c r="K85" i="31"/>
  <c r="K125" i="31"/>
  <c r="K92" i="31"/>
  <c r="K20" i="31"/>
  <c r="K156" i="31"/>
  <c r="K68" i="31"/>
  <c r="K140" i="31"/>
  <c r="K44" i="31"/>
  <c r="K93" i="31"/>
  <c r="K181" i="31"/>
  <c r="K213" i="31"/>
  <c r="K197" i="31"/>
  <c r="K141" i="31"/>
  <c r="K52" i="31"/>
  <c r="K196" i="31"/>
  <c r="K60" i="31"/>
  <c r="K61" i="31"/>
  <c r="K205" i="31"/>
  <c r="K101" i="31"/>
  <c r="K117" i="31"/>
  <c r="K69" i="31"/>
  <c r="K84" i="31"/>
  <c r="K28" i="31"/>
  <c r="K188" i="31"/>
  <c r="K29" i="31"/>
  <c r="K37" i="31"/>
  <c r="K157" i="31"/>
  <c r="K77" i="31"/>
  <c r="K100" i="31"/>
  <c r="K76" i="31"/>
  <c r="K132" i="31"/>
  <c r="K116" i="31"/>
  <c r="K164" i="31"/>
  <c r="K108" i="31"/>
  <c r="K148" i="31"/>
  <c r="K4" i="31"/>
  <c r="K172" i="31"/>
  <c r="K36" i="31"/>
  <c r="K124" i="31"/>
  <c r="K212" i="31"/>
  <c r="F64" i="66" a="1"/>
  <c r="F67" i="66" l="1"/>
  <c r="F78" i="66"/>
  <c r="F65" i="66"/>
  <c r="F66" i="66"/>
  <c r="F69" i="66"/>
  <c r="F73" i="66"/>
  <c r="F74" i="66"/>
  <c r="F72" i="66"/>
  <c r="F70" i="66"/>
  <c r="F75" i="66"/>
  <c r="F64" i="66"/>
  <c r="F76" i="66"/>
  <c r="F68" i="66"/>
  <c r="F77" i="66"/>
  <c r="F71" i="66"/>
</calcChain>
</file>

<file path=xl/connections.xml><?xml version="1.0" encoding="utf-8"?>
<connections xmlns="http://schemas.openxmlformats.org/spreadsheetml/2006/main">
  <connection id="1" name="tr_holding_exchange_20181107" type="6" refreshedVersion="4" background="1" saveData="1">
    <textPr prompt="0" codePage="65001" sourceFile="\\wnspwfis05\ERM\AlgoDailyBatch\CSA-MtM\Position\tr_holding_exchange_2018110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r_holding_exchange_20181108" type="6" refreshedVersion="4" background="1" saveData="1">
    <textPr prompt="0" codePage="65001" sourceFile="\\wnspwfis05\ERM\AlgoDailyBatch\CSA-MtM\Position\tr_holding_exchange_2018110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tr_holding_exchange_20181112" type="6" refreshedVersion="4" background="1" saveData="1">
    <textPr prompt="0" codePage="65001" sourceFile="\\wnspwfis05\ERM\AlgoDailyBatch\CSA-MtM\Position\tr_holding_exchange_2018111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tr_holding_exchange_20181113" type="6" refreshedVersion="4" background="1" saveData="1">
    <textPr prompt="0" codePage="65001" sourceFile="\\wnspwfis05\ERM\AlgoDailyBatch\CSA-MtM\Position\tr_holding_exchange_2018111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r_holding_exchange_20181119" type="6" refreshedVersion="4" background="1" saveData="1">
    <textPr prompt="0" codePage="65001" sourceFile="\\wnspwfis05\ERM\AlgoDailyBatch\CSA-MtM\Position\tr_holding_exchange_2018111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r_holding_exchange_20181120" type="6" refreshedVersion="4" background="1" saveData="1">
    <textPr prompt="0" codePage="65001" sourceFile="\\wnspwfis05\ERM\AlgoDailyBatch\CSA-MtM\Position\tr_holding_exchange_2018112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tr_holding_exchange_20181121" type="6" refreshedVersion="4" background="1" saveData="1">
    <textPr prompt="0" codePage="65001" sourceFile="\\wnspwfis05\ERM\AlgoDailyBatch\CSA-MtM\Position\tr_holding_exchange_201811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tr_holding_exchange_20181122" type="6" refreshedVersion="4" background="1" saveData="1">
    <textPr prompt="0" codePage="65001" sourceFile="\\wnspwfis05\ERM\AlgoDailyBatch\CSA-MtM\Position\tr_holding_exchange_201811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tr_holding_exchange_20181123" type="6" refreshedVersion="4" background="1" saveData="1">
    <textPr prompt="0" codePage="65001" sourceFile="\\wnspwfis05\ERM\AlgoDailyBatch\CSA-MtM\Position\tr_holding_exchange_2018112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tr_holding_exchange_20181126" type="6" refreshedVersion="4" background="1" saveData="1">
    <textPr prompt="0" codePage="65001" sourceFile="\\wnspwfis05\ERM\AlgoDailyBatch\CSA-MtM\Position\tr_holding_exchange_2018112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tr_holding_exchange_20181127" type="6" refreshedVersion="0" background="1">
    <textPr prompt="0" sourceFile="\\wnspwfis05\ERM\AlgoDailyBatch\CSA-MtM\Position\tr_holding_exchange_20181127.csv">
      <textFields>
        <textField/>
      </textFields>
    </textPr>
  </connection>
  <connection id="12" name="tr_holding_exchange_201811271" type="6" refreshedVersion="4" background="1" saveData="1">
    <textPr prompt="0" codePage="65001" sourceFile="\\wnspwfis05\ERM\AlgoDailyBatch\CSA-MtM\Position\tr_holding_exchange_201811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tr_holding_exchange_201811272" type="6" refreshedVersion="4" background="1" saveData="1">
    <textPr prompt="0" codePage="65001" sourceFile="\\wnspwfis05\ERM\AlgoDailyBatch\CSA-MtM\Position\tr_holding_exchange_201811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tr_holding_exchange_20181128" type="6" refreshedVersion="4" background="1" saveData="1">
    <textPr prompt="0" codePage="65001" sourceFile="\\wnspwfis05\ERM\AlgoDailyBatch\CSA-MtM\Position\tr_holding_exchange_2018112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tr_holding_exchange_20181129" type="6" refreshedVersion="4" background="1" saveData="1">
    <textPr prompt="0" codePage="65001" sourceFile="\\wnspwfis05\ERM\AlgoDailyBatch\CSA-MtM\Position\tr_holding_exchange_2018112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tr_holding_exchange_20181130" type="6" refreshedVersion="4" background="1" saveData="1">
    <textPr prompt="0" codePage="65001" sourceFile="\\wnspwfis05\ERM\AlgoDailyBatch\CSA-MtM\Position\tr_holding_exchange_2018113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tr_holding_exchange_201811301" type="6" refreshedVersion="4" background="1" saveData="1">
    <textPr prompt="0" codePage="65001" sourceFile="\\wnspwfis05\ERM\AlgoDailyBatch\CSA-MtM\Position\tr_holding_exchange_2018113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tr_holding_exchange_20181203" type="6" refreshedVersion="4" background="1" saveData="1">
    <textPr prompt="0" codePage="65001" sourceFile="\\wnspwfis05\ERM\AlgoDailyBatch\CSA-MtM\Position\tr_holding_exchange_2018120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tr_holding_exchange_20181204" type="6" refreshedVersion="4" background="1" saveData="1">
    <textPr prompt="0" codePage="65001" sourceFile="\\wnspwfis05\ERM\AlgoDailyBatch\CSA-MtM\Position\tr_holding_exchange_2018120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tr_holding_exchange_20181206" type="6" refreshedVersion="4" background="1" saveData="1">
    <textPr prompt="0" codePage="65001" sourceFile="\\wnspwfis05\ERM\AlgoDailyBatch\CSA-MtM\Position\tr_holding_exchange_2018120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tr_holding_exchange_201812061" type="6" refreshedVersion="4" background="1" saveData="1">
    <textPr prompt="0" codePage="65001" sourceFile="\\wnspwfis05\ERM\AlgoDailyBatch\CSA-MtM\Position\tr_holding_exchange_2018120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tr_holding_exchange_20181207" type="6" refreshedVersion="4" background="1" saveData="1">
    <textPr prompt="0" codePage="65001" sourceFile="\\wnspwfis05\ERM\AlgoDailyBatch\CSA-MtM\Position\tr_holding_exchange_2018120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tr_holding_exchange_20181210" type="6" refreshedVersion="4" background="1" saveData="1">
    <textPr prompt="0" codePage="65001" sourceFile="\\wnspwfis05\ERM\AlgoDailyBatch\CSA-MtM\Position\tr_holding_exchange_2018121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tr_holding_exchange_20181211" type="6" refreshedVersion="4" background="1" saveData="1">
    <textPr prompt="0" codePage="65001" sourceFile="\\wnspwfis05\ERM\AlgoDailyBatch\CSA-MtM\Position\tr_holding_exchange_2018121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tr_holding_exchange_20181212" type="6" refreshedVersion="4" background="1" saveData="1">
    <textPr prompt="0" codePage="65001" sourceFile="\\wnspwfis05\ERM\AlgoDailyBatch\CSA-MtM\Position\tr_holding_exchange_2018121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tr_holding_exchange_20181214" type="6" refreshedVersion="4" background="1" saveData="1">
    <textPr prompt="0" codePage="65001" sourceFile="\\wnspwfis05\ERM\AlgoDailyBatch\CSA-MtM\Position\tr_holding_exchange_2018121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tr_holding_exchange_20181217" type="6" refreshedVersion="4" background="1" saveData="1">
    <textPr prompt="0" codePage="65001" sourceFile="\\wnspwfis05\ERM\AlgoDailyBatch\CSA-MtM\Position\tr_holding_exchange_2018121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tr_holding_exchange_20181218" type="6" refreshedVersion="4" background="1" saveData="1">
    <textPr prompt="0" codePage="65001" sourceFile="\\wnspwfis05\ERM\AlgoDailyBatch\CSA-MtM\Position\tr_holding_exchange_201812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tr_holding_exchange_20181220" type="6" refreshedVersion="4" background="1" saveData="1">
    <textPr prompt="0" codePage="65001" sourceFile="\\wnspwfis05\ERM\AlgoDailyBatch\CSA-MtM\Position\tr_holding_exchange_2018122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tr_holding_exchange_20181221" type="6" refreshedVersion="4" background="1" saveData="1">
    <textPr prompt="0" codePage="65001" sourceFile="\\wnspwfis05\ERM\AlgoDailyBatch\CSA-MtM\Position\tr_holding_exchange_201812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tr_holding_exchange_201812211" type="6" refreshedVersion="4" background="1" saveData="1">
    <textPr prompt="0" codePage="65001" sourceFile="\\wnspwfis05\ERM\AlgoDailyBatch\CSA-MtM\Position\tr_holding_exchange_201812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tr_holding_exchange_20181222" type="6" refreshedVersion="4" background="1">
    <textPr prompt="0" codePage="65001" sourceFile="\\wnspwfis05\ERM\AlgoDailyBatch\CSA-MtM\Position\tr_holding_exchange_201812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tr_holding_exchange_201812221" type="6" refreshedVersion="4" background="1" saveData="1">
    <textPr prompt="0" codePage="65001" sourceFile="\\wnspwfis05\ERM\AlgoDailyBatch\CSA-MtM\Position\tr_holding_exchange_201812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tr_holding_exchange_20181225" type="6" refreshedVersion="4" background="1" saveData="1">
    <textPr prompt="0" codePage="65001" sourceFile="\\wnspwfis05\ERM\AlgoDailyBatch\CSA-MtM\Position\tr_holding_exchange_2018122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tr_holding_exchange_20181227" type="6" refreshedVersion="4" background="1" saveData="1">
    <textPr prompt="0" codePage="65001" sourceFile="\\wnspwfis05\ERM\AlgoDailyBatch\CSA-MtM\Position\tr_holding_exchange_201812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tr_holding_exchange_20181228" type="6" refreshedVersion="4" background="1" saveData="1">
    <textPr prompt="0" codePage="65001" sourceFile="\\wnspwfis05\ERM\AlgoDailyBatch\CSA-MtM\Position\tr_holding_exchange_2018122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tr_holding_exchange_201812281" type="6" refreshedVersion="4" background="1" saveData="1">
    <textPr prompt="0" codePage="65001" sourceFile="\\wnspwfis05\ERM\AlgoDailyBatch\CSA-MtM\Position\tr_holding_exchange_2018122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tr_holding_exchange_20190102" type="6" refreshedVersion="4" background="1">
    <textPr prompt="0" codePage="65001" sourceFile="\\wnspwfis05\ERM\AlgoDailyBatch\CSA-MtM\Position\tr_holding_exchange_2019010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tr_holding_exchange_201901021" type="6" refreshedVersion="4" background="1" saveData="1">
    <textPr prompt="0" codePage="65001" sourceFile="\\wnspwfis05\ERM\AlgoDailyBatch\CSA-MtM\Position\tr_holding_exchange_2019010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tr_holding_exchange_201901022" type="6" refreshedVersion="4" background="1" saveData="1">
    <textPr prompt="0" codePage="65001" sourceFile="\\wnspwfis05\ERM\AlgoDailyBatch\CSA-MtM\Position\tr_holding_exchange_2019010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tr_holding_exchange_201901023" type="6" refreshedVersion="4" background="1" saveData="1">
    <textPr prompt="0" codePage="65001" sourceFile="\\wnspwfis05\ERM\AlgoDailyBatch\CSA-MtM\Position\tr_holding_exchange_2019010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tr_holding_exchange_20190103" type="6" refreshedVersion="4" background="1" saveData="1">
    <textPr prompt="0" codePage="65001" sourceFile="\\wnspwfis05\ERM\AlgoDailyBatch\CSA-MtM\Position\tr_holding_exchange_2019010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tr_holding_exchange_20190107" type="6" refreshedVersion="4" background="1" saveData="1">
    <textPr prompt="0" codePage="65001" sourceFile="\\wnspwfis05\ERM\AlgoDailyBatch\CSA-MtM\Position\tr_holding_exchange_2019010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tr_holding_exchange_20190108" type="6" refreshedVersion="4" background="1" saveData="1">
    <textPr prompt="0" codePage="65001" sourceFile="\\wnspwfis05\ERM\AlgoDailyBatch\CSA-MtM\Position\tr_holding_exchange_2019010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tr_holding_exchange_201901081" type="6" refreshedVersion="4" background="1" saveData="1">
    <textPr prompt="0" codePage="65001" sourceFile="\\wnspwfis05\ERM\AlgoDailyBatch\CSA-MtM\Position\tr_holding_exchange_2019010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tr_holding_exchange_20190109" type="6" refreshedVersion="4" background="1" saveData="1">
    <textPr prompt="0" codePage="65001" sourceFile="\\wnspwfis05\ERM\AlgoDailyBatch\CSA-MtM\Position\tr_holding_exchange_2019010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tr_holding_exchange_20190110" type="6" refreshedVersion="4" background="1" saveData="1">
    <textPr prompt="0" codePage="65001" sourceFile="\\wnspwfis05\ERM\AlgoDailyBatch\CSA-MtM\Position\tr_holding_exchange_2019011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tr_holding_exchange_201901101" type="6" refreshedVersion="4" background="1" saveData="1">
    <textPr prompt="0" codePage="65001" sourceFile="\\wnspwfis05\ERM\AlgoDailyBatch\CSA-MtM\Position\tr_holding_exchange_2019011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tr_holding_exchange_20190111" type="6" refreshedVersion="4" background="1" saveData="1">
    <textPr prompt="0" codePage="65001" sourceFile="\\wnspwfis05\ERM\AlgoDailyBatch\CSA-MtM\Position\tr_holding_exchange_2019011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tr_holding_exchange_201901111" type="6" refreshedVersion="4" background="1" saveData="1">
    <textPr prompt="0" codePage="65001" sourceFile="\\wnspwfis05\ERM\AlgoDailyBatch\CSA-MtM\Position\tr_holding_exchange_2019011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tr_holding_exchange_20190114" type="6" refreshedVersion="4" background="1" saveData="1">
    <textPr prompt="0" codePage="65001" sourceFile="\\wnspwfis05\ERM\AlgoDailyBatch\CSA-MtM\Position\tr_holding_exchange_2019011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r_holding_exchange_20190115" type="6" refreshedVersion="4" background="1" saveData="1">
    <textPr prompt="0" codePage="65001" sourceFile="\\wnspwfis05\ERM\AlgoDailyBatch\CSA-MtM\Position\tr_holding_exchange_2019011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tr_holding_exchange_20190116" type="6" refreshedVersion="4" background="1" saveData="1">
    <textPr prompt="0" codePage="65001" sourceFile="\\wnspwfis05\ERM\AlgoDailyBatch\CSA-MtM\Position\tr_holding_exchange_2019011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tr_holding_exchange_20190118" type="6" refreshedVersion="4" background="1" saveData="1">
    <textPr prompt="0" codePage="65001" sourceFile="\\wnspwfis05\ERM\AlgoDailyBatch\CSA-MtM\Position\tr_holding_exchange_201901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tr_holding_exchange_20190121" type="6" refreshedVersion="4" background="1" saveData="1">
    <textPr prompt="0" codePage="65001" sourceFile="\\wnspwfis05\ERM\AlgoDailyBatch\CSA-MtM\Position\tr_holding_exchange_201901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tr_holding_exchange_20190122" type="6" refreshedVersion="4" background="1" saveData="1">
    <textPr prompt="0" codePage="65001" sourceFile="\\wnspwfis05\ERM\AlgoDailyBatch\CSA-MtM\Position\tr_holding_exchange_201901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tr_holding_exchange_20190123" type="6" refreshedVersion="4" background="1" saveData="1">
    <textPr prompt="0" codePage="65001" sourceFile="\\wnspwfis05\ERM\AlgoDailyBatch\CSA-MtM\Position\tr_holding_exchange_2019012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tr_holding_exchange_201901231" type="6" refreshedVersion="4" background="1" saveData="1">
    <textPr prompt="0" codePage="65001" sourceFile="\\wnspwfis05\ERM\AlgoDailyBatch\CSA-MtM\Position\tr_holding_exchange_2019012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tr_holding_exchange_20190124" type="6" refreshedVersion="4" background="1" saveData="1">
    <textPr prompt="0" codePage="65001" sourceFile="\\wnspwfis05\ERM\AlgoDailyBatch\CSA-MtM\Position\tr_holding_exchange_2019012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tr_holding_exchange_20190129" type="6" refreshedVersion="4" background="1" saveData="1">
    <textPr prompt="0" codePage="65001" sourceFile="\\wnspwfis05\ERM\AlgoDailyBatch\CSA-MtM\Position\tr_holding_exchange_2019012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tr_holding_exchange_20190131" type="6" refreshedVersion="4" background="1" saveData="1">
    <textPr prompt="0" codePage="65001" sourceFile="\\wnspwfis05\ERM\AlgoDailyBatch\CSA-MtM\Position\tr_holding_exchange_2019013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tr_holding_exchange_201901311" type="6" refreshedVersion="4" background="1" saveData="1">
    <textPr prompt="0" codePage="65001" sourceFile="\\wnspwfis05\ERM\AlgoDailyBatch\CSA-MtM\Position\tr_holding_exchange_2019013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tr_holding_exchange_20190215" type="6" refreshedVersion="4" background="1" saveData="1">
    <textPr prompt="0" codePage="65001" sourceFile="\\wnspwfis05\ERM\AlgoDailyBatch\CSA-MtM\Position\tr_holding_exchange_2019021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tr_holding_exchange_20190218" type="6" refreshedVersion="4" background="1" saveData="1">
    <textPr prompt="0" codePage="65001" sourceFile="\\wnspwfis05\ERM\AlgoDailyBatch\CSA-MtM\Position\tr_holding_exchange_201902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tr_holding_exchange_201902181" type="6" refreshedVersion="4" background="1" saveData="1">
    <textPr prompt="0" codePage="65001" sourceFile="\\wnspwfis05\ERM\AlgoDailyBatch\CSA-MtM\Position\tr_holding_exchange_201902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tr_holding_exchange_20190219" type="6" refreshedVersion="4" background="1" saveData="1">
    <textPr prompt="0" codePage="65001" sourceFile="\\wnspwfis05\ERM\AlgoDailyBatch\CSA-MtM\Position\tr_holding_exchange_2019021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tr_holding_exchange_20190220" type="6" refreshedVersion="4" background="1" saveData="1">
    <textPr prompt="0" codePage="65001" sourceFile="\\wnspwfis05\ERM\AlgoDailyBatch\CSA-MtM\Position\tr_holding_exchange_2019022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tr_holding_exchange_201902201" type="6" refreshedVersion="4" background="1" saveData="1">
    <textPr prompt="0" codePage="65001" sourceFile="\\wnspwfis05\ERM\AlgoDailyBatch\CSA-MtM\Position\tr_holding_exchange_20190220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tr_holding_exchange_20190221" type="6" refreshedVersion="4" background="1" saveData="1">
    <textPr prompt="0" codePage="65001" sourceFile="\\wnspwfis05\ERM\AlgoDailyBatch\CSA-MtM\Position\tr_holding_exchange_201902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tr_holding_exchange_20190222" type="6" refreshedVersion="4" background="1" saveData="1">
    <textPr prompt="0" codePage="65001" sourceFile="\\wnspwfis05\ERM\AlgoDailyBatch\CSA-MtM\Position\tr_holding_exchange_2019022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tr_holding_exchange_20190225" type="6" refreshedVersion="4" background="1" saveData="1">
    <textPr prompt="0" codePage="65001" sourceFile="\\wnspwfis05\ERM\AlgoDailyBatch\CSA-MtM\Position\tr_holding_exchange_2019022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tr_holding_exchange_20190226" type="6" refreshedVersion="4" background="1" saveData="1">
    <textPr prompt="0" codePage="65001" sourceFile="\\wnspwfis05\ERM\AlgoDailyBatch\CSA-MtM\Position\tr_holding_exchange_20190226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tr_holding_exchange_20190304" type="6" refreshedVersion="4" background="1" saveData="1">
    <textPr prompt="0" codePage="65001" sourceFile="\\wnspwfis05\ERM\AlgoDailyBatch\CSA-MtM\Position\tr_holding_exchange_2019030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tr_holding_exchange_20190305" type="6" refreshedVersion="4" background="1" saveData="1">
    <textPr prompt="0" codePage="65001" sourceFile="\\wnspwfis05\ERM\AlgoDailyBatch\CSA-MtM\Position\tr_holding_exchange_20190305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tr_holding_exchange_20190308" type="6" refreshedVersion="4" background="1" saveData="1">
    <textPr prompt="0" codePage="65001" sourceFile="\\wnspwfis05\ERM\AlgoDailyBatch\CSA-MtM\Position\tr_holding_exchange_2019030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tr_holding_exchange_20190311" type="6" refreshedVersion="4" background="1" saveData="1">
    <textPr prompt="0" codePage="65001" sourceFile="\\wnspwfis05\ERM\AlgoDailyBatch\CSA-MtM\Position\tr_holding_exchange_2019031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tr_holding_exchange_20190312" type="6" refreshedVersion="4" background="1" saveData="1">
    <textPr prompt="0" codePage="65001" sourceFile="\\wnspwfis05\ERM\AlgoDailyBatch\CSA-MtM\Position\tr_holding_exchange_20190312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tr_holding_exchange_20190313" type="6" refreshedVersion="4" background="1" saveData="1">
    <textPr prompt="0" codePage="65001" sourceFile="\\wnspwfis05\ERM\AlgoDailyBatch\CSA-MtM\Position\tr_holding_exchange_20190313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tr_holding_exchange_20190314" type="6" refreshedVersion="4" background="1" saveData="1">
    <textPr prompt="0" codePage="65001" sourceFile="\\wnspwfis05\ERM\AlgoDailyBatch\CSA-MtM\Position\tr_holding_exchange_20190314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tr_holding_exchange_20190318" type="6" refreshedVersion="4" background="1" saveData="1">
    <textPr prompt="0" codePage="65001" sourceFile="\\wnspwfis05\ERM\AlgoDailyBatch\CSA-MtM\Position\tr_holding_exchange_20190318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tr_holding_exchange_20190319" type="6" refreshedVersion="4" background="1" saveData="1">
    <textPr prompt="0" codePage="65001" sourceFile="\\wnspwfis05\ERM\AlgoDailyBatch\CSA-MtM\Position\tr_holding_exchange_20190319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tr_holding_exchange_20190321" type="6" refreshedVersion="4" background="1" saveData="1">
    <textPr prompt="0" codePage="65001" sourceFile="\\wnspwfis05\ERM\AlgoDailyBatch\CSA-MtM\Position\tr_holding_exchange_20190321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tr_holding_exchange_20190327" type="6" refreshedVersion="4" background="1" saveData="1">
    <textPr prompt="0" codePage="65001" sourceFile="\\wnspwfis05\ERM\AlgoDailyBatch\CSA-MtM\Position\tr_holding_exchange_201903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tr_holding_exchange_201903271" type="6" refreshedVersion="4" background="1" saveData="1">
    <textPr prompt="0" codePage="65001" sourceFile="\\wnspwfis05\ERM\AlgoDailyBatch\CSA-MtM\Position\tr_holding_exchange_20190327.csv" delimiter="|">
      <textFields count="4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<sst xmlns="http://schemas.openxmlformats.org/spreadsheetml/2006/main" count="3620" uniqueCount="623">
  <si>
    <t>TWD</t>
  </si>
  <si>
    <t>HKD</t>
  </si>
  <si>
    <t>JPY</t>
  </si>
  <si>
    <t>CNH</t>
  </si>
  <si>
    <t>USD</t>
  </si>
  <si>
    <t>EUR</t>
  </si>
  <si>
    <t>AUD</t>
  </si>
  <si>
    <t>CAD</t>
  </si>
  <si>
    <t>SEK</t>
  </si>
  <si>
    <t>IDR</t>
  </si>
  <si>
    <t>MXN</t>
  </si>
  <si>
    <t>MYR</t>
  </si>
  <si>
    <t>CHF</t>
  </si>
  <si>
    <t>NOK</t>
  </si>
  <si>
    <t>TRY</t>
  </si>
  <si>
    <t>GBP</t>
  </si>
  <si>
    <t>SGD</t>
  </si>
  <si>
    <t>KRW</t>
  </si>
  <si>
    <t>RUB</t>
  </si>
  <si>
    <t>NZD</t>
  </si>
  <si>
    <t>TWDSW=</t>
  </si>
  <si>
    <t>TWD1M=</t>
  </si>
  <si>
    <t>TWD2M=</t>
  </si>
  <si>
    <t>TWD3M=</t>
  </si>
  <si>
    <t>TWD6M=</t>
  </si>
  <si>
    <t>TWD9M=</t>
  </si>
  <si>
    <t>TWD1Y=</t>
  </si>
  <si>
    <t>TWDSWNDF=</t>
  </si>
  <si>
    <t>TWD1MNDF=</t>
  </si>
  <si>
    <t>TWD2MNDF=</t>
  </si>
  <si>
    <t>TWD3MNDF=</t>
  </si>
  <si>
    <t>TWD6MNDF=</t>
  </si>
  <si>
    <t>TWD9MNDF=</t>
  </si>
  <si>
    <t>TWD1YNDF=</t>
  </si>
  <si>
    <t>AUDSW=</t>
  </si>
  <si>
    <t>AUD1M=</t>
  </si>
  <si>
    <t>AUD2M=</t>
  </si>
  <si>
    <t>AUD3M=</t>
  </si>
  <si>
    <t>AUD6M=</t>
  </si>
  <si>
    <t>AUD9M=</t>
  </si>
  <si>
    <t>AUD1Y=</t>
  </si>
  <si>
    <t>CADSW=</t>
  </si>
  <si>
    <t>CAD1M=</t>
  </si>
  <si>
    <t>CAD2M=</t>
  </si>
  <si>
    <t>CAD3M=</t>
  </si>
  <si>
    <t>CAD6M=</t>
  </si>
  <si>
    <t>CAD9M=</t>
  </si>
  <si>
    <t>CAD1Y=</t>
  </si>
  <si>
    <t>CHFSW=</t>
  </si>
  <si>
    <t>CHF1M=</t>
  </si>
  <si>
    <t>CHF2M=</t>
  </si>
  <si>
    <t>CHF3M=</t>
  </si>
  <si>
    <t>CHF6M=</t>
  </si>
  <si>
    <t>CHF9M=</t>
  </si>
  <si>
    <t>CHF1Y=</t>
  </si>
  <si>
    <t>CNHSW=</t>
  </si>
  <si>
    <t>CNH1M=</t>
  </si>
  <si>
    <t>CNH3M=</t>
  </si>
  <si>
    <t>CNH6M=</t>
  </si>
  <si>
    <t>CNH9M=</t>
  </si>
  <si>
    <t>CNH1Y=</t>
  </si>
  <si>
    <t>CNYSW=</t>
  </si>
  <si>
    <t>CNY1M=</t>
  </si>
  <si>
    <t>CNY3M=</t>
  </si>
  <si>
    <t>CNY6M=</t>
  </si>
  <si>
    <t>CNY9M=</t>
  </si>
  <si>
    <t>CNY1Y=</t>
  </si>
  <si>
    <t>EURSW=</t>
  </si>
  <si>
    <t>EUR1M=</t>
  </si>
  <si>
    <t>EUR2M=</t>
  </si>
  <si>
    <t>EUR3M=</t>
  </si>
  <si>
    <t>EUR6M=</t>
  </si>
  <si>
    <t>EUR9M=</t>
  </si>
  <si>
    <t>EUR1Y=</t>
  </si>
  <si>
    <t>GBPSW=</t>
  </si>
  <si>
    <t>GBP1M=</t>
  </si>
  <si>
    <t>GBP2M=</t>
  </si>
  <si>
    <t>GBP3M=</t>
  </si>
  <si>
    <t>GBP6M=</t>
  </si>
  <si>
    <t>GBP9M=</t>
  </si>
  <si>
    <t>GBP1Y=</t>
  </si>
  <si>
    <t>JPYSW=</t>
  </si>
  <si>
    <t>JPY1M=</t>
  </si>
  <si>
    <t>JPY2M=</t>
  </si>
  <si>
    <t>JPY3M=</t>
  </si>
  <si>
    <t>JPY6M=</t>
  </si>
  <si>
    <t>JPY9M=</t>
  </si>
  <si>
    <t>JPY1Y=</t>
  </si>
  <si>
    <t>MYRSW=</t>
  </si>
  <si>
    <t>MYR1M=</t>
  </si>
  <si>
    <t>MYR3M=</t>
  </si>
  <si>
    <t>MYR6M=</t>
  </si>
  <si>
    <t>MYR9M=</t>
  </si>
  <si>
    <t>MYR1Y=</t>
  </si>
  <si>
    <t>NOKSW=</t>
  </si>
  <si>
    <t>NOK1M=</t>
  </si>
  <si>
    <t>NOK2M=</t>
  </si>
  <si>
    <t>NOK3M=</t>
  </si>
  <si>
    <t>NOK6M=</t>
  </si>
  <si>
    <t>NOK9M=</t>
  </si>
  <si>
    <t>NOK1Y=</t>
  </si>
  <si>
    <t>NZDSW=</t>
  </si>
  <si>
    <t>NZD1M=</t>
  </si>
  <si>
    <t>NZD2M=</t>
  </si>
  <si>
    <t>NZD3M=</t>
  </si>
  <si>
    <t>NZD6M=</t>
  </si>
  <si>
    <t>NZD9M=</t>
  </si>
  <si>
    <t>NZD1Y=</t>
  </si>
  <si>
    <t>RUBSW=</t>
  </si>
  <si>
    <t>RUB1M=</t>
  </si>
  <si>
    <t>RUB3M=</t>
  </si>
  <si>
    <t>RUB6M=</t>
  </si>
  <si>
    <t>RUB9M=</t>
  </si>
  <si>
    <t>RUB1Y=</t>
  </si>
  <si>
    <t>SEKSW=</t>
  </si>
  <si>
    <t>SEK1M=</t>
  </si>
  <si>
    <t>SEK2M=</t>
  </si>
  <si>
    <t>SEK3M=</t>
  </si>
  <si>
    <t>SEK6M=</t>
  </si>
  <si>
    <t>SEK9M=</t>
  </si>
  <si>
    <t>SEK1Y=</t>
  </si>
  <si>
    <t>SGDSW=</t>
  </si>
  <si>
    <t>SGD1M=</t>
  </si>
  <si>
    <t>SGD2M=</t>
  </si>
  <si>
    <t>SGD3M=</t>
  </si>
  <si>
    <t>SGD6M=</t>
  </si>
  <si>
    <t>SGD9M=</t>
  </si>
  <si>
    <t>SGD1Y=</t>
  </si>
  <si>
    <t>ZARSW=</t>
  </si>
  <si>
    <t>ZAR1M=</t>
  </si>
  <si>
    <t>ZAR3M=</t>
  </si>
  <si>
    <t>ZAR6M=</t>
  </si>
  <si>
    <t>ZAR9M=</t>
  </si>
  <si>
    <t>ZAR1Y=</t>
  </si>
  <si>
    <t>KRWSW=</t>
  </si>
  <si>
    <t>KRW1M=</t>
  </si>
  <si>
    <t>KRW2M=</t>
  </si>
  <si>
    <t>KRW3M=</t>
  </si>
  <si>
    <t>KRW6M=</t>
  </si>
  <si>
    <t>KRW1Y=</t>
  </si>
  <si>
    <t>MYR2M=</t>
  </si>
  <si>
    <t>PHPSW=</t>
  </si>
  <si>
    <t>PHP1M=</t>
  </si>
  <si>
    <t>PHP2M=</t>
  </si>
  <si>
    <t>PHP3M=</t>
  </si>
  <si>
    <t>PHP6M=</t>
  </si>
  <si>
    <t>PHP9M=</t>
  </si>
  <si>
    <t>PHP1Y=</t>
  </si>
  <si>
    <t>RUB2M=</t>
  </si>
  <si>
    <t>HKDSW=</t>
  </si>
  <si>
    <t>HKD1M=</t>
  </si>
  <si>
    <t>HKD2M=</t>
  </si>
  <si>
    <t>HKD3M=</t>
  </si>
  <si>
    <t>HKD6M=</t>
  </si>
  <si>
    <t>HKD9M=</t>
  </si>
  <si>
    <t>HKD1Y=</t>
  </si>
  <si>
    <t>Maturity Date</t>
  </si>
  <si>
    <t>Current</t>
  </si>
  <si>
    <t>KRW9M=</t>
    <phoneticPr fontId="23" type="noConversion"/>
  </si>
  <si>
    <t>MYR2M=</t>
    <phoneticPr fontId="23" type="noConversion"/>
  </si>
  <si>
    <t>ZAR</t>
  </si>
  <si>
    <t>ZAR2M=</t>
    <phoneticPr fontId="23" type="noConversion"/>
  </si>
  <si>
    <t>RUB2M=</t>
    <phoneticPr fontId="23" type="noConversion"/>
  </si>
  <si>
    <t>CNH</t>
    <phoneticPr fontId="1" type="noConversion"/>
  </si>
  <si>
    <t>CNHSW=</t>
    <phoneticPr fontId="1" type="noConversion"/>
  </si>
  <si>
    <t>CNH1M=</t>
    <phoneticPr fontId="1" type="noConversion"/>
  </si>
  <si>
    <t>CNH2M=</t>
  </si>
  <si>
    <t>CNH1Y=</t>
    <phoneticPr fontId="1" type="noConversion"/>
  </si>
  <si>
    <t>NOK</t>
    <phoneticPr fontId="1" type="noConversion"/>
  </si>
  <si>
    <t>actual/365</t>
  </si>
  <si>
    <t>PHP</t>
  </si>
  <si>
    <t>USD-Swap_Curve</t>
  </si>
  <si>
    <t>INR</t>
  </si>
  <si>
    <t>TRYSW=</t>
  </si>
  <si>
    <t>TRY1M=</t>
  </si>
  <si>
    <t>TRY2M=</t>
  </si>
  <si>
    <t>TRY3M=</t>
  </si>
  <si>
    <t>TRY6M=</t>
  </si>
  <si>
    <t>TRY9M=</t>
  </si>
  <si>
    <t>TRY1Y=</t>
  </si>
  <si>
    <t>MXNSW=</t>
  </si>
  <si>
    <t>MXN1M=</t>
  </si>
  <si>
    <t>MXN2M=</t>
  </si>
  <si>
    <t>MXN3M=</t>
  </si>
  <si>
    <t>MXN6M=</t>
  </si>
  <si>
    <t>MXN9M=</t>
  </si>
  <si>
    <t>MXN1Y=</t>
  </si>
  <si>
    <t>INRSWNDF=</t>
  </si>
  <si>
    <t>INR1MNDF=</t>
  </si>
  <si>
    <t>INR2MNDF=</t>
  </si>
  <si>
    <t>INR3MNDF=</t>
  </si>
  <si>
    <t>INR6MNDF=</t>
  </si>
  <si>
    <t>INR9MNDF=</t>
  </si>
  <si>
    <t>INR1YNDF=</t>
  </si>
  <si>
    <t>IDRSWNDF=</t>
  </si>
  <si>
    <t>IDR1MNDF=</t>
  </si>
  <si>
    <t>IDR2MNDF=</t>
  </si>
  <si>
    <t>IDR3MNDF=</t>
  </si>
  <si>
    <t>IDR6MNDF=</t>
  </si>
  <si>
    <t>IDR9MNDF=</t>
  </si>
  <si>
    <t>IDR1YNDF=</t>
  </si>
  <si>
    <t>USDAM3L2Y=RR</t>
  </si>
  <si>
    <t>USD3L6L1Y=TTKL</t>
  </si>
  <si>
    <t>USD3L6L2Y=TTKL</t>
  </si>
  <si>
    <t>ISIN</t>
    <phoneticPr fontId="1" type="noConversion"/>
  </si>
  <si>
    <t>End Date</t>
    <phoneticPr fontId="1" type="noConversion"/>
  </si>
  <si>
    <t>Buy Cury</t>
    <phoneticPr fontId="1" type="noConversion"/>
  </si>
  <si>
    <t>Strike</t>
    <phoneticPr fontId="1" type="noConversion"/>
  </si>
  <si>
    <t>Type</t>
    <phoneticPr fontId="1" type="noConversion"/>
  </si>
  <si>
    <t>Strategy</t>
    <phoneticPr fontId="1" type="noConversion"/>
  </si>
  <si>
    <t>DaysToEnd</t>
    <phoneticPr fontId="1" type="noConversion"/>
  </si>
  <si>
    <t>SEK</t>
    <phoneticPr fontId="1" type="noConversion"/>
  </si>
  <si>
    <t>INR</t>
    <phoneticPr fontId="1" type="noConversion"/>
  </si>
  <si>
    <t>IDR</t>
    <phoneticPr fontId="1" type="noConversion"/>
  </si>
  <si>
    <t>PHP</t>
    <phoneticPr fontId="1" type="noConversion"/>
  </si>
  <si>
    <t>TRY</t>
    <phoneticPr fontId="1" type="noConversion"/>
  </si>
  <si>
    <t>Timer(Sec)</t>
    <phoneticPr fontId="1" type="noConversion"/>
  </si>
  <si>
    <t>Notioanl-Net</t>
    <phoneticPr fontId="1" type="noConversion"/>
  </si>
  <si>
    <t>Swap Point</t>
    <phoneticPr fontId="1" type="noConversion"/>
  </si>
  <si>
    <t>TWD</t>
    <phoneticPr fontId="1" type="noConversion"/>
  </si>
  <si>
    <t>MXN</t>
    <phoneticPr fontId="1" type="noConversion"/>
  </si>
  <si>
    <t>THEO/Price</t>
    <phoneticPr fontId="1" type="noConversion"/>
  </si>
  <si>
    <t>Base USD</t>
    <phoneticPr fontId="1" type="noConversion"/>
  </si>
  <si>
    <t>Market Data</t>
    <phoneticPr fontId="1" type="noConversion"/>
  </si>
  <si>
    <t>RowNum</t>
    <phoneticPr fontId="1" type="noConversion"/>
  </si>
  <si>
    <t>DayCount</t>
    <phoneticPr fontId="1" type="noConversion"/>
  </si>
  <si>
    <t>THEO/Value</t>
    <phoneticPr fontId="1" type="noConversion"/>
  </si>
  <si>
    <t>Base Local</t>
    <phoneticPr fontId="1" type="noConversion"/>
  </si>
  <si>
    <t>Counterparty</t>
    <phoneticPr fontId="1" type="noConversion"/>
  </si>
  <si>
    <t>USDAM3L1Y=RR</t>
    <phoneticPr fontId="1" type="noConversion"/>
  </si>
  <si>
    <t>DATE</t>
    <phoneticPr fontId="1" type="noConversion"/>
  </si>
  <si>
    <t>Implied Curve</t>
    <phoneticPr fontId="1" type="noConversion"/>
  </si>
  <si>
    <t>Market Data</t>
    <phoneticPr fontId="1" type="noConversion"/>
  </si>
  <si>
    <t>Position</t>
    <phoneticPr fontId="1" type="noConversion"/>
  </si>
  <si>
    <t>Trade Date</t>
    <phoneticPr fontId="1" type="noConversion"/>
  </si>
  <si>
    <t>Eff Date</t>
    <phoneticPr fontId="1" type="noConversion"/>
  </si>
  <si>
    <t>Counterparty</t>
  </si>
  <si>
    <t>ERM_Name</t>
  </si>
  <si>
    <t>Fixed_Coupon</t>
  </si>
  <si>
    <t>Floating_Formula</t>
  </si>
  <si>
    <t>Floating_DAYC</t>
  </si>
  <si>
    <t>Fixed_DAYC</t>
  </si>
  <si>
    <t>Fixed_Cury</t>
  </si>
  <si>
    <t>Floating_Cury</t>
  </si>
  <si>
    <t>Fixed_Pay</t>
  </si>
  <si>
    <t>Floating_Pay</t>
  </si>
  <si>
    <t>Fixed_DF</t>
  </si>
  <si>
    <t>Floating_DF</t>
  </si>
  <si>
    <t>Effective Date</t>
  </si>
  <si>
    <t>Fixed_Notional</t>
  </si>
  <si>
    <t>Floating_Notional</t>
  </si>
  <si>
    <t>TermToExchange</t>
  </si>
  <si>
    <t>actual/360</t>
  </si>
  <si>
    <t>6M</t>
  </si>
  <si>
    <t>DATE</t>
    <phoneticPr fontId="1" type="noConversion"/>
  </si>
  <si>
    <t>MtM-USD-ERM</t>
    <phoneticPr fontId="1" type="noConversion"/>
  </si>
  <si>
    <t>MtM-TWD-ERM</t>
    <phoneticPr fontId="1" type="noConversion"/>
  </si>
  <si>
    <t>Buy Amt</t>
    <phoneticPr fontId="1" type="noConversion"/>
  </si>
  <si>
    <t>Sell Cury</t>
    <phoneticPr fontId="1" type="noConversion"/>
  </si>
  <si>
    <t>Sell Amt</t>
    <phoneticPr fontId="1" type="noConversion"/>
  </si>
  <si>
    <t>年化Implied Rate=((1+Swap point/匯價)*(1+Libor Rate*Libor天數/360)-1)*Local Currency全年天數/Libor天數</t>
  </si>
  <si>
    <t>年化Implied Rate=((匯價/(Swap point+匯價))*(1+Libor Rate*Libor天數/360)-1)*Local Currency全年天數/Libor天數</t>
    <phoneticPr fontId="1" type="noConversion"/>
  </si>
  <si>
    <t>Base TWD</t>
    <phoneticPr fontId="1" type="noConversion"/>
  </si>
  <si>
    <t>PENSWNDF=</t>
  </si>
  <si>
    <t>PEN1MNDF=</t>
  </si>
  <si>
    <t>PEN2MNDF=</t>
  </si>
  <si>
    <t>PEN3MNDF=</t>
  </si>
  <si>
    <t>PEN6MNDF=</t>
  </si>
  <si>
    <t>PEN9MNDF=</t>
  </si>
  <si>
    <t>PEN1YNDF=</t>
  </si>
  <si>
    <t>PEN</t>
    <phoneticPr fontId="1" type="noConversion"/>
  </si>
  <si>
    <t>BRL</t>
    <phoneticPr fontId="1" type="noConversion"/>
  </si>
  <si>
    <t>BRLSWNDF=</t>
  </si>
  <si>
    <t>BRL1MNDF=</t>
  </si>
  <si>
    <t>BRL2MNDF=</t>
  </si>
  <si>
    <t>BRL3MNDF=</t>
  </si>
  <si>
    <t>BRL6MNDF=</t>
  </si>
  <si>
    <t>BRL9MNDF=</t>
  </si>
  <si>
    <t>BRL1YNDF=</t>
  </si>
  <si>
    <t>BRL</t>
    <phoneticPr fontId="1" type="noConversion"/>
  </si>
  <si>
    <t>COP</t>
    <phoneticPr fontId="1" type="noConversion"/>
  </si>
  <si>
    <t>COPSWNDF=</t>
  </si>
  <si>
    <t>COP1MNDF=</t>
  </si>
  <si>
    <t>COP2MNDF=</t>
  </si>
  <si>
    <t>COP3MNDF=</t>
  </si>
  <si>
    <t>COP6MNDF=</t>
  </si>
  <si>
    <t>COP9MNDF=</t>
  </si>
  <si>
    <t>COP1YNDF=</t>
  </si>
  <si>
    <t>CLPSWNDF=</t>
  </si>
  <si>
    <t>CLP1MNDF=</t>
  </si>
  <si>
    <t>CLP2MNDF=</t>
  </si>
  <si>
    <t>CLP3MNDF=</t>
  </si>
  <si>
    <t>CLP6MNDF=</t>
  </si>
  <si>
    <t>CLP9MNDF=</t>
  </si>
  <si>
    <t>CLP1YNDF=</t>
  </si>
  <si>
    <t>CLP</t>
  </si>
  <si>
    <t>CLP</t>
    <phoneticPr fontId="1" type="noConversion"/>
  </si>
  <si>
    <t>RIC</t>
  </si>
  <si>
    <t>Tenor</t>
  </si>
  <si>
    <t>Maturity</t>
  </si>
  <si>
    <t>BID</t>
  </si>
  <si>
    <t>ASK</t>
  </si>
  <si>
    <t>SW</t>
  </si>
  <si>
    <t>1M</t>
  </si>
  <si>
    <t>2M</t>
  </si>
  <si>
    <t>3M</t>
  </si>
  <si>
    <t>9M</t>
  </si>
  <si>
    <t>1Y</t>
  </si>
  <si>
    <t>2Y</t>
  </si>
  <si>
    <t>3Y</t>
  </si>
  <si>
    <t>4Y</t>
  </si>
  <si>
    <t>5Y</t>
  </si>
  <si>
    <t>1W</t>
  </si>
  <si>
    <t>7Y</t>
  </si>
  <si>
    <t>10Y</t>
  </si>
  <si>
    <t>CNY</t>
  </si>
  <si>
    <t>CNY2M=</t>
  </si>
  <si>
    <t>TWD=TP</t>
  </si>
  <si>
    <t>ZAR2M=</t>
  </si>
  <si>
    <t>KRW9M=</t>
  </si>
  <si>
    <t>PEN</t>
  </si>
  <si>
    <t>BRL</t>
  </si>
  <si>
    <t>COP</t>
  </si>
  <si>
    <t>GLOBEUN</t>
  </si>
  <si>
    <t>YIWUOBU</t>
  </si>
  <si>
    <t>HTC</t>
  </si>
  <si>
    <t>TUNGHO</t>
  </si>
  <si>
    <t>Fwd</t>
    <phoneticPr fontId="1" type="noConversion"/>
  </si>
  <si>
    <t>BNPAFRPP</t>
  </si>
  <si>
    <t>FEINTWTP</t>
  </si>
  <si>
    <t>TESTRITE</t>
  </si>
  <si>
    <t>TPBKTWTPFMG</t>
  </si>
  <si>
    <t>USD_Libor_3M</t>
    <phoneticPr fontId="1" type="noConversion"/>
  </si>
  <si>
    <t>TWD_Libor_3M</t>
    <phoneticPr fontId="1" type="noConversion"/>
  </si>
  <si>
    <t>DBSSTWTX</t>
  </si>
  <si>
    <t>TACHEN</t>
  </si>
  <si>
    <t>BNPATWTP</t>
  </si>
  <si>
    <t>UWCBTWTP800</t>
  </si>
  <si>
    <t>TWD_IRS_Curve</t>
    <phoneticPr fontId="1" type="noConversion"/>
  </si>
  <si>
    <t>USD_IRS_Curve</t>
    <phoneticPr fontId="1" type="noConversion"/>
  </si>
  <si>
    <t>3M</t>
    <phoneticPr fontId="1" type="noConversion"/>
  </si>
  <si>
    <t>2W</t>
  </si>
  <si>
    <t>USD3MFSR=</t>
    <phoneticPr fontId="1" type="noConversion"/>
  </si>
  <si>
    <t>TATWD3MD=</t>
    <phoneticPr fontId="1" type="noConversion"/>
  </si>
  <si>
    <t>MID</t>
  </si>
  <si>
    <t>TWDSWO=</t>
  </si>
  <si>
    <t>TWD1MO=</t>
  </si>
  <si>
    <t>TWD2MO=</t>
  </si>
  <si>
    <t>TWD3MO=</t>
  </si>
  <si>
    <t>TWD6MO=</t>
  </si>
  <si>
    <t>TWD9MO=</t>
  </si>
  <si>
    <t>TWD1YO=</t>
  </si>
  <si>
    <t>EURTWDSWO=XR</t>
  </si>
  <si>
    <t>EURTWD1MO=XR</t>
  </si>
  <si>
    <t>EURTWD2MO=XR</t>
  </si>
  <si>
    <t>EURTWD3MO=XR</t>
  </si>
  <si>
    <t>EURTWD4MO=XR</t>
  </si>
  <si>
    <t>4M</t>
  </si>
  <si>
    <t>EURTWD5MO=XR</t>
  </si>
  <si>
    <t>5M</t>
  </si>
  <si>
    <t>EURTWD6MO=XR</t>
  </si>
  <si>
    <t>EURTWD9MO=XR</t>
  </si>
  <si>
    <t>EURTWD1YO=XR</t>
  </si>
  <si>
    <t>Evaluation Date</t>
    <phoneticPr fontId="55" type="noConversion"/>
  </si>
  <si>
    <t>SetEvaluationDate</t>
    <phoneticPr fontId="55" type="noConversion"/>
  </si>
  <si>
    <t>SettingsEvaluationDate</t>
    <phoneticPr fontId="55" type="noConversion"/>
  </si>
  <si>
    <t>Trigger</t>
    <phoneticPr fontId="55" type="noConversion"/>
  </si>
  <si>
    <t>ObjectId</t>
    <phoneticPr fontId="55" type="noConversion"/>
  </si>
  <si>
    <t>FamilyName</t>
    <phoneticPr fontId="55" type="noConversion"/>
  </si>
  <si>
    <t>Tenor</t>
    <phoneticPr fontId="55" type="noConversion"/>
  </si>
  <si>
    <t>FixingDays</t>
    <phoneticPr fontId="55" type="noConversion"/>
  </si>
  <si>
    <t>Currency</t>
    <phoneticPr fontId="55" type="noConversion"/>
  </si>
  <si>
    <t>Calendar</t>
    <phoneticPr fontId="55" type="noConversion"/>
  </si>
  <si>
    <t>BDayConvention</t>
    <phoneticPr fontId="55" type="noConversion"/>
  </si>
  <si>
    <t>EndofMonth</t>
    <phoneticPr fontId="55" type="noConversion"/>
  </si>
  <si>
    <t>DayCounter</t>
    <phoneticPr fontId="55" type="noConversion"/>
  </si>
  <si>
    <t>FwdCurve</t>
    <phoneticPr fontId="55" type="noConversion"/>
  </si>
  <si>
    <t>Permanent</t>
    <phoneticPr fontId="55" type="noConversion"/>
  </si>
  <si>
    <t>Overwrite</t>
    <phoneticPr fontId="55" type="noConversion"/>
  </si>
  <si>
    <t>USD LIBOR Index Obj</t>
    <phoneticPr fontId="56" type="noConversion"/>
  </si>
  <si>
    <t>LIBOR3M</t>
    <phoneticPr fontId="55" type="noConversion"/>
  </si>
  <si>
    <t>3M</t>
    <phoneticPr fontId="55" type="noConversion"/>
  </si>
  <si>
    <t>USD</t>
    <phoneticPr fontId="55" type="noConversion"/>
  </si>
  <si>
    <t>UnitedStates::Settlement</t>
    <phoneticPr fontId="56" type="noConversion"/>
  </si>
  <si>
    <t>MF</t>
    <phoneticPr fontId="55" type="noConversion"/>
  </si>
  <si>
    <t>A/360</t>
    <phoneticPr fontId="55" type="noConversion"/>
  </si>
  <si>
    <t>Days</t>
    <phoneticPr fontId="55" type="noConversion"/>
  </si>
  <si>
    <t>Date</t>
    <phoneticPr fontId="55" type="noConversion"/>
  </si>
  <si>
    <t>zero rate</t>
    <phoneticPr fontId="55" type="noConversion"/>
  </si>
  <si>
    <t>DF</t>
    <phoneticPr fontId="56" type="noConversion"/>
  </si>
  <si>
    <t>Helper Obj</t>
    <phoneticPr fontId="55" type="noConversion"/>
  </si>
  <si>
    <t>QutoeObj</t>
    <phoneticPr fontId="55" type="noConversion"/>
  </si>
  <si>
    <t>ObjectID</t>
    <phoneticPr fontId="55" type="noConversion"/>
  </si>
  <si>
    <t>Quote</t>
    <phoneticPr fontId="55" type="noConversion"/>
  </si>
  <si>
    <t>TickValue</t>
    <phoneticPr fontId="55" type="noConversion"/>
  </si>
  <si>
    <t>EndOfMonth</t>
    <phoneticPr fontId="55" type="noConversion"/>
  </si>
  <si>
    <t>O/N</t>
  </si>
  <si>
    <t>T/N</t>
  </si>
  <si>
    <t>S/N</t>
  </si>
  <si>
    <t>3W</t>
  </si>
  <si>
    <t>6Y</t>
  </si>
  <si>
    <t>8Y</t>
  </si>
  <si>
    <t>9Y</t>
  </si>
  <si>
    <t>12Y</t>
  </si>
  <si>
    <t>15Y</t>
  </si>
  <si>
    <t>20Y</t>
  </si>
  <si>
    <t>25Y</t>
  </si>
  <si>
    <t>30Y</t>
  </si>
  <si>
    <t>qlPiecewiseYieldCurve</t>
    <phoneticPr fontId="56" type="noConversion"/>
  </si>
  <si>
    <t>Ndays</t>
    <phoneticPr fontId="55" type="noConversion"/>
  </si>
  <si>
    <t>RateHelpers</t>
    <phoneticPr fontId="55" type="noConversion"/>
  </si>
  <si>
    <t>Jumps</t>
    <phoneticPr fontId="55" type="noConversion"/>
  </si>
  <si>
    <t>JumpDates</t>
    <phoneticPr fontId="55" type="noConversion"/>
  </si>
  <si>
    <t>Accuracy</t>
    <phoneticPr fontId="55" type="noConversion"/>
  </si>
  <si>
    <t>TraitsID</t>
    <phoneticPr fontId="55" type="noConversion"/>
  </si>
  <si>
    <t>InterpolatiorID</t>
    <phoneticPr fontId="55" type="noConversion"/>
  </si>
  <si>
    <t>qlDepositRateHelper2</t>
    <phoneticPr fontId="55" type="noConversion"/>
  </si>
  <si>
    <t>Rate</t>
    <phoneticPr fontId="55" type="noConversion"/>
  </si>
  <si>
    <t>Convention</t>
    <phoneticPr fontId="55" type="noConversion"/>
  </si>
  <si>
    <t>1D</t>
    <phoneticPr fontId="56" type="noConversion"/>
  </si>
  <si>
    <t>F</t>
    <phoneticPr fontId="56" type="noConversion"/>
  </si>
  <si>
    <t>qlSwapRateHelper2</t>
    <phoneticPr fontId="55" type="noConversion"/>
  </si>
  <si>
    <t>SettlDays</t>
    <phoneticPr fontId="55" type="noConversion"/>
  </si>
  <si>
    <t>FixedLegFrequency</t>
    <phoneticPr fontId="55" type="noConversion"/>
  </si>
  <si>
    <t>FixedLegConvention</t>
    <phoneticPr fontId="55" type="noConversion"/>
  </si>
  <si>
    <t>FixedLegDayCounter</t>
    <phoneticPr fontId="55" type="noConversion"/>
  </si>
  <si>
    <t>IborIndex</t>
    <phoneticPr fontId="55" type="noConversion"/>
  </si>
  <si>
    <t>Spread</t>
    <phoneticPr fontId="55" type="noConversion"/>
  </si>
  <si>
    <t>ForwardStart</t>
    <phoneticPr fontId="55" type="noConversion"/>
  </si>
  <si>
    <t>DiscountingCurve</t>
    <phoneticPr fontId="55" type="noConversion"/>
  </si>
  <si>
    <t>PillarDate</t>
    <phoneticPr fontId="55" type="noConversion"/>
  </si>
  <si>
    <t>CustomPillarDate</t>
    <phoneticPr fontId="55" type="noConversion"/>
  </si>
  <si>
    <t>Annual</t>
    <phoneticPr fontId="56" type="noConversion"/>
  </si>
  <si>
    <t>0D</t>
  </si>
  <si>
    <t>USDZC</t>
  </si>
  <si>
    <t>ZeroYield</t>
  </si>
  <si>
    <t>Linear</t>
  </si>
  <si>
    <t>YieldTSZeroRate</t>
    <phoneticPr fontId="56" type="noConversion"/>
  </si>
  <si>
    <t>Dates</t>
    <phoneticPr fontId="55" type="noConversion"/>
  </si>
  <si>
    <t>ResultDayCounter</t>
    <phoneticPr fontId="55" type="noConversion"/>
  </si>
  <si>
    <t>Compounding</t>
    <phoneticPr fontId="55" type="noConversion"/>
  </si>
  <si>
    <t>Frequency</t>
    <phoneticPr fontId="55" type="noConversion"/>
  </si>
  <si>
    <t>AllowExtrapolation</t>
    <phoneticPr fontId="55" type="noConversion"/>
  </si>
  <si>
    <t>Annual</t>
  </si>
  <si>
    <t>Days</t>
    <phoneticPr fontId="45" type="noConversion"/>
  </si>
  <si>
    <t>Z-Curve</t>
    <phoneticPr fontId="45" type="noConversion"/>
  </si>
  <si>
    <t>LinearInterpolation</t>
  </si>
  <si>
    <t>Error</t>
  </si>
  <si>
    <t>ObjectID</t>
  </si>
  <si>
    <t>InterpolationType</t>
  </si>
  <si>
    <t>XArray</t>
  </si>
  <si>
    <t>YArray</t>
  </si>
  <si>
    <t>Permanent</t>
  </si>
  <si>
    <t>Trigger</t>
  </si>
  <si>
    <t>DF</t>
    <phoneticPr fontId="45" type="noConversion"/>
  </si>
  <si>
    <t>GOLDESTOBU</t>
  </si>
  <si>
    <t>JOINSTOBU</t>
  </si>
  <si>
    <t>NDF</t>
    <phoneticPr fontId="1" type="noConversion"/>
  </si>
  <si>
    <t>CHASHKHH</t>
  </si>
  <si>
    <t>DEUTTWTP</t>
  </si>
  <si>
    <t>CTCBTWTP004</t>
  </si>
  <si>
    <t>SANYES</t>
  </si>
  <si>
    <t>GREATWELL</t>
  </si>
  <si>
    <t>CRLYTWTP</t>
  </si>
  <si>
    <t>UBSWTWTP</t>
  </si>
  <si>
    <t>CDIBTWTP</t>
  </si>
  <si>
    <t>FCBKTWTP</t>
  </si>
  <si>
    <t>FARGLORY</t>
  </si>
  <si>
    <t>DELI</t>
  </si>
  <si>
    <t>MINGHSI</t>
  </si>
  <si>
    <t>LEECHANG</t>
  </si>
  <si>
    <t>ANZBTWTP</t>
  </si>
  <si>
    <t>YILE</t>
  </si>
  <si>
    <t>SCBLGB2LTSY</t>
  </si>
  <si>
    <t>DALUX</t>
  </si>
  <si>
    <t>ESUNTWTP</t>
  </si>
  <si>
    <t>HONTAI</t>
  </si>
  <si>
    <t>SCBLTWTP</t>
  </si>
  <si>
    <t>PRIMAX</t>
  </si>
  <si>
    <t>MBBTTWTP</t>
  </si>
  <si>
    <t>CCBCTWTP</t>
  </si>
  <si>
    <t>LHTECH</t>
  </si>
  <si>
    <t>MERLIFE</t>
  </si>
  <si>
    <t>HSBCTWTP</t>
  </si>
  <si>
    <t>UBSWSGSG</t>
  </si>
  <si>
    <t>CHILISIN</t>
  </si>
  <si>
    <t>CHASTWTX</t>
  </si>
  <si>
    <t>CMC</t>
  </si>
  <si>
    <t>WFBIUS6WFFX</t>
  </si>
  <si>
    <t>HSBCHKHHHKH</t>
  </si>
  <si>
    <t>BKTWTWTP151</t>
  </si>
  <si>
    <t>DBSSSGSG</t>
  </si>
  <si>
    <t>PONYLEATHER</t>
  </si>
  <si>
    <t>Fxswap</t>
    <phoneticPr fontId="1" type="noConversion"/>
  </si>
  <si>
    <t>INR</t>
    <phoneticPr fontId="1" type="noConversion"/>
  </si>
  <si>
    <t>TWD</t>
    <phoneticPr fontId="1" type="noConversion"/>
  </si>
  <si>
    <t>HKCC5540</t>
  </si>
  <si>
    <t>CHASGB2L</t>
  </si>
  <si>
    <t>HKCV0429</t>
  </si>
  <si>
    <t>HKBH0666</t>
  </si>
  <si>
    <t>HKCW1994</t>
  </si>
  <si>
    <t>HKCA0338</t>
  </si>
  <si>
    <t>HKCB2427</t>
  </si>
  <si>
    <t>HKCC2728</t>
  </si>
  <si>
    <t>HKCF1219</t>
  </si>
  <si>
    <t>ANZBAU3M</t>
  </si>
  <si>
    <t>UBSBCHZZ</t>
  </si>
  <si>
    <t>CRLYHKHH</t>
  </si>
  <si>
    <t>HKCM1609</t>
  </si>
  <si>
    <t>MSLNGB2XFXO</t>
  </si>
  <si>
    <t>VGCG2015</t>
  </si>
  <si>
    <t>CNH</t>
    <phoneticPr fontId="1" type="noConversion"/>
  </si>
  <si>
    <t>AUD=</t>
  </si>
  <si>
    <t>CAD=</t>
  </si>
  <si>
    <t>CHF=</t>
  </si>
  <si>
    <t>CNH=</t>
  </si>
  <si>
    <t>CNY=</t>
  </si>
  <si>
    <t>EUR=</t>
  </si>
  <si>
    <t>GBP=</t>
  </si>
  <si>
    <t>JPY=</t>
  </si>
  <si>
    <t>MYR=</t>
  </si>
  <si>
    <t>NOK=</t>
  </si>
  <si>
    <t>NZD=</t>
  </si>
  <si>
    <t>RUB=</t>
  </si>
  <si>
    <t>SEK=</t>
  </si>
  <si>
    <t>SGD=</t>
  </si>
  <si>
    <t>ZAR=</t>
  </si>
  <si>
    <t>KRW=</t>
  </si>
  <si>
    <t>PHP=</t>
  </si>
  <si>
    <t>HKD=</t>
  </si>
  <si>
    <t>TRY=</t>
  </si>
  <si>
    <t>MXN=</t>
  </si>
  <si>
    <t>INR=</t>
  </si>
  <si>
    <t>IDR=</t>
  </si>
  <si>
    <t>PEN=</t>
  </si>
  <si>
    <t>BRL=</t>
  </si>
  <si>
    <t>COP=</t>
  </si>
  <si>
    <t>CLP=</t>
  </si>
  <si>
    <t>THB</t>
  </si>
  <si>
    <t>30/360</t>
    <phoneticPr fontId="56" type="noConversion"/>
  </si>
  <si>
    <t>Continuous</t>
  </si>
  <si>
    <t>USD</t>
    <phoneticPr fontId="56" type="noConversion"/>
  </si>
  <si>
    <t>TWD</t>
    <phoneticPr fontId="56" type="noConversion"/>
  </si>
  <si>
    <t>Error</t>
    <phoneticPr fontId="55" type="noConversion"/>
  </si>
  <si>
    <t>Taiwan::TSEC</t>
  </si>
  <si>
    <t>F</t>
  </si>
  <si>
    <t>A/365F</t>
  </si>
  <si>
    <t>Quarterly</t>
  </si>
  <si>
    <t>TAIBOR</t>
    <phoneticPr fontId="56" type="noConversion"/>
  </si>
  <si>
    <t>CPIndex</t>
  </si>
  <si>
    <t>MF</t>
  </si>
  <si>
    <t>qlPiecewiseYieldCurve</t>
    <phoneticPr fontId="55" type="noConversion"/>
  </si>
  <si>
    <t>ObjectId</t>
  </si>
  <si>
    <t>Ndays</t>
  </si>
  <si>
    <t>Calendar</t>
  </si>
  <si>
    <t>RateHelpers</t>
  </si>
  <si>
    <t>DayCounter</t>
  </si>
  <si>
    <t>Jumps</t>
  </si>
  <si>
    <t>JumpDates</t>
  </si>
  <si>
    <t>Accuracy</t>
  </si>
  <si>
    <t>TraitsID</t>
  </si>
  <si>
    <t>InterpolatiorID</t>
  </si>
  <si>
    <t>Overwrite</t>
  </si>
  <si>
    <t>TWDZC</t>
  </si>
  <si>
    <t>LIBOR</t>
    <phoneticPr fontId="56" type="noConversion"/>
  </si>
  <si>
    <t>YieldCurve</t>
    <phoneticPr fontId="55" type="noConversion"/>
  </si>
  <si>
    <t>TAIBOR3M</t>
  </si>
  <si>
    <t>LIBOR3M</t>
  </si>
  <si>
    <t>DiscountingEng</t>
    <phoneticPr fontId="55" type="noConversion"/>
  </si>
  <si>
    <t>YieldCurve</t>
  </si>
  <si>
    <t>IncludeSettlDate</t>
  </si>
  <si>
    <t>SettlementDate</t>
  </si>
  <si>
    <t>NpvDate</t>
  </si>
  <si>
    <t>Discount Curve</t>
    <phoneticPr fontId="55" type="noConversion"/>
  </si>
  <si>
    <t>RateDates</t>
    <phoneticPr fontId="55" type="noConversion"/>
  </si>
  <si>
    <t>CurveDiscounts</t>
    <phoneticPr fontId="55" type="noConversion"/>
  </si>
  <si>
    <t>TWDIRSDF</t>
  </si>
  <si>
    <t>USDIRSDF</t>
  </si>
  <si>
    <t>A/365</t>
  </si>
  <si>
    <t>30/360</t>
  </si>
  <si>
    <t>TWDDFEng</t>
    <phoneticPr fontId="55" type="noConversion"/>
  </si>
  <si>
    <t>USDDFEng</t>
    <phoneticPr fontId="55" type="noConversion"/>
  </si>
  <si>
    <t>FixedRateLeg</t>
  </si>
  <si>
    <t>PaymentBDC</t>
  </si>
  <si>
    <t>Nominals</t>
  </si>
  <si>
    <t>ScheduleID</t>
  </si>
  <si>
    <t>Coupons</t>
  </si>
  <si>
    <t>FloatingLeg</t>
  </si>
  <si>
    <t>FixingDays</t>
  </si>
  <si>
    <t>IsInArrears</t>
  </si>
  <si>
    <t>Floors</t>
  </si>
  <si>
    <t>Gearings</t>
  </si>
  <si>
    <t>IborIndex</t>
  </si>
  <si>
    <t>Spreads</t>
  </si>
  <si>
    <t>Caps</t>
  </si>
  <si>
    <t>Schedule</t>
  </si>
  <si>
    <t>EffectiveDate</t>
  </si>
  <si>
    <t>TerminationDate</t>
  </si>
  <si>
    <t>Convention</t>
  </si>
  <si>
    <t>TermDateConv</t>
  </si>
  <si>
    <t>GenRule</t>
  </si>
  <si>
    <t>EndOfMonth</t>
  </si>
  <si>
    <t>FirstDate</t>
  </si>
  <si>
    <t>NextToLastDate</t>
  </si>
  <si>
    <t>Forward</t>
  </si>
  <si>
    <t>UnitedStates::Settlement</t>
  </si>
  <si>
    <t>Swap Engine</t>
    <phoneticPr fontId="55" type="noConversion"/>
  </si>
  <si>
    <t>AddFixing</t>
  </si>
  <si>
    <t>NPV</t>
    <phoneticPr fontId="1" type="noConversion"/>
  </si>
  <si>
    <t>SetPricingEngine</t>
    <phoneticPr fontId="1" type="noConversion"/>
  </si>
  <si>
    <t>NB</t>
    <phoneticPr fontId="1" type="noConversion"/>
  </si>
  <si>
    <t>Payer</t>
    <phoneticPr fontId="1" type="noConversion"/>
  </si>
  <si>
    <t>TWD</t>
    <phoneticPr fontId="1" type="noConversion"/>
  </si>
  <si>
    <t>USD</t>
    <phoneticPr fontId="1" type="noConversion"/>
  </si>
  <si>
    <t>LIBOR</t>
    <phoneticPr fontId="56" type="noConversion"/>
  </si>
  <si>
    <t>USD</t>
    <phoneticPr fontId="56" type="noConversion"/>
  </si>
  <si>
    <t>A/360</t>
    <phoneticPr fontId="56" type="noConversion"/>
  </si>
  <si>
    <t>USLIBOR3M</t>
    <phoneticPr fontId="56" type="noConversion"/>
  </si>
  <si>
    <t>MtM-TWD-Quantlib</t>
    <phoneticPr fontId="1" type="noConversion"/>
  </si>
  <si>
    <t>MtM-Org-Quantlib</t>
    <phoneticPr fontId="1" type="noConversion"/>
  </si>
  <si>
    <t>re-calculate</t>
    <phoneticPr fontId="56" type="noConversion"/>
  </si>
  <si>
    <t>28/12/2021</t>
  </si>
  <si>
    <t>Murex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</si>
</sst>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6">
    <numFmt numFmtId="176" formatCode="_(* #,##0.00_);_(* \(#,##0.00\);_(* &quot;-&quot;??_);_(@_)"/>
    <numFmt numFmtId="177" formatCode="_-[$€-2]* #,##0.00_-;\-[$€-2]* #,##0.00_-;_-[$€-2]* &quot;-&quot;??_-"/>
    <numFmt numFmtId="178" formatCode="0.0000_ "/>
    <numFmt numFmtId="179" formatCode="0.0000%"/>
    <numFmt numFmtId="180" formatCode="_-* #,##0_-;\-* #,##0_-;_-* &quot;-&quot;??_-;_-@_-"/>
    <numFmt numFmtId="181" formatCode="0.0000;[Red]0.0000"/>
    <numFmt numFmtId="182" formatCode="0.0000_ ;[Red]\-0.0000\ "/>
    <numFmt numFmtId="183" formatCode="0_ "/>
    <numFmt numFmtId="184" formatCode="0.000%"/>
    <numFmt numFmtId="185" formatCode="0_);[Red]\(0\)"/>
    <numFmt numFmtId="186" formatCode="#,##0_ ;[Red]\-#,##0\ "/>
    <numFmt numFmtId="187" formatCode="0.00000"/>
    <numFmt numFmtId="188" formatCode="0.00000%"/>
    <numFmt numFmtId="189" formatCode="0.000000_);[Red]\(0.000000\)"/>
    <numFmt numFmtId="190" formatCode="0.000_);[Red]\(0.000\)"/>
    <numFmt numFmtId="191" formatCode="0.000;[Red]0.000"/>
    <numFmt numFmtId="192" formatCode="0.000000_ "/>
    <numFmt numFmtId="193" formatCode="0.0000_);[Red]\(0.0000\)"/>
    <numFmt numFmtId="194" formatCode="0.0"/>
    <numFmt numFmtId="195" formatCode="yyyymmdd"/>
    <numFmt numFmtId="196" formatCode="0.00000_);[Red]\(0.00000\)"/>
    <numFmt numFmtId="197" formatCode="0.00000000_);[Red]\(0.00000000\)"/>
    <numFmt numFmtId="198" formatCode="0.00000000_ "/>
    <numFmt numFmtId="199" formatCode="0.0000000_ "/>
    <numFmt numFmtId="200" formatCode="_(* #,##0_);_(* \(#,##0\);_(* &quot;-&quot;??_);_(@_)"/>
    <numFmt numFmtId="201" formatCode="0.000000"/>
  </numFmts>
  <fonts count="66" x14ac:knownFonts="1">
    <font>
      <sz val="12"/>
      <color theme="1"/>
      <name val="Calibri"/>
      <family val="2"/>
      <charset val="136"/>
    </font>
    <font>
      <sz val="9"/>
      <name val="Calibri"/>
      <family val="2"/>
      <charset val="136"/>
    </font>
    <font>
      <sz val="12"/>
      <name val="Verdana"/>
      <family val="2"/>
    </font>
    <font>
      <sz val="10"/>
      <name val="MS Sans Serif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Times New Roman"/>
      <family val="1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theme="1"/>
      <name val="Calibri"/>
      <family val="2"/>
      <charset val="136"/>
    </font>
    <font>
      <sz val="12"/>
      <color theme="0"/>
      <name val="Calibri"/>
      <family val="2"/>
      <charset val="136"/>
    </font>
    <font>
      <sz val="9"/>
      <name val="細明體"/>
      <family val="3"/>
      <charset val="136"/>
    </font>
    <font>
      <sz val="10"/>
      <name val="Verdana"/>
      <family val="2"/>
    </font>
    <font>
      <sz val="10"/>
      <color theme="1"/>
      <name val="Calibri"/>
      <family val="2"/>
      <charset val="136"/>
    </font>
    <font>
      <sz val="12"/>
      <color theme="0"/>
      <name val="Calibri"/>
      <family val="2"/>
    </font>
    <font>
      <b/>
      <sz val="12"/>
      <color theme="1"/>
      <name val="Calibri"/>
      <family val="2"/>
    </font>
    <font>
      <b/>
      <sz val="12"/>
      <color rgb="FF0070C0"/>
      <name val="Calibri"/>
      <family val="2"/>
    </font>
    <font>
      <sz val="9"/>
      <color theme="1"/>
      <name val="Calibri"/>
      <family val="2"/>
      <charset val="136"/>
    </font>
    <font>
      <sz val="9"/>
      <color indexed="9"/>
      <name val="Verdana"/>
      <family val="2"/>
    </font>
    <font>
      <b/>
      <sz val="12"/>
      <color rgb="FF7030A0"/>
      <name val="Calibri"/>
      <family val="2"/>
    </font>
    <font>
      <u/>
      <sz val="12"/>
      <color theme="10"/>
      <name val="Calibri"/>
      <family val="2"/>
      <charset val="136"/>
    </font>
    <font>
      <sz val="8"/>
      <name val="Verdana"/>
      <family val="2"/>
    </font>
    <font>
      <b/>
      <sz val="16"/>
      <color rgb="FF7030A0"/>
      <name val="Calibri"/>
      <family val="2"/>
    </font>
    <font>
      <b/>
      <sz val="14"/>
      <color rgb="FFFF0000"/>
      <name val="Calibri"/>
      <family val="2"/>
    </font>
    <font>
      <u/>
      <sz val="16"/>
      <color theme="10"/>
      <name val="Calibri"/>
      <family val="2"/>
      <charset val="136"/>
    </font>
    <font>
      <sz val="11"/>
      <color theme="1"/>
      <name val="Calibri"/>
      <family val="2"/>
    </font>
    <font>
      <sz val="11"/>
      <color theme="0"/>
      <name val="Calibri"/>
      <family val="2"/>
      <charset val="136"/>
    </font>
    <font>
      <sz val="11"/>
      <color theme="0"/>
      <name val="Calibri"/>
      <family val="2"/>
    </font>
    <font>
      <sz val="11"/>
      <color theme="8" tint="-0.499984740745262"/>
      <name val="Calibri"/>
      <family val="2"/>
      <charset val="136"/>
    </font>
    <font>
      <sz val="11"/>
      <color theme="8" tint="-0.499984740745262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  <charset val="136"/>
    </font>
    <font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b/>
      <sz val="12"/>
      <color theme="6" tint="-0.499984740745262"/>
      <name val="Calibri"/>
      <family val="2"/>
    </font>
    <font>
      <b/>
      <sz val="12"/>
      <color rgb="FFC00000"/>
      <name val="微軟正黑體"/>
      <family val="2"/>
      <charset val="136"/>
    </font>
    <font>
      <b/>
      <sz val="13"/>
      <color rgb="FF002060"/>
      <name val="Calibri"/>
      <family val="2"/>
    </font>
    <font>
      <b/>
      <u/>
      <sz val="11"/>
      <color theme="10"/>
      <name val="Calibri"/>
      <family val="2"/>
    </font>
    <font>
      <sz val="12"/>
      <color theme="0" tint="-0.249977111117893"/>
      <name val="Calibri"/>
      <family val="2"/>
      <charset val="136"/>
    </font>
    <font>
      <b/>
      <sz val="14"/>
      <color rgb="FF7030A0"/>
      <name val="Calibri"/>
      <family val="2"/>
    </font>
    <font>
      <sz val="10"/>
      <color theme="0"/>
      <name val="Calibri"/>
      <family val="2"/>
    </font>
    <font>
      <sz val="12"/>
      <color rgb="FF000000"/>
      <name val="Calibri"/>
      <family val="2"/>
    </font>
    <font>
      <b/>
      <sz val="11"/>
      <color indexed="12"/>
      <name val="Calibri"/>
      <family val="2"/>
    </font>
    <font>
      <sz val="9"/>
      <name val="新細明體"/>
      <family val="1"/>
      <charset val="136"/>
    </font>
    <font>
      <sz val="9"/>
      <name val="新細明體"/>
      <family val="2"/>
      <charset val="136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theme="9" tint="-0.249977111117893"/>
      <name val="Calibri"/>
      <family val="2"/>
    </font>
    <font>
      <sz val="12"/>
      <color theme="1"/>
      <name val="Calibri"/>
      <family val="2"/>
    </font>
    <font>
      <b/>
      <sz val="12"/>
      <color rgb="FFFF0000"/>
      <name val="Calibri"/>
      <family val="2"/>
    </font>
    <font>
      <sz val="11"/>
      <color rgb="FFFF0000"/>
      <name val="Calibri"/>
      <family val="2"/>
      <charset val="136"/>
    </font>
    <font>
      <b/>
      <sz val="12"/>
      <color theme="7" tint="-0.249977111117893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0">
    <xf numFmtId="0" fontId="0" fillId="0" borderId="0">
      <alignment vertical="center"/>
    </xf>
    <xf numFmtId="0" fontId="2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177" fontId="6" fillId="0" borderId="0" applyFont="0" applyFill="0" applyBorder="0" applyAlignment="0" applyProtection="0"/>
    <xf numFmtId="0" fontId="3" fillId="0" borderId="0"/>
    <xf numFmtId="176" fontId="2" fillId="0" borderId="0" applyFon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0" fillId="11" borderId="2" applyNumberFormat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6" fillId="4" borderId="4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7" borderId="2" applyNumberFormat="0" applyAlignment="0" applyProtection="0">
      <alignment vertical="center"/>
    </xf>
    <xf numFmtId="0" fontId="18" fillId="11" borderId="8" applyNumberFormat="0" applyAlignment="0" applyProtection="0">
      <alignment vertical="center"/>
    </xf>
    <xf numFmtId="0" fontId="19" fillId="16" borderId="9" applyNumberFormat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</cellStyleXfs>
  <cellXfs count="24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19" borderId="10" xfId="0" applyFont="1" applyFill="1" applyBorder="1">
      <alignment vertical="center"/>
    </xf>
    <xf numFmtId="178" fontId="24" fillId="18" borderId="10" xfId="0" applyNumberFormat="1" applyFont="1" applyFill="1" applyBorder="1">
      <alignment vertical="center"/>
    </xf>
    <xf numFmtId="0" fontId="25" fillId="0" borderId="0" xfId="0" applyFont="1">
      <alignment vertical="center"/>
    </xf>
    <xf numFmtId="0" fontId="0" fillId="0" borderId="0" xfId="0" applyAlignment="1">
      <alignment horizontal="right" vertical="center"/>
    </xf>
    <xf numFmtId="179" fontId="0" fillId="0" borderId="0" xfId="48" applyNumberFormat="1" applyFont="1">
      <alignment vertical="center"/>
    </xf>
    <xf numFmtId="0" fontId="0" fillId="0" borderId="0" xfId="0" applyFill="1">
      <alignment vertical="center"/>
    </xf>
    <xf numFmtId="184" fontId="0" fillId="0" borderId="0" xfId="48" applyNumberFormat="1" applyFont="1" applyAlignment="1">
      <alignment horizontal="right" vertical="center"/>
    </xf>
    <xf numFmtId="185" fontId="0" fillId="0" borderId="0" xfId="0" applyNumberFormat="1">
      <alignment vertical="center"/>
    </xf>
    <xf numFmtId="182" fontId="0" fillId="0" borderId="0" xfId="0" applyNumberFormat="1">
      <alignment vertical="center"/>
    </xf>
    <xf numFmtId="182" fontId="28" fillId="0" borderId="0" xfId="0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6" fontId="0" fillId="0" borderId="0" xfId="47" applyNumberFormat="1" applyFont="1" applyFill="1">
      <alignment vertical="center"/>
    </xf>
    <xf numFmtId="0" fontId="0" fillId="22" borderId="0" xfId="0" applyFill="1">
      <alignment vertical="center"/>
    </xf>
    <xf numFmtId="0" fontId="0" fillId="22" borderId="0" xfId="0" applyFill="1" applyAlignment="1">
      <alignment horizontal="center" vertical="center"/>
    </xf>
    <xf numFmtId="184" fontId="0" fillId="22" borderId="0" xfId="48" applyNumberFormat="1" applyFont="1" applyFill="1" applyAlignment="1">
      <alignment horizontal="center" vertical="center"/>
    </xf>
    <xf numFmtId="18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5" borderId="0" xfId="0" applyFill="1">
      <alignment vertical="center"/>
    </xf>
    <xf numFmtId="182" fontId="27" fillId="0" borderId="0" xfId="0" applyNumberFormat="1" applyFont="1">
      <alignment vertical="center"/>
    </xf>
    <xf numFmtId="0" fontId="29" fillId="0" borderId="0" xfId="0" applyFont="1">
      <alignment vertical="center"/>
    </xf>
    <xf numFmtId="0" fontId="30" fillId="24" borderId="10" xfId="0" applyFont="1" applyFill="1" applyBorder="1" applyAlignment="1">
      <alignment horizontal="center" vertical="center"/>
    </xf>
    <xf numFmtId="185" fontId="25" fillId="0" borderId="0" xfId="0" applyNumberFormat="1" applyFont="1">
      <alignment vertical="center"/>
    </xf>
    <xf numFmtId="0" fontId="25" fillId="0" borderId="0" xfId="0" applyFont="1" applyAlignment="1">
      <alignment horizontal="right" vertical="center"/>
    </xf>
    <xf numFmtId="187" fontId="25" fillId="0" borderId="0" xfId="0" applyNumberFormat="1" applyFont="1" applyAlignment="1">
      <alignment horizontal="right" vertical="center"/>
    </xf>
    <xf numFmtId="0" fontId="29" fillId="0" borderId="0" xfId="0" applyFont="1" applyAlignment="1">
      <alignment horizontal="right" vertical="center"/>
    </xf>
    <xf numFmtId="14" fontId="31" fillId="21" borderId="0" xfId="0" applyNumberFormat="1" applyFont="1" applyFill="1" applyAlignment="1">
      <alignment horizontal="center" vertical="center"/>
    </xf>
    <xf numFmtId="0" fontId="33" fillId="19" borderId="10" xfId="0" applyFont="1" applyFill="1" applyBorder="1">
      <alignment vertical="center"/>
    </xf>
    <xf numFmtId="189" fontId="0" fillId="22" borderId="0" xfId="0" applyNumberFormat="1" applyFill="1">
      <alignment vertical="center"/>
    </xf>
    <xf numFmtId="190" fontId="0" fillId="22" borderId="0" xfId="0" applyNumberFormat="1" applyFill="1">
      <alignment vertical="center"/>
    </xf>
    <xf numFmtId="0" fontId="35" fillId="26" borderId="0" xfId="0" applyFont="1" applyFill="1">
      <alignment vertical="center"/>
    </xf>
    <xf numFmtId="14" fontId="36" fillId="21" borderId="0" xfId="49" applyNumberFormat="1" applyFont="1" applyFill="1" applyAlignment="1">
      <alignment horizontal="center" vertical="center"/>
    </xf>
    <xf numFmtId="186" fontId="26" fillId="27" borderId="0" xfId="0" applyNumberFormat="1" applyFont="1" applyFill="1" applyAlignment="1">
      <alignment horizontal="center" vertical="center"/>
    </xf>
    <xf numFmtId="0" fontId="39" fillId="20" borderId="0" xfId="0" applyFont="1" applyFill="1" applyAlignment="1">
      <alignment horizontal="center" vertical="center"/>
    </xf>
    <xf numFmtId="181" fontId="39" fillId="27" borderId="0" xfId="0" applyNumberFormat="1" applyFont="1" applyFill="1" applyAlignment="1">
      <alignment horizontal="center" vertical="center"/>
    </xf>
    <xf numFmtId="0" fontId="39" fillId="27" borderId="0" xfId="0" applyFont="1" applyFill="1" applyAlignment="1">
      <alignment horizontal="center" vertical="center"/>
    </xf>
    <xf numFmtId="186" fontId="39" fillId="27" borderId="0" xfId="0" applyNumberFormat="1" applyFont="1" applyFill="1" applyAlignment="1">
      <alignment horizontal="center" vertical="center"/>
    </xf>
    <xf numFmtId="180" fontId="37" fillId="0" borderId="0" xfId="0" applyNumberFormat="1" applyFont="1">
      <alignment vertical="center"/>
    </xf>
    <xf numFmtId="0" fontId="37" fillId="0" borderId="0" xfId="0" applyFont="1">
      <alignment vertical="center"/>
    </xf>
    <xf numFmtId="0" fontId="37" fillId="0" borderId="0" xfId="0" applyFont="1" applyAlignment="1">
      <alignment horizontal="center" vertical="center"/>
    </xf>
    <xf numFmtId="186" fontId="27" fillId="28" borderId="0" xfId="47" applyNumberFormat="1" applyFont="1" applyFill="1">
      <alignment vertical="center"/>
    </xf>
    <xf numFmtId="186" fontId="27" fillId="28" borderId="0" xfId="48" applyNumberFormat="1" applyFont="1" applyFill="1">
      <alignment vertical="center"/>
    </xf>
    <xf numFmtId="186" fontId="27" fillId="28" borderId="0" xfId="48" applyNumberFormat="1" applyFont="1" applyFill="1" applyAlignment="1">
      <alignment horizontal="right" vertical="center"/>
    </xf>
    <xf numFmtId="186" fontId="39" fillId="27" borderId="0" xfId="47" applyNumberFormat="1" applyFont="1" applyFill="1" applyAlignment="1">
      <alignment horizontal="center" vertical="center"/>
    </xf>
    <xf numFmtId="0" fontId="43" fillId="0" borderId="0" xfId="0" applyFont="1" applyFill="1">
      <alignment vertical="center"/>
    </xf>
    <xf numFmtId="186" fontId="37" fillId="23" borderId="0" xfId="47" applyNumberFormat="1" applyFont="1" applyFill="1">
      <alignment vertical="center"/>
    </xf>
    <xf numFmtId="38" fontId="37" fillId="23" borderId="0" xfId="47" applyNumberFormat="1" applyFont="1" applyFill="1">
      <alignment vertical="center"/>
    </xf>
    <xf numFmtId="38" fontId="37" fillId="23" borderId="0" xfId="0" applyNumberFormat="1" applyFont="1" applyFill="1">
      <alignment vertical="center"/>
    </xf>
    <xf numFmtId="186" fontId="37" fillId="0" borderId="0" xfId="47" applyNumberFormat="1" applyFont="1">
      <alignment vertical="center"/>
    </xf>
    <xf numFmtId="38" fontId="37" fillId="0" borderId="0" xfId="0" applyNumberFormat="1" applyFont="1" applyFill="1">
      <alignment vertical="center"/>
    </xf>
    <xf numFmtId="186" fontId="0" fillId="0" borderId="0" xfId="48" applyNumberFormat="1" applyFont="1" applyFill="1" applyAlignment="1">
      <alignment horizontal="right" vertical="center"/>
    </xf>
    <xf numFmtId="186" fontId="39" fillId="30" borderId="0" xfId="0" applyNumberFormat="1" applyFont="1" applyFill="1" applyAlignment="1">
      <alignment horizontal="center" vertical="center"/>
    </xf>
    <xf numFmtId="186" fontId="42" fillId="30" borderId="0" xfId="0" applyNumberFormat="1" applyFont="1" applyFill="1" applyAlignment="1">
      <alignment horizontal="center" vertical="center"/>
    </xf>
    <xf numFmtId="10" fontId="27" fillId="0" borderId="0" xfId="0" applyNumberFormat="1" applyFont="1">
      <alignment vertical="center"/>
    </xf>
    <xf numFmtId="191" fontId="37" fillId="23" borderId="0" xfId="0" applyNumberFormat="1" applyFont="1" applyFill="1">
      <alignment vertical="center"/>
    </xf>
    <xf numFmtId="191" fontId="37" fillId="0" borderId="0" xfId="0" applyNumberFormat="1" applyFont="1">
      <alignment vertical="center"/>
    </xf>
    <xf numFmtId="190" fontId="39" fillId="27" borderId="0" xfId="0" applyNumberFormat="1" applyFont="1" applyFill="1" applyAlignment="1">
      <alignment horizontal="center" vertical="center"/>
    </xf>
    <xf numFmtId="190" fontId="37" fillId="23" borderId="0" xfId="0" applyNumberFormat="1" applyFont="1" applyFill="1">
      <alignment vertical="center"/>
    </xf>
    <xf numFmtId="190" fontId="37" fillId="0" borderId="0" xfId="0" applyNumberFormat="1" applyFont="1">
      <alignment vertical="center"/>
    </xf>
    <xf numFmtId="192" fontId="39" fillId="27" borderId="0" xfId="47" applyNumberFormat="1" applyFont="1" applyFill="1" applyAlignment="1">
      <alignment horizontal="center" vertical="center"/>
    </xf>
    <xf numFmtId="192" fontId="37" fillId="23" borderId="0" xfId="47" applyNumberFormat="1" applyFont="1" applyFill="1">
      <alignment vertical="center"/>
    </xf>
    <xf numFmtId="192" fontId="37" fillId="23" borderId="0" xfId="0" applyNumberFormat="1" applyFont="1" applyFill="1">
      <alignment vertical="center"/>
    </xf>
    <xf numFmtId="192" fontId="37" fillId="0" borderId="0" xfId="47" applyNumberFormat="1" applyFont="1">
      <alignment vertical="center"/>
    </xf>
    <xf numFmtId="180" fontId="44" fillId="0" borderId="0" xfId="47" applyNumberFormat="1" applyFont="1" applyFill="1">
      <alignment vertical="center"/>
    </xf>
    <xf numFmtId="180" fontId="44" fillId="0" borderId="0" xfId="47" applyNumberFormat="1" applyFont="1">
      <alignment vertical="center"/>
    </xf>
    <xf numFmtId="186" fontId="44" fillId="0" borderId="0" xfId="47" applyNumberFormat="1" applyFont="1" applyFill="1">
      <alignment vertical="center"/>
    </xf>
    <xf numFmtId="186" fontId="44" fillId="0" borderId="0" xfId="47" applyNumberFormat="1" applyFont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10" fontId="48" fillId="0" borderId="0" xfId="0" applyNumberFormat="1" applyFont="1" applyAlignment="1">
      <alignment horizontal="center" vertical="center"/>
    </xf>
    <xf numFmtId="10" fontId="48" fillId="23" borderId="0" xfId="48" applyNumberFormat="1" applyFont="1" applyFill="1" applyAlignment="1">
      <alignment horizontal="right" vertical="center"/>
    </xf>
    <xf numFmtId="10" fontId="48" fillId="0" borderId="0" xfId="0" applyNumberFormat="1" applyFont="1">
      <alignment vertical="center"/>
    </xf>
    <xf numFmtId="10" fontId="48" fillId="0" borderId="0" xfId="48" applyNumberFormat="1" applyFont="1" applyAlignment="1">
      <alignment horizontal="right" vertical="center"/>
    </xf>
    <xf numFmtId="10" fontId="48" fillId="0" borderId="0" xfId="0" applyNumberFormat="1" applyFont="1" applyFill="1">
      <alignment vertical="center"/>
    </xf>
    <xf numFmtId="10" fontId="48" fillId="23" borderId="0" xfId="0" applyNumberFormat="1" applyFont="1" applyFill="1">
      <alignment vertical="center"/>
    </xf>
    <xf numFmtId="0" fontId="49" fillId="0" borderId="0" xfId="49" applyFont="1" applyAlignment="1">
      <alignment horizontal="center" vertical="center"/>
    </xf>
    <xf numFmtId="178" fontId="37" fillId="29" borderId="0" xfId="0" applyNumberFormat="1" applyFont="1" applyFill="1" applyAlignment="1">
      <alignment horizontal="right" vertical="center"/>
    </xf>
    <xf numFmtId="178" fontId="37" fillId="0" borderId="0" xfId="0" applyNumberFormat="1" applyFont="1" applyAlignment="1">
      <alignment horizontal="right" vertical="center"/>
    </xf>
    <xf numFmtId="186" fontId="27" fillId="22" borderId="0" xfId="0" applyNumberFormat="1" applyFont="1" applyFill="1">
      <alignment vertical="center"/>
    </xf>
    <xf numFmtId="193" fontId="0" fillId="22" borderId="0" xfId="0" applyNumberFormat="1" applyFill="1">
      <alignment vertical="center"/>
    </xf>
    <xf numFmtId="0" fontId="0" fillId="26" borderId="0" xfId="0" applyFill="1" applyAlignment="1">
      <alignment horizontal="center" vertical="center"/>
    </xf>
    <xf numFmtId="190" fontId="0" fillId="26" borderId="0" xfId="0" applyNumberFormat="1" applyFill="1">
      <alignment vertical="center"/>
    </xf>
    <xf numFmtId="184" fontId="0" fillId="26" borderId="0" xfId="48" applyNumberFormat="1" applyFont="1" applyFill="1" applyAlignment="1">
      <alignment horizontal="center" vertical="center"/>
    </xf>
    <xf numFmtId="0" fontId="50" fillId="0" borderId="0" xfId="0" applyFont="1">
      <alignment vertical="center"/>
    </xf>
    <xf numFmtId="10" fontId="0" fillId="0" borderId="0" xfId="0" applyNumberFormat="1">
      <alignment vertical="center"/>
    </xf>
    <xf numFmtId="194" fontId="34" fillId="25" borderId="0" xfId="0" applyNumberFormat="1" applyFont="1" applyFill="1" applyAlignment="1">
      <alignment horizontal="center" vertical="center"/>
    </xf>
    <xf numFmtId="10" fontId="48" fillId="23" borderId="0" xfId="0" applyNumberFormat="1" applyFont="1" applyFill="1" applyAlignment="1">
      <alignment horizontal="left" vertical="center"/>
    </xf>
    <xf numFmtId="183" fontId="37" fillId="0" borderId="0" xfId="0" applyNumberFormat="1" applyFont="1">
      <alignment vertical="center"/>
    </xf>
    <xf numFmtId="183" fontId="38" fillId="20" borderId="0" xfId="0" applyNumberFormat="1" applyFont="1" applyFill="1" applyAlignment="1">
      <alignment horizontal="center" vertical="center"/>
    </xf>
    <xf numFmtId="183" fontId="43" fillId="0" borderId="0" xfId="0" applyNumberFormat="1" applyFont="1" applyFill="1">
      <alignment vertical="center"/>
    </xf>
    <xf numFmtId="14" fontId="28" fillId="0" borderId="0" xfId="0" applyNumberFormat="1" applyFont="1" applyAlignment="1">
      <alignment vertical="center"/>
    </xf>
    <xf numFmtId="0" fontId="52" fillId="20" borderId="0" xfId="0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0" fillId="23" borderId="0" xfId="0" applyFill="1" applyBorder="1">
      <alignment vertical="center"/>
    </xf>
    <xf numFmtId="179" fontId="0" fillId="0" borderId="0" xfId="0" applyNumberFormat="1">
      <alignment vertical="center"/>
    </xf>
    <xf numFmtId="10" fontId="48" fillId="23" borderId="0" xfId="48" applyNumberFormat="1" applyFont="1" applyFill="1" applyBorder="1" applyAlignment="1">
      <alignment horizontal="right" vertical="center"/>
    </xf>
    <xf numFmtId="10" fontId="48" fillId="0" borderId="0" xfId="48" applyNumberFormat="1" applyFont="1" applyBorder="1" applyAlignment="1">
      <alignment horizontal="right" vertical="center"/>
    </xf>
    <xf numFmtId="195" fontId="25" fillId="0" borderId="0" xfId="0" applyNumberFormat="1" applyFont="1">
      <alignment vertical="center"/>
    </xf>
    <xf numFmtId="195" fontId="25" fillId="21" borderId="0" xfId="0" applyNumberFormat="1" applyFont="1" applyFill="1" applyAlignment="1">
      <alignment horizontal="right" vertical="center"/>
    </xf>
    <xf numFmtId="196" fontId="0" fillId="0" borderId="0" xfId="0" applyNumberFormat="1">
      <alignment vertical="center"/>
    </xf>
    <xf numFmtId="197" fontId="0" fillId="0" borderId="0" xfId="0" applyNumberFormat="1">
      <alignment vertical="center"/>
    </xf>
    <xf numFmtId="0" fontId="0" fillId="22" borderId="0" xfId="0" applyFill="1" applyBorder="1">
      <alignment vertical="center"/>
    </xf>
    <xf numFmtId="188" fontId="46" fillId="22" borderId="0" xfId="48" applyNumberFormat="1" applyFont="1" applyFill="1" applyBorder="1">
      <alignment vertical="center"/>
    </xf>
    <xf numFmtId="0" fontId="0" fillId="0" borderId="0" xfId="0" applyBorder="1" applyAlignment="1">
      <alignment horizontal="right" vertical="center"/>
    </xf>
    <xf numFmtId="195" fontId="39" fillId="20" borderId="0" xfId="0" applyNumberFormat="1" applyFont="1" applyFill="1" applyAlignment="1">
      <alignment horizontal="center" vertical="center"/>
    </xf>
    <xf numFmtId="195" fontId="37" fillId="0" borderId="0" xfId="0" applyNumberFormat="1" applyFont="1" applyFill="1" applyAlignment="1">
      <alignment horizontal="center" vertical="center"/>
    </xf>
    <xf numFmtId="195" fontId="37" fillId="0" borderId="0" xfId="0" applyNumberFormat="1" applyFont="1" applyAlignment="1">
      <alignment horizontal="center" vertical="center"/>
    </xf>
    <xf numFmtId="0" fontId="40" fillId="22" borderId="0" xfId="0" applyFont="1" applyFill="1" applyAlignment="1">
      <alignment horizontal="right" vertical="center"/>
    </xf>
    <xf numFmtId="183" fontId="22" fillId="20" borderId="0" xfId="0" applyNumberFormat="1" applyFont="1" applyFill="1" applyAlignment="1">
      <alignment horizontal="right" vertical="center"/>
    </xf>
    <xf numFmtId="176" fontId="26" fillId="20" borderId="0" xfId="47" applyFont="1" applyFill="1" applyAlignment="1">
      <alignment horizontal="right" vertical="center"/>
    </xf>
    <xf numFmtId="0" fontId="26" fillId="20" borderId="0" xfId="0" applyFont="1" applyFill="1" applyAlignment="1">
      <alignment horizontal="right" vertical="center"/>
    </xf>
    <xf numFmtId="49" fontId="26" fillId="20" borderId="0" xfId="0" applyNumberFormat="1" applyFont="1" applyFill="1" applyAlignment="1">
      <alignment horizontal="right" vertical="center"/>
    </xf>
    <xf numFmtId="183" fontId="40" fillId="22" borderId="0" xfId="0" applyNumberFormat="1" applyFont="1" applyFill="1" applyAlignment="1">
      <alignment horizontal="right" vertical="center"/>
    </xf>
    <xf numFmtId="195" fontId="40" fillId="22" borderId="0" xfId="0" applyNumberFormat="1" applyFont="1" applyFill="1" applyAlignment="1">
      <alignment horizontal="right" vertical="center"/>
    </xf>
    <xf numFmtId="183" fontId="40" fillId="0" borderId="0" xfId="0" applyNumberFormat="1" applyFont="1" applyAlignment="1">
      <alignment horizontal="right" vertical="center"/>
    </xf>
    <xf numFmtId="0" fontId="40" fillId="0" borderId="0" xfId="0" applyFont="1" applyAlignment="1">
      <alignment horizontal="right" vertical="center"/>
    </xf>
    <xf numFmtId="49" fontId="41" fillId="0" borderId="0" xfId="0" applyNumberFormat="1" applyFont="1" applyAlignment="1">
      <alignment horizontal="right" vertical="center"/>
    </xf>
    <xf numFmtId="176" fontId="41" fillId="0" borderId="0" xfId="47" applyFont="1" applyAlignment="1">
      <alignment horizontal="right" vertical="center"/>
    </xf>
    <xf numFmtId="189" fontId="0" fillId="0" borderId="0" xfId="48" applyNumberFormat="1" applyFont="1">
      <alignment vertical="center"/>
    </xf>
    <xf numFmtId="189" fontId="0" fillId="0" borderId="0" xfId="0" applyNumberFormat="1">
      <alignment vertical="center"/>
    </xf>
    <xf numFmtId="0" fontId="54" fillId="0" borderId="0" xfId="0" applyFont="1" applyBorder="1">
      <alignment vertical="center"/>
    </xf>
    <xf numFmtId="0" fontId="54" fillId="0" borderId="0" xfId="0" applyFont="1" applyFill="1" applyBorder="1" applyAlignment="1">
      <alignment horizontal="left" vertical="center"/>
    </xf>
    <xf numFmtId="0" fontId="54" fillId="0" borderId="0" xfId="0" applyFont="1" applyBorder="1" applyAlignment="1">
      <alignment horizontal="left" vertical="center"/>
    </xf>
    <xf numFmtId="14" fontId="37" fillId="0" borderId="0" xfId="0" applyNumberFormat="1" applyFont="1" applyAlignment="1">
      <alignment horizontal="center" vertical="center"/>
    </xf>
    <xf numFmtId="183" fontId="37" fillId="0" borderId="0" xfId="48" applyNumberFormat="1" applyFont="1">
      <alignment vertical="center"/>
    </xf>
    <xf numFmtId="14" fontId="37" fillId="0" borderId="0" xfId="0" applyNumberFormat="1" applyFont="1">
      <alignment vertical="center"/>
    </xf>
    <xf numFmtId="0" fontId="54" fillId="0" borderId="0" xfId="0" applyFont="1" applyBorder="1" applyAlignment="1">
      <alignment horizontal="center" vertical="center"/>
    </xf>
    <xf numFmtId="0" fontId="57" fillId="0" borderId="0" xfId="0" applyFont="1">
      <alignment vertical="center"/>
    </xf>
    <xf numFmtId="184" fontId="59" fillId="0" borderId="0" xfId="0" applyNumberFormat="1" applyFont="1">
      <alignment vertical="center"/>
    </xf>
    <xf numFmtId="0" fontId="37" fillId="32" borderId="0" xfId="0" applyFont="1" applyFill="1" applyAlignment="1">
      <alignment horizontal="left" vertical="center"/>
    </xf>
    <xf numFmtId="185" fontId="37" fillId="32" borderId="0" xfId="0" applyNumberFormat="1" applyFont="1" applyFill="1" applyAlignment="1">
      <alignment horizontal="left" vertical="center"/>
    </xf>
    <xf numFmtId="0" fontId="37" fillId="32" borderId="0" xfId="0" applyFont="1" applyFill="1">
      <alignment vertical="center"/>
    </xf>
    <xf numFmtId="0" fontId="39" fillId="33" borderId="0" xfId="0" applyFont="1" applyFill="1">
      <alignment vertical="center"/>
    </xf>
    <xf numFmtId="14" fontId="58" fillId="0" borderId="0" xfId="0" applyNumberFormat="1" applyFont="1">
      <alignment vertical="center"/>
    </xf>
    <xf numFmtId="0" fontId="57" fillId="0" borderId="0" xfId="0" applyFont="1" applyBorder="1" applyAlignment="1">
      <alignment horizontal="left" vertical="center"/>
    </xf>
    <xf numFmtId="0" fontId="37" fillId="0" borderId="0" xfId="0" applyFont="1" applyAlignment="1">
      <alignment horizontal="left" vertical="center"/>
    </xf>
    <xf numFmtId="14" fontId="37" fillId="0" borderId="0" xfId="0" applyNumberFormat="1" applyFont="1" applyAlignment="1">
      <alignment horizontal="left" vertical="center"/>
    </xf>
    <xf numFmtId="0" fontId="57" fillId="0" borderId="0" xfId="0" applyFont="1" applyBorder="1" applyAlignment="1">
      <alignment horizontal="center" vertical="center"/>
    </xf>
    <xf numFmtId="0" fontId="60" fillId="0" borderId="0" xfId="0" applyFont="1">
      <alignment vertical="center"/>
    </xf>
    <xf numFmtId="188" fontId="37" fillId="0" borderId="0" xfId="48" applyNumberFormat="1" applyFont="1">
      <alignment vertical="center"/>
    </xf>
    <xf numFmtId="0" fontId="58" fillId="0" borderId="0" xfId="0" applyFont="1">
      <alignment vertical="center"/>
    </xf>
    <xf numFmtId="0" fontId="59" fillId="0" borderId="0" xfId="0" applyFont="1" applyAlignment="1">
      <alignment horizontal="center" vertical="center"/>
    </xf>
    <xf numFmtId="14" fontId="59" fillId="0" borderId="0" xfId="0" applyNumberFormat="1" applyFont="1" applyBorder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0" fontId="54" fillId="21" borderId="0" xfId="0" applyFont="1" applyFill="1" applyBorder="1" applyAlignment="1">
      <alignment horizontal="center" vertical="center"/>
    </xf>
    <xf numFmtId="0" fontId="37" fillId="32" borderId="0" xfId="0" applyFont="1" applyFill="1" applyAlignment="1">
      <alignment horizontal="center" vertical="center"/>
    </xf>
    <xf numFmtId="185" fontId="37" fillId="32" borderId="0" xfId="0" applyNumberFormat="1" applyFont="1" applyFill="1" applyAlignment="1">
      <alignment horizontal="center" vertical="center"/>
    </xf>
    <xf numFmtId="0" fontId="61" fillId="0" borderId="0" xfId="0" applyFont="1">
      <alignment vertical="center"/>
    </xf>
    <xf numFmtId="0" fontId="58" fillId="0" borderId="0" xfId="0" applyFont="1" applyAlignment="1">
      <alignment horizontal="left" vertical="center"/>
    </xf>
    <xf numFmtId="0" fontId="42" fillId="31" borderId="11" xfId="0" applyFont="1" applyFill="1" applyBorder="1" applyAlignment="1">
      <alignment horizontal="center" vertical="center"/>
    </xf>
    <xf numFmtId="0" fontId="42" fillId="31" borderId="15" xfId="0" applyFont="1" applyFill="1" applyBorder="1" applyAlignment="1">
      <alignment horizontal="center" vertical="center"/>
    </xf>
    <xf numFmtId="0" fontId="42" fillId="31" borderId="12" xfId="0" applyFont="1" applyFill="1" applyBorder="1" applyAlignment="1">
      <alignment horizontal="center" vertical="center"/>
    </xf>
    <xf numFmtId="183" fontId="37" fillId="0" borderId="17" xfId="48" applyNumberFormat="1" applyFont="1" applyBorder="1">
      <alignment vertical="center"/>
    </xf>
    <xf numFmtId="14" fontId="37" fillId="23" borderId="0" xfId="0" applyNumberFormat="1" applyFont="1" applyFill="1" applyBorder="1">
      <alignment vertical="center"/>
    </xf>
    <xf numFmtId="188" fontId="37" fillId="23" borderId="0" xfId="48" applyNumberFormat="1" applyFont="1" applyFill="1" applyBorder="1">
      <alignment vertical="center"/>
    </xf>
    <xf numFmtId="198" fontId="37" fillId="23" borderId="18" xfId="48" applyNumberFormat="1" applyFont="1" applyFill="1" applyBorder="1">
      <alignment vertical="center"/>
    </xf>
    <xf numFmtId="183" fontId="37" fillId="0" borderId="13" xfId="48" applyNumberFormat="1" applyFont="1" applyBorder="1">
      <alignment vertical="center"/>
    </xf>
    <xf numFmtId="14" fontId="37" fillId="23" borderId="16" xfId="0" applyNumberFormat="1" applyFont="1" applyFill="1" applyBorder="1">
      <alignment vertical="center"/>
    </xf>
    <xf numFmtId="188" fontId="37" fillId="23" borderId="16" xfId="48" applyNumberFormat="1" applyFont="1" applyFill="1" applyBorder="1">
      <alignment vertical="center"/>
    </xf>
    <xf numFmtId="198" fontId="37" fillId="23" borderId="14" xfId="48" applyNumberFormat="1" applyFont="1" applyFill="1" applyBorder="1">
      <alignment vertical="center"/>
    </xf>
    <xf numFmtId="179" fontId="0" fillId="0" borderId="0" xfId="48" applyNumberFormat="1" applyFont="1" applyAlignment="1">
      <alignment horizontal="center" vertical="center"/>
    </xf>
    <xf numFmtId="0" fontId="27" fillId="0" borderId="0" xfId="0" applyFont="1">
      <alignment vertical="center"/>
    </xf>
    <xf numFmtId="196" fontId="27" fillId="0" borderId="0" xfId="0" applyNumberFormat="1" applyFont="1" applyAlignment="1">
      <alignment horizontal="center" vertical="center"/>
    </xf>
    <xf numFmtId="14" fontId="51" fillId="0" borderId="0" xfId="0" applyNumberFormat="1" applyFont="1" applyFill="1" applyBorder="1" applyAlignment="1">
      <alignment horizontal="center" vertical="center"/>
    </xf>
    <xf numFmtId="186" fontId="0" fillId="21" borderId="0" xfId="47" applyNumberFormat="1" applyFont="1" applyFill="1">
      <alignment vertical="center"/>
    </xf>
    <xf numFmtId="186" fontId="0" fillId="21" borderId="0" xfId="48" applyNumberFormat="1" applyFont="1" applyFill="1" applyAlignment="1">
      <alignment horizontal="right" vertical="center"/>
    </xf>
    <xf numFmtId="0" fontId="43" fillId="21" borderId="0" xfId="0" applyFont="1" applyFill="1">
      <alignment vertical="center"/>
    </xf>
    <xf numFmtId="195" fontId="37" fillId="21" borderId="0" xfId="0" applyNumberFormat="1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180" fontId="44" fillId="21" borderId="0" xfId="47" applyNumberFormat="1" applyFont="1" applyFill="1">
      <alignment vertical="center"/>
    </xf>
    <xf numFmtId="186" fontId="44" fillId="21" borderId="0" xfId="47" applyNumberFormat="1" applyFont="1" applyFill="1">
      <alignment vertical="center"/>
    </xf>
    <xf numFmtId="191" fontId="37" fillId="21" borderId="0" xfId="0" applyNumberFormat="1" applyFont="1" applyFill="1">
      <alignment vertical="center"/>
    </xf>
    <xf numFmtId="186" fontId="37" fillId="21" borderId="0" xfId="47" applyNumberFormat="1" applyFont="1" applyFill="1">
      <alignment vertical="center"/>
    </xf>
    <xf numFmtId="38" fontId="37" fillId="21" borderId="0" xfId="0" applyNumberFormat="1" applyFont="1" applyFill="1">
      <alignment vertical="center"/>
    </xf>
    <xf numFmtId="190" fontId="37" fillId="21" borderId="0" xfId="0" applyNumberFormat="1" applyFont="1" applyFill="1">
      <alignment vertical="center"/>
    </xf>
    <xf numFmtId="192" fontId="37" fillId="21" borderId="0" xfId="47" applyNumberFormat="1" applyFont="1" applyFill="1">
      <alignment vertical="center"/>
    </xf>
    <xf numFmtId="186" fontId="27" fillId="21" borderId="0" xfId="47" applyNumberFormat="1" applyFont="1" applyFill="1">
      <alignment vertical="center"/>
    </xf>
    <xf numFmtId="180" fontId="37" fillId="21" borderId="0" xfId="0" applyNumberFormat="1" applyFont="1" applyFill="1">
      <alignment vertical="center"/>
    </xf>
    <xf numFmtId="0" fontId="0" fillId="21" borderId="0" xfId="0" applyFill="1">
      <alignment vertical="center"/>
    </xf>
    <xf numFmtId="186" fontId="0" fillId="0" borderId="0" xfId="48" applyNumberFormat="1" applyFont="1" applyFill="1">
      <alignment vertical="center"/>
    </xf>
    <xf numFmtId="199" fontId="37" fillId="0" borderId="0" xfId="48" applyNumberFormat="1" applyFont="1">
      <alignment vertical="center"/>
    </xf>
    <xf numFmtId="0" fontId="58" fillId="0" borderId="0" xfId="0" applyFont="1" applyAlignment="1">
      <alignment horizontal="center" vertical="center"/>
    </xf>
    <xf numFmtId="0" fontId="37" fillId="0" borderId="17" xfId="0" applyFont="1" applyBorder="1">
      <alignment vertical="center"/>
    </xf>
    <xf numFmtId="0" fontId="37" fillId="0" borderId="13" xfId="0" applyFont="1" applyBorder="1">
      <alignment vertical="center"/>
    </xf>
    <xf numFmtId="14" fontId="58" fillId="32" borderId="0" xfId="0" applyNumberFormat="1" applyFont="1" applyFill="1" applyAlignment="1">
      <alignment horizontal="left" vertical="center"/>
    </xf>
    <xf numFmtId="0" fontId="57" fillId="0" borderId="0" xfId="0" applyFont="1" applyAlignment="1">
      <alignment horizontal="center" vertical="center"/>
    </xf>
    <xf numFmtId="0" fontId="37" fillId="0" borderId="19" xfId="0" applyFont="1" applyBorder="1">
      <alignment vertical="center"/>
    </xf>
    <xf numFmtId="0" fontId="54" fillId="0" borderId="20" xfId="0" applyFont="1" applyBorder="1" applyAlignment="1">
      <alignment horizontal="left" vertical="center"/>
    </xf>
    <xf numFmtId="0" fontId="54" fillId="0" borderId="21" xfId="0" applyFont="1" applyBorder="1" applyAlignment="1">
      <alignment horizontal="left" vertical="center"/>
    </xf>
    <xf numFmtId="0" fontId="54" fillId="0" borderId="11" xfId="0" applyFont="1" applyBorder="1" applyAlignment="1">
      <alignment horizontal="left" vertical="center"/>
    </xf>
    <xf numFmtId="0" fontId="54" fillId="0" borderId="17" xfId="0" applyFont="1" applyBorder="1" applyAlignment="1">
      <alignment horizontal="left" vertical="center"/>
    </xf>
    <xf numFmtId="0" fontId="54" fillId="0" borderId="13" xfId="0" applyFont="1" applyBorder="1" applyAlignment="1">
      <alignment horizontal="left" vertical="center"/>
    </xf>
    <xf numFmtId="0" fontId="37" fillId="32" borderId="0" xfId="0" applyFont="1" applyFill="1" applyBorder="1" applyAlignment="1">
      <alignment horizontal="left" vertical="center"/>
    </xf>
    <xf numFmtId="0" fontId="37" fillId="32" borderId="18" xfId="0" applyFont="1" applyFill="1" applyBorder="1" applyAlignment="1">
      <alignment horizontal="left" vertical="center"/>
    </xf>
    <xf numFmtId="0" fontId="37" fillId="32" borderId="16" xfId="0" applyFont="1" applyFill="1" applyBorder="1" applyAlignment="1">
      <alignment horizontal="left" vertical="center"/>
    </xf>
    <xf numFmtId="0" fontId="37" fillId="32" borderId="14" xfId="0" applyFont="1" applyFill="1" applyBorder="1" applyAlignment="1">
      <alignment horizontal="left" vertical="center"/>
    </xf>
    <xf numFmtId="0" fontId="62" fillId="0" borderId="0" xfId="0" applyFont="1" applyBorder="1" applyAlignment="1">
      <alignment horizontal="center" vertical="center"/>
    </xf>
    <xf numFmtId="0" fontId="62" fillId="0" borderId="18" xfId="0" applyFont="1" applyBorder="1" applyAlignment="1">
      <alignment horizontal="center" vertical="center"/>
    </xf>
    <xf numFmtId="0" fontId="57" fillId="0" borderId="0" xfId="0" applyFont="1" applyBorder="1">
      <alignment vertical="center"/>
    </xf>
    <xf numFmtId="0" fontId="57" fillId="0" borderId="18" xfId="0" applyFont="1" applyBorder="1">
      <alignment vertical="center"/>
    </xf>
    <xf numFmtId="0" fontId="37" fillId="0" borderId="0" xfId="0" applyFont="1" applyBorder="1">
      <alignment vertical="center"/>
    </xf>
    <xf numFmtId="0" fontId="37" fillId="0" borderId="18" xfId="0" applyFont="1" applyBorder="1">
      <alignment vertical="center"/>
    </xf>
    <xf numFmtId="0" fontId="57" fillId="0" borderId="15" xfId="0" applyFont="1" applyBorder="1">
      <alignment vertical="center"/>
    </xf>
    <xf numFmtId="0" fontId="57" fillId="0" borderId="12" xfId="0" applyFont="1" applyBorder="1">
      <alignment vertical="center"/>
    </xf>
    <xf numFmtId="0" fontId="37" fillId="34" borderId="0" xfId="0" applyFont="1" applyFill="1" applyBorder="1">
      <alignment vertical="center"/>
    </xf>
    <xf numFmtId="0" fontId="37" fillId="34" borderId="18" xfId="0" applyFont="1" applyFill="1" applyBorder="1">
      <alignment vertical="center"/>
    </xf>
    <xf numFmtId="0" fontId="57" fillId="0" borderId="22" xfId="0" applyFont="1" applyBorder="1" applyAlignment="1">
      <alignment horizontal="left" vertical="center"/>
    </xf>
    <xf numFmtId="0" fontId="37" fillId="0" borderId="23" xfId="0" applyFont="1" applyBorder="1" applyAlignment="1">
      <alignment horizontal="center" vertical="center"/>
    </xf>
    <xf numFmtId="0" fontId="57" fillId="0" borderId="23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57" fillId="0" borderId="22" xfId="0" applyFont="1" applyBorder="1" applyAlignment="1">
      <alignment horizontal="center" vertical="center"/>
    </xf>
    <xf numFmtId="178" fontId="40" fillId="22" borderId="0" xfId="0" applyNumberFormat="1" applyFont="1" applyFill="1" applyAlignment="1">
      <alignment horizontal="right" vertical="center"/>
    </xf>
    <xf numFmtId="14" fontId="40" fillId="22" borderId="0" xfId="0" applyNumberFormat="1" applyFont="1" applyFill="1" applyAlignment="1">
      <alignment horizontal="right" vertical="center"/>
    </xf>
    <xf numFmtId="183" fontId="40" fillId="22" borderId="0" xfId="0" applyNumberFormat="1" applyFont="1" applyFill="1" applyAlignment="1">
      <alignment horizontal="center" vertical="center"/>
    </xf>
    <xf numFmtId="0" fontId="40" fillId="22" borderId="0" xfId="0" applyFont="1" applyFill="1" applyAlignment="1">
      <alignment horizontal="center" vertical="center"/>
    </xf>
    <xf numFmtId="183" fontId="40" fillId="22" borderId="0" xfId="0" applyNumberFormat="1" applyFont="1" applyFill="1" applyAlignment="1">
      <alignment horizontal="left" vertical="center"/>
    </xf>
    <xf numFmtId="0" fontId="63" fillId="0" borderId="0" xfId="0" applyFont="1">
      <alignment vertical="center"/>
    </xf>
    <xf numFmtId="183" fontId="64" fillId="22" borderId="0" xfId="0" applyNumberFormat="1" applyFont="1" applyFill="1" applyAlignment="1">
      <alignment horizontal="right" vertical="center"/>
    </xf>
    <xf numFmtId="0" fontId="57" fillId="21" borderId="0" xfId="0" applyFont="1" applyFill="1" applyAlignment="1">
      <alignment horizontal="right" vertical="center"/>
    </xf>
    <xf numFmtId="183" fontId="57" fillId="22" borderId="0" xfId="0" applyNumberFormat="1" applyFont="1" applyFill="1" applyAlignment="1">
      <alignment horizontal="left" vertical="center"/>
    </xf>
    <xf numFmtId="179" fontId="40" fillId="22" borderId="0" xfId="48" applyNumberFormat="1" applyFont="1" applyFill="1" applyAlignment="1">
      <alignment horizontal="right" vertical="center"/>
    </xf>
    <xf numFmtId="0" fontId="27" fillId="0" borderId="0" xfId="0" applyFon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22" fillId="20" borderId="0" xfId="0" applyNumberFormat="1" applyFont="1" applyFill="1" applyAlignment="1">
      <alignment horizontal="center" vertical="center"/>
    </xf>
    <xf numFmtId="183" fontId="57" fillId="22" borderId="0" xfId="0" applyNumberFormat="1" applyFont="1" applyFill="1" applyAlignment="1">
      <alignment horizontal="center" vertical="center"/>
    </xf>
    <xf numFmtId="200" fontId="65" fillId="21" borderId="0" xfId="47" applyNumberFormat="1" applyFont="1" applyFill="1" applyAlignment="1">
      <alignment horizontal="center" vertical="center"/>
    </xf>
    <xf numFmtId="183" fontId="40" fillId="35" borderId="0" xfId="0" applyNumberFormat="1" applyFont="1" applyFill="1" applyAlignment="1">
      <alignment horizontal="center" vertical="center"/>
    </xf>
    <xf numFmtId="183" fontId="40" fillId="35" borderId="0" xfId="0" applyNumberFormat="1" applyFont="1" applyFill="1" applyAlignment="1">
      <alignment horizontal="right" vertical="center"/>
    </xf>
    <xf numFmtId="183" fontId="57" fillId="35" borderId="0" xfId="0" applyNumberFormat="1" applyFont="1" applyFill="1" applyAlignment="1">
      <alignment horizontal="center" vertical="center"/>
    </xf>
    <xf numFmtId="183" fontId="57" fillId="35" borderId="0" xfId="0" applyNumberFormat="1" applyFont="1" applyFill="1" applyAlignment="1">
      <alignment horizontal="right" vertical="center"/>
    </xf>
    <xf numFmtId="14" fontId="40" fillId="35" borderId="0" xfId="0" applyNumberFormat="1" applyFont="1" applyFill="1" applyAlignment="1">
      <alignment horizontal="right" vertical="center"/>
    </xf>
    <xf numFmtId="179" fontId="40" fillId="35" borderId="0" xfId="48" applyNumberFormat="1" applyFont="1" applyFill="1" applyAlignment="1">
      <alignment horizontal="right" vertical="center"/>
    </xf>
    <xf numFmtId="0" fontId="40" fillId="35" borderId="0" xfId="0" applyFont="1" applyFill="1" applyAlignment="1">
      <alignment horizontal="right" vertical="center"/>
    </xf>
    <xf numFmtId="183" fontId="40" fillId="35" borderId="0" xfId="0" applyNumberFormat="1" applyFont="1" applyFill="1" applyAlignment="1">
      <alignment horizontal="left" vertical="center"/>
    </xf>
    <xf numFmtId="201" fontId="37" fillId="0" borderId="0" xfId="0" applyNumberFormat="1" applyFont="1">
      <alignment vertical="center"/>
    </xf>
    <xf numFmtId="184" fontId="57" fillId="0" borderId="0" xfId="0" applyNumberFormat="1" applyFont="1" applyBorder="1" applyAlignment="1">
      <alignment horizontal="center" vertical="center"/>
    </xf>
    <xf numFmtId="0" fontId="47" fillId="0" borderId="13" xfId="0" applyFont="1" applyBorder="1" applyAlignment="1">
      <alignment horizontal="left" vertical="center"/>
    </xf>
    <xf numFmtId="0" fontId="47" fillId="0" borderId="16" xfId="0" applyFont="1" applyBorder="1" applyAlignment="1">
      <alignment horizontal="left" vertical="center"/>
    </xf>
    <xf numFmtId="0" fontId="47" fillId="0" borderId="14" xfId="0" applyFont="1" applyBorder="1" applyAlignment="1">
      <alignment horizontal="left" vertical="center"/>
    </xf>
    <xf numFmtId="180" fontId="26" fillId="20" borderId="0" xfId="47" applyNumberFormat="1" applyFont="1" applyFill="1" applyAlignment="1">
      <alignment horizontal="center" vertical="center"/>
    </xf>
    <xf numFmtId="0" fontId="47" fillId="0" borderId="11" xfId="0" applyFont="1" applyBorder="1" applyAlignment="1">
      <alignment horizontal="left" vertical="center"/>
    </xf>
    <xf numFmtId="0" fontId="47" fillId="0" borderId="15" xfId="0" applyFont="1" applyBorder="1" applyAlignment="1">
      <alignment horizontal="left" vertical="center"/>
    </xf>
    <xf numFmtId="0" fontId="47" fillId="0" borderId="12" xfId="0" applyFont="1" applyBorder="1" applyAlignment="1">
      <alignment horizontal="left" vertical="center"/>
    </xf>
  </cellXfs>
  <cellStyles count="50">
    <cellStyle name="20% - 輔色1 2" xfId="2"/>
    <cellStyle name="20% - 輔色2 2" xfId="3"/>
    <cellStyle name="20% - 輔色3 2" xfId="4"/>
    <cellStyle name="20% - 輔色4 2" xfId="5"/>
    <cellStyle name="20% - 輔色5 2" xfId="6"/>
    <cellStyle name="20% - 輔色6 2" xfId="7"/>
    <cellStyle name="40% - 輔色1 2" xfId="8"/>
    <cellStyle name="40% - 輔色2 2" xfId="9"/>
    <cellStyle name="40% - 輔色3 2" xfId="10"/>
    <cellStyle name="40% - 輔色4 2" xfId="11"/>
    <cellStyle name="40% - 輔色5 2" xfId="12"/>
    <cellStyle name="40% - 輔色6 2" xfId="13"/>
    <cellStyle name="60% - 輔色1 2" xfId="14"/>
    <cellStyle name="60% - 輔色2 2" xfId="15"/>
    <cellStyle name="60% - 輔色3 2" xfId="16"/>
    <cellStyle name="60% - 輔色4 2" xfId="17"/>
    <cellStyle name="60% - 輔色5 2" xfId="18"/>
    <cellStyle name="60% - 輔色6 2" xfId="19"/>
    <cellStyle name="Euro" xfId="20"/>
    <cellStyle name="Normal_aaSwpi" xfId="21"/>
    <cellStyle name="一般" xfId="0" builtinId="0"/>
    <cellStyle name="一般 2" xfId="1"/>
    <cellStyle name="千分位" xfId="47" builtinId="3"/>
    <cellStyle name="千分位 2" xfId="22"/>
    <cellStyle name="中等 2" xfId="23"/>
    <cellStyle name="合計 2" xfId="24"/>
    <cellStyle name="好 2" xfId="25"/>
    <cellStyle name="百分比" xfId="48" builtinId="5"/>
    <cellStyle name="百分比 2" xfId="26"/>
    <cellStyle name="計算方式 2" xfId="27"/>
    <cellStyle name="連結的儲存格 2" xfId="28"/>
    <cellStyle name="備註 2" xfId="29"/>
    <cellStyle name="超連結" xfId="49" builtinId="8"/>
    <cellStyle name="說明文字 2" xfId="30"/>
    <cellStyle name="輔色1 2" xfId="31"/>
    <cellStyle name="輔色2 2" xfId="32"/>
    <cellStyle name="輔色3 2" xfId="33"/>
    <cellStyle name="輔色4 2" xfId="34"/>
    <cellStyle name="輔色5 2" xfId="35"/>
    <cellStyle name="輔色6 2" xfId="36"/>
    <cellStyle name="標題 1 2" xfId="38"/>
    <cellStyle name="標題 2 2" xfId="39"/>
    <cellStyle name="標題 3 2" xfId="40"/>
    <cellStyle name="標題 4 2" xfId="41"/>
    <cellStyle name="標題 5" xfId="37"/>
    <cellStyle name="輸入 2" xfId="42"/>
    <cellStyle name="輸出 2" xfId="43"/>
    <cellStyle name="檢查儲存格 2" xfId="44"/>
    <cellStyle name="壞 2" xfId="45"/>
    <cellStyle name="警告文字 2" xfId="4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altLang="zh-TW" sz="1800"/>
              <a:t>TWD/USD</a:t>
            </a:r>
            <a:r>
              <a:rPr lang="en-US" altLang="zh-TW" sz="1800" baseline="0"/>
              <a:t> Swap Point Qutoe</a:t>
            </a:r>
            <a:endParaRPr lang="zh-TW" altLang="en-US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836310854537088E-2"/>
          <c:y val="0.25973084756775672"/>
          <c:w val="0.95327336697952791"/>
          <c:h val="0.7103041426552642"/>
        </c:manualLayout>
      </c:layout>
      <c:barChart>
        <c:barDir val="col"/>
        <c:grouping val="clustered"/>
        <c:varyColors val="0"/>
        <c:ser>
          <c:idx val="0"/>
          <c:order val="0"/>
          <c:tx>
            <c:v>FXSWAP</c:v>
          </c:tx>
          <c:spPr>
            <a:solidFill>
              <a:srgbClr val="00B0F0"/>
            </a:solidFill>
            <a:ln>
              <a:solidFill>
                <a:srgbClr val="00B0F0"/>
              </a:solidFill>
            </a:ln>
          </c:spPr>
          <c:invertIfNegative val="0"/>
          <c:dLbls>
            <c:numFmt formatCode="#,##0.0_ 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rgbClr val="002060"/>
                    </a:solidFill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'FX-ImpliedCurve'!$B$3:$B$8</c:f>
              <c:strCache>
                <c:ptCount val="6"/>
                <c:pt idx="0">
                  <c:v>TWDSW=</c:v>
                </c:pt>
                <c:pt idx="1">
                  <c:v>TWD1M=</c:v>
                </c:pt>
                <c:pt idx="2">
                  <c:v>TWD2M=</c:v>
                </c:pt>
                <c:pt idx="3">
                  <c:v>TWD3M=</c:v>
                </c:pt>
                <c:pt idx="4">
                  <c:v>TWD6M=</c:v>
                </c:pt>
                <c:pt idx="5">
                  <c:v>TWD9M=</c:v>
                </c:pt>
              </c:strCache>
            </c:strRef>
          </c:cat>
          <c:val>
            <c:numRef>
              <c:f>'FX-ImpliedCurve'!$J$3:$J$8</c:f>
              <c:numCache>
                <c:formatCode>0.0000_ ;[Red]\-0.0000\ </c:formatCode>
                <c:ptCount val="6"/>
                <c:pt idx="0">
                  <c:v>-2.1428571428571422E-4</c:v>
                </c:pt>
                <c:pt idx="1">
                  <c:v>-2.4807692307692308E-3</c:v>
                </c:pt>
                <c:pt idx="2">
                  <c:v>-5.5862068965517242E-3</c:v>
                </c:pt>
                <c:pt idx="3">
                  <c:v>-8.7857142857142873E-3</c:v>
                </c:pt>
                <c:pt idx="4">
                  <c:v>-3.1956521739130439E-2</c:v>
                </c:pt>
                <c:pt idx="5">
                  <c:v>-6.6652173913043483E-2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74-49BC-9CDF-0FE0CD8DA755}"/>
            </c:ext>
          </c:extLst>
        </c:ser>
        <c:ser>
          <c:idx val="1"/>
          <c:order val="1"/>
          <c:tx>
            <c:v>NDF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dLbls>
            <c:numFmt formatCode="#,##0.0_ 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'FX-ImpliedCurve'!$J$11:$J$16</c:f>
              <c:numCache>
                <c:formatCode>0.0000_ ;[Red]\-0.0000\ </c:formatCode>
                <c:ptCount val="6"/>
                <c:pt idx="0">
                  <c:v>3.5714285714285709E-3</c:v>
                </c:pt>
                <c:pt idx="1">
                  <c:v>-4.1442307692307688E-2</c:v>
                </c:pt>
                <c:pt idx="2">
                  <c:v>-0.10810344827586207</c:v>
                </c:pt>
                <c:pt idx="3">
                  <c:v>-0.18014285714285713</c:v>
                </c:pt>
                <c:pt idx="4">
                  <c:v>-0.35908695652173911</c:v>
                </c:pt>
                <c:pt idx="5">
                  <c:v>-0.51268306010928966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74-49BC-9CDF-0FE0CD8DA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674304"/>
        <c:axId val="368675840"/>
      </c:barChart>
      <c:catAx>
        <c:axId val="368674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high"/>
        <c:txPr>
          <a:bodyPr/>
          <a:lstStyle/>
          <a:p>
            <a:pPr>
              <a:defRPr sz="1200" b="1">
                <a:latin typeface="+mn-lt"/>
              </a:defRPr>
            </a:pPr>
            <a:endParaRPr lang="zh-TW"/>
          </a:p>
        </c:txPr>
        <c:crossAx val="368675840"/>
        <c:crosses val="autoZero"/>
        <c:auto val="1"/>
        <c:lblAlgn val="ctr"/>
        <c:lblOffset val="100"/>
        <c:noMultiLvlLbl val="0"/>
      </c:catAx>
      <c:valAx>
        <c:axId val="368675840"/>
        <c:scaling>
          <c:orientation val="minMax"/>
        </c:scaling>
        <c:delete val="1"/>
        <c:axPos val="l"/>
        <c:numFmt formatCode="0.00_ ;[Red]\-0.00\ " sourceLinked="0"/>
        <c:majorTickMark val="out"/>
        <c:minorTickMark val="none"/>
        <c:tickLblPos val="nextTo"/>
        <c:crossAx val="36867430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370738410866822"/>
          <c:y val="0.82655696646578092"/>
          <c:w val="0.32585213965631304"/>
          <c:h val="0.10483238653041541"/>
        </c:manualLayout>
      </c:layout>
      <c:overlay val="0"/>
      <c:txPr>
        <a:bodyPr/>
        <a:lstStyle/>
        <a:p>
          <a:pPr>
            <a:defRPr sz="1400" b="1">
              <a:latin typeface="+mn-lt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135160</xdr:colOff>
      <xdr:row>48</xdr:row>
      <xdr:rowOff>98425</xdr:rowOff>
    </xdr:from>
    <xdr:to>
      <xdr:col>20</xdr:col>
      <xdr:colOff>228600</xdr:colOff>
      <xdr:row>65</xdr:row>
      <xdr:rowOff>69850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</xdr:row>
          <xdr:rowOff>47625</xdr:rowOff>
        </xdr:from>
        <xdr:to>
          <xdr:col>19</xdr:col>
          <xdr:colOff>0</xdr:colOff>
          <xdr:row>3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MtM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L241"/>
  <sheetViews>
    <sheetView topLeftCell="A16" workbookViewId="0">
      <selection activeCell="D12" sqref="D12"/>
    </sheetView>
  </sheetViews>
  <sheetFormatPr defaultRowHeight="15.75" x14ac:dyDescent="0.25"/>
  <cols>
    <col min="1" max="1" width="11.875" customWidth="1"/>
    <col min="3" max="3" width="11.125" style="1" bestFit="1" customWidth="1"/>
    <col min="6" max="6" width="10.75" customWidth="1"/>
  </cols>
  <sheetData>
    <row r="1" spans="1:6" x14ac:dyDescent="0.25">
      <c r="A1" s="1">
        <v>44544</v>
      </c>
    </row>
    <row r="2" spans="1:6" x14ac:dyDescent="0.25">
      <c r="A2" t="s">
        <v>297</v>
      </c>
      <c r="B2" t="s">
        <v>298</v>
      </c>
      <c r="C2" s="1" t="s">
        <v>299</v>
      </c>
      <c r="D2" t="s">
        <v>300</v>
      </c>
      <c r="E2" t="s">
        <v>301</v>
      </c>
      <c r="F2" t="s">
        <v>344</v>
      </c>
    </row>
    <row r="3" spans="1:6" x14ac:dyDescent="0.25">
      <c r="A3" t="s">
        <v>512</v>
      </c>
      <c r="B3" t="s">
        <v>6</v>
      </c>
      <c r="C3" s="1">
        <v>44546</v>
      </c>
      <c r="D3">
        <v>0.7107</v>
      </c>
      <c r="E3">
        <v>0.71079999999999999</v>
      </c>
      <c r="F3">
        <v>0.71074999999999999</v>
      </c>
    </row>
    <row r="4" spans="1:6" x14ac:dyDescent="0.25">
      <c r="A4" t="s">
        <v>34</v>
      </c>
      <c r="B4" t="s">
        <v>302</v>
      </c>
      <c r="C4" s="1">
        <v>44553</v>
      </c>
      <c r="D4">
        <v>0.02</v>
      </c>
      <c r="E4">
        <v>0.09</v>
      </c>
      <c r="F4">
        <v>5.5E-2</v>
      </c>
    </row>
    <row r="5" spans="1:6" x14ac:dyDescent="0.25">
      <c r="A5" t="s">
        <v>35</v>
      </c>
      <c r="B5" t="s">
        <v>303</v>
      </c>
      <c r="C5" s="1">
        <v>44579</v>
      </c>
      <c r="D5">
        <v>1.79</v>
      </c>
      <c r="E5">
        <v>3.29</v>
      </c>
      <c r="F5">
        <v>2.54</v>
      </c>
    </row>
    <row r="6" spans="1:6" x14ac:dyDescent="0.25">
      <c r="A6" t="s">
        <v>36</v>
      </c>
      <c r="B6" t="s">
        <v>304</v>
      </c>
      <c r="C6" s="1">
        <v>44608</v>
      </c>
      <c r="D6">
        <v>2.7600000000000002</v>
      </c>
      <c r="E6">
        <v>2.91</v>
      </c>
      <c r="F6">
        <v>2.835</v>
      </c>
    </row>
    <row r="7" spans="1:6" x14ac:dyDescent="0.25">
      <c r="A7" t="s">
        <v>37</v>
      </c>
      <c r="B7" t="s">
        <v>305</v>
      </c>
      <c r="C7" s="1">
        <v>44636</v>
      </c>
      <c r="D7">
        <v>2.86</v>
      </c>
      <c r="E7">
        <v>3.06</v>
      </c>
      <c r="F7">
        <v>2.96</v>
      </c>
    </row>
    <row r="8" spans="1:6" x14ac:dyDescent="0.25">
      <c r="A8" t="s">
        <v>38</v>
      </c>
      <c r="B8" t="s">
        <v>253</v>
      </c>
      <c r="C8" s="1">
        <v>44728</v>
      </c>
      <c r="D8">
        <v>3.59</v>
      </c>
      <c r="E8">
        <v>4.09</v>
      </c>
      <c r="F8">
        <v>3.84</v>
      </c>
    </row>
    <row r="9" spans="1:6" x14ac:dyDescent="0.25">
      <c r="A9" t="s">
        <v>39</v>
      </c>
      <c r="B9" t="s">
        <v>306</v>
      </c>
      <c r="C9" s="1">
        <v>44820</v>
      </c>
      <c r="D9">
        <v>1.82</v>
      </c>
      <c r="E9">
        <v>4.08</v>
      </c>
      <c r="F9">
        <v>2.95</v>
      </c>
    </row>
    <row r="10" spans="1:6" x14ac:dyDescent="0.25">
      <c r="A10" t="s">
        <v>40</v>
      </c>
      <c r="B10" t="s">
        <v>307</v>
      </c>
      <c r="C10" s="1">
        <v>44911</v>
      </c>
      <c r="D10">
        <v>-1.95</v>
      </c>
      <c r="E10">
        <v>0.05</v>
      </c>
      <c r="F10">
        <v>-0.95</v>
      </c>
    </row>
    <row r="11" spans="1:6" x14ac:dyDescent="0.25">
      <c r="A11" t="s">
        <v>513</v>
      </c>
      <c r="B11" t="s">
        <v>7</v>
      </c>
      <c r="C11" s="1">
        <v>44545</v>
      </c>
      <c r="D11">
        <v>1.2852000000000001</v>
      </c>
      <c r="E11">
        <v>1.2853000000000001</v>
      </c>
      <c r="F11">
        <v>1.28525</v>
      </c>
    </row>
    <row r="12" spans="1:6" x14ac:dyDescent="0.25">
      <c r="A12" t="s">
        <v>41</v>
      </c>
      <c r="B12" t="s">
        <v>302</v>
      </c>
      <c r="C12" s="1">
        <v>44552</v>
      </c>
      <c r="D12">
        <v>0.14000000000000001</v>
      </c>
      <c r="E12">
        <v>0.34</v>
      </c>
      <c r="F12">
        <v>0.24000000000000002</v>
      </c>
    </row>
    <row r="13" spans="1:6" x14ac:dyDescent="0.25">
      <c r="A13" t="s">
        <v>42</v>
      </c>
      <c r="B13" t="s">
        <v>303</v>
      </c>
      <c r="C13" s="1">
        <v>44579</v>
      </c>
      <c r="D13">
        <v>-5.01</v>
      </c>
      <c r="E13">
        <v>-3.5100000000000002</v>
      </c>
      <c r="F13">
        <v>-4.26</v>
      </c>
    </row>
    <row r="14" spans="1:6" x14ac:dyDescent="0.25">
      <c r="A14" t="s">
        <v>43</v>
      </c>
      <c r="B14" t="s">
        <v>304</v>
      </c>
      <c r="C14" s="1">
        <v>44607</v>
      </c>
      <c r="D14">
        <v>-3.83</v>
      </c>
      <c r="E14">
        <v>-2.83</v>
      </c>
      <c r="F14">
        <v>-3.33</v>
      </c>
    </row>
    <row r="15" spans="1:6" x14ac:dyDescent="0.25">
      <c r="A15" t="s">
        <v>44</v>
      </c>
      <c r="B15" t="s">
        <v>305</v>
      </c>
      <c r="C15" s="1">
        <v>44635</v>
      </c>
      <c r="D15">
        <v>-3.0300000000000002</v>
      </c>
      <c r="E15">
        <v>-1.53</v>
      </c>
      <c r="F15">
        <v>-2.2800000000000002</v>
      </c>
    </row>
    <row r="16" spans="1:6" x14ac:dyDescent="0.25">
      <c r="A16" t="s">
        <v>45</v>
      </c>
      <c r="B16" t="s">
        <v>253</v>
      </c>
      <c r="C16" s="1">
        <v>44727</v>
      </c>
      <c r="D16">
        <v>5.2</v>
      </c>
      <c r="E16">
        <v>7</v>
      </c>
      <c r="F16">
        <v>6.1</v>
      </c>
    </row>
    <row r="17" spans="1:6" x14ac:dyDescent="0.25">
      <c r="A17" t="s">
        <v>46</v>
      </c>
      <c r="B17" t="s">
        <v>306</v>
      </c>
      <c r="C17" s="1">
        <v>44819</v>
      </c>
      <c r="D17">
        <v>20.75</v>
      </c>
      <c r="E17">
        <v>25.080000000000002</v>
      </c>
      <c r="F17">
        <v>22.914999999999999</v>
      </c>
    </row>
    <row r="18" spans="1:6" x14ac:dyDescent="0.25">
      <c r="A18" t="s">
        <v>47</v>
      </c>
      <c r="B18" t="s">
        <v>307</v>
      </c>
      <c r="C18" s="1">
        <v>44910</v>
      </c>
      <c r="D18">
        <v>41</v>
      </c>
      <c r="E18">
        <v>45</v>
      </c>
      <c r="F18">
        <v>43</v>
      </c>
    </row>
    <row r="19" spans="1:6" x14ac:dyDescent="0.25">
      <c r="A19" t="s">
        <v>514</v>
      </c>
      <c r="B19" t="s">
        <v>12</v>
      </c>
      <c r="C19" s="1">
        <v>44546</v>
      </c>
      <c r="D19">
        <v>0.9235000000000001</v>
      </c>
      <c r="E19">
        <v>0.9245000000000001</v>
      </c>
      <c r="F19">
        <v>0.92400000000000015</v>
      </c>
    </row>
    <row r="20" spans="1:6" x14ac:dyDescent="0.25">
      <c r="A20" t="s">
        <v>48</v>
      </c>
      <c r="B20" t="s">
        <v>302</v>
      </c>
      <c r="C20" s="1">
        <v>44553</v>
      </c>
      <c r="D20">
        <v>-1.67</v>
      </c>
      <c r="E20">
        <v>-1.57</v>
      </c>
      <c r="F20">
        <v>-1.62</v>
      </c>
    </row>
    <row r="21" spans="1:6" x14ac:dyDescent="0.25">
      <c r="A21" t="s">
        <v>49</v>
      </c>
      <c r="B21" t="s">
        <v>303</v>
      </c>
      <c r="C21" s="1">
        <v>44579</v>
      </c>
      <c r="D21">
        <v>-13.82</v>
      </c>
      <c r="E21">
        <v>-11.950000000000001</v>
      </c>
      <c r="F21">
        <v>-12.885000000000002</v>
      </c>
    </row>
    <row r="22" spans="1:6" x14ac:dyDescent="0.25">
      <c r="A22" t="s">
        <v>50</v>
      </c>
      <c r="B22" t="s">
        <v>304</v>
      </c>
      <c r="C22" s="1">
        <v>44608</v>
      </c>
      <c r="D22">
        <v>-20.34</v>
      </c>
      <c r="E22">
        <v>-20.09</v>
      </c>
      <c r="F22">
        <v>-20.215</v>
      </c>
    </row>
    <row r="23" spans="1:6" x14ac:dyDescent="0.25">
      <c r="A23" t="s">
        <v>51</v>
      </c>
      <c r="B23" t="s">
        <v>305</v>
      </c>
      <c r="C23" s="1">
        <v>44636</v>
      </c>
      <c r="D23">
        <v>-27.91</v>
      </c>
      <c r="E23">
        <v>-26.6</v>
      </c>
      <c r="F23">
        <v>-27.255000000000003</v>
      </c>
    </row>
    <row r="24" spans="1:6" x14ac:dyDescent="0.25">
      <c r="A24" t="s">
        <v>52</v>
      </c>
      <c r="B24" t="s">
        <v>253</v>
      </c>
      <c r="C24" s="1">
        <v>44728</v>
      </c>
      <c r="D24">
        <v>-53.730000000000004</v>
      </c>
      <c r="E24">
        <v>-52.83</v>
      </c>
      <c r="F24">
        <v>-53.28</v>
      </c>
    </row>
    <row r="25" spans="1:6" x14ac:dyDescent="0.25">
      <c r="A25" t="s">
        <v>53</v>
      </c>
      <c r="B25" t="s">
        <v>306</v>
      </c>
      <c r="C25" s="1">
        <v>44820</v>
      </c>
      <c r="D25">
        <v>-84.86</v>
      </c>
      <c r="E25">
        <v>-82.36</v>
      </c>
      <c r="F25">
        <v>-83.61</v>
      </c>
    </row>
    <row r="26" spans="1:6" x14ac:dyDescent="0.25">
      <c r="A26" t="s">
        <v>54</v>
      </c>
      <c r="B26" t="s">
        <v>307</v>
      </c>
      <c r="C26" s="1">
        <v>44911</v>
      </c>
      <c r="D26">
        <v>-125.58</v>
      </c>
      <c r="E26">
        <v>-108.29</v>
      </c>
      <c r="F26">
        <v>-116.935</v>
      </c>
    </row>
    <row r="27" spans="1:6" x14ac:dyDescent="0.25">
      <c r="A27" t="s">
        <v>515</v>
      </c>
      <c r="B27" t="s">
        <v>3</v>
      </c>
      <c r="C27" s="1">
        <v>44546</v>
      </c>
      <c r="D27">
        <v>6.3711000000000002</v>
      </c>
      <c r="E27">
        <v>6.3719000000000001</v>
      </c>
      <c r="F27">
        <v>6.3715000000000002</v>
      </c>
    </row>
    <row r="28" spans="1:6" x14ac:dyDescent="0.25">
      <c r="A28" t="s">
        <v>55</v>
      </c>
      <c r="B28" t="s">
        <v>302</v>
      </c>
      <c r="C28" s="1">
        <v>44553</v>
      </c>
      <c r="D28">
        <v>14</v>
      </c>
      <c r="E28">
        <v>20</v>
      </c>
      <c r="F28">
        <v>17</v>
      </c>
    </row>
    <row r="29" spans="1:6" x14ac:dyDescent="0.25">
      <c r="A29" t="s">
        <v>56</v>
      </c>
      <c r="B29" t="s">
        <v>303</v>
      </c>
      <c r="C29" s="1">
        <v>44579</v>
      </c>
      <c r="D29">
        <v>129.5</v>
      </c>
      <c r="E29">
        <v>141.5</v>
      </c>
      <c r="F29">
        <v>135.5</v>
      </c>
    </row>
    <row r="30" spans="1:6" x14ac:dyDescent="0.25">
      <c r="A30" t="s">
        <v>166</v>
      </c>
      <c r="B30" t="s">
        <v>304</v>
      </c>
      <c r="C30" s="1">
        <v>44608</v>
      </c>
      <c r="D30">
        <v>265</v>
      </c>
      <c r="E30">
        <v>275</v>
      </c>
      <c r="F30">
        <v>270</v>
      </c>
    </row>
    <row r="31" spans="1:6" x14ac:dyDescent="0.25">
      <c r="A31" t="s">
        <v>57</v>
      </c>
      <c r="B31" t="s">
        <v>305</v>
      </c>
      <c r="C31" s="1">
        <v>44636</v>
      </c>
      <c r="D31">
        <v>376</v>
      </c>
      <c r="E31">
        <v>396</v>
      </c>
      <c r="F31">
        <v>386</v>
      </c>
    </row>
    <row r="32" spans="1:6" x14ac:dyDescent="0.25">
      <c r="A32" t="s">
        <v>58</v>
      </c>
      <c r="B32" t="s">
        <v>253</v>
      </c>
      <c r="C32" s="1">
        <v>44728</v>
      </c>
      <c r="D32">
        <v>781.73</v>
      </c>
      <c r="E32">
        <v>792.23</v>
      </c>
      <c r="F32">
        <v>786.98</v>
      </c>
    </row>
    <row r="33" spans="1:6" x14ac:dyDescent="0.25">
      <c r="A33" t="s">
        <v>59</v>
      </c>
      <c r="B33" t="s">
        <v>306</v>
      </c>
      <c r="C33" s="1">
        <v>44820</v>
      </c>
      <c r="D33">
        <v>1182</v>
      </c>
      <c r="E33">
        <v>1202</v>
      </c>
      <c r="F33">
        <v>1192</v>
      </c>
    </row>
    <row r="34" spans="1:6" x14ac:dyDescent="0.25">
      <c r="A34" t="s">
        <v>60</v>
      </c>
      <c r="B34" t="s">
        <v>307</v>
      </c>
      <c r="C34" s="1">
        <v>44911</v>
      </c>
      <c r="D34">
        <v>1568.5</v>
      </c>
      <c r="E34">
        <v>1588.5</v>
      </c>
      <c r="F34">
        <v>1578.5</v>
      </c>
    </row>
    <row r="35" spans="1:6" x14ac:dyDescent="0.25">
      <c r="A35" t="s">
        <v>516</v>
      </c>
      <c r="B35" t="s">
        <v>315</v>
      </c>
      <c r="C35" s="1">
        <v>44546</v>
      </c>
      <c r="D35">
        <v>6.3639999999999999</v>
      </c>
      <c r="E35">
        <v>6.3646000000000003</v>
      </c>
      <c r="F35">
        <v>6.3643000000000001</v>
      </c>
    </row>
    <row r="36" spans="1:6" x14ac:dyDescent="0.25">
      <c r="A36" t="s">
        <v>61</v>
      </c>
      <c r="B36" t="s">
        <v>302</v>
      </c>
      <c r="C36" s="1">
        <v>44553</v>
      </c>
      <c r="D36">
        <v>27</v>
      </c>
      <c r="E36">
        <v>28</v>
      </c>
      <c r="F36">
        <v>27.5</v>
      </c>
    </row>
    <row r="37" spans="1:6" x14ac:dyDescent="0.25">
      <c r="A37" t="s">
        <v>62</v>
      </c>
      <c r="B37" t="s">
        <v>303</v>
      </c>
      <c r="C37" s="1">
        <v>44579</v>
      </c>
      <c r="D37">
        <v>175.5</v>
      </c>
      <c r="E37">
        <v>178.5</v>
      </c>
      <c r="F37">
        <v>177</v>
      </c>
    </row>
    <row r="38" spans="1:6" x14ac:dyDescent="0.25">
      <c r="A38" t="s">
        <v>316</v>
      </c>
      <c r="B38" t="s">
        <v>304</v>
      </c>
      <c r="C38" s="1">
        <v>44608</v>
      </c>
      <c r="D38">
        <v>326.5</v>
      </c>
      <c r="E38">
        <v>331.5</v>
      </c>
      <c r="F38">
        <v>329</v>
      </c>
    </row>
    <row r="39" spans="1:6" x14ac:dyDescent="0.25">
      <c r="A39" t="s">
        <v>63</v>
      </c>
      <c r="B39" t="s">
        <v>305</v>
      </c>
      <c r="C39" s="1">
        <v>44636</v>
      </c>
      <c r="D39">
        <v>446</v>
      </c>
      <c r="E39">
        <v>454</v>
      </c>
      <c r="F39">
        <v>450</v>
      </c>
    </row>
    <row r="40" spans="1:6" x14ac:dyDescent="0.25">
      <c r="A40" t="s">
        <v>64</v>
      </c>
      <c r="B40" t="s">
        <v>253</v>
      </c>
      <c r="C40" s="1">
        <v>44728</v>
      </c>
      <c r="D40">
        <v>841</v>
      </c>
      <c r="E40">
        <v>851</v>
      </c>
      <c r="F40">
        <v>846</v>
      </c>
    </row>
    <row r="41" spans="1:6" x14ac:dyDescent="0.25">
      <c r="A41" t="s">
        <v>65</v>
      </c>
      <c r="B41" t="s">
        <v>306</v>
      </c>
      <c r="C41" s="1">
        <v>44820</v>
      </c>
      <c r="D41">
        <v>1227</v>
      </c>
      <c r="E41">
        <v>1237</v>
      </c>
      <c r="F41">
        <v>1232</v>
      </c>
    </row>
    <row r="42" spans="1:6" x14ac:dyDescent="0.25">
      <c r="A42" t="s">
        <v>66</v>
      </c>
      <c r="B42" t="s">
        <v>307</v>
      </c>
      <c r="C42" s="1">
        <v>44911</v>
      </c>
      <c r="D42">
        <v>1601</v>
      </c>
      <c r="E42">
        <v>1611</v>
      </c>
      <c r="F42">
        <v>1606</v>
      </c>
    </row>
    <row r="43" spans="1:6" x14ac:dyDescent="0.25">
      <c r="A43" t="s">
        <v>517</v>
      </c>
      <c r="B43" t="s">
        <v>5</v>
      </c>
      <c r="C43" s="1">
        <v>44546</v>
      </c>
      <c r="D43">
        <v>1.1265000000000001</v>
      </c>
      <c r="E43">
        <v>1.1266</v>
      </c>
      <c r="F43">
        <v>1.1265499999999999</v>
      </c>
    </row>
    <row r="44" spans="1:6" x14ac:dyDescent="0.25">
      <c r="A44" t="s">
        <v>67</v>
      </c>
      <c r="B44" t="s">
        <v>302</v>
      </c>
      <c r="C44" s="1">
        <v>44553</v>
      </c>
      <c r="D44">
        <v>1.3</v>
      </c>
      <c r="E44">
        <v>1.57</v>
      </c>
      <c r="F44">
        <v>1.4350000000000001</v>
      </c>
    </row>
    <row r="45" spans="1:6" x14ac:dyDescent="0.25">
      <c r="A45" t="s">
        <v>68</v>
      </c>
      <c r="B45" t="s">
        <v>303</v>
      </c>
      <c r="C45" s="1">
        <v>44579</v>
      </c>
      <c r="D45">
        <v>12.58</v>
      </c>
      <c r="E45">
        <v>13.780000000000001</v>
      </c>
      <c r="F45">
        <v>13.18</v>
      </c>
    </row>
    <row r="46" spans="1:6" x14ac:dyDescent="0.25">
      <c r="A46" t="s">
        <v>69</v>
      </c>
      <c r="B46" t="s">
        <v>304</v>
      </c>
      <c r="C46" s="1">
        <v>44608</v>
      </c>
      <c r="D46">
        <v>18.77</v>
      </c>
      <c r="E46">
        <v>21.77</v>
      </c>
      <c r="F46">
        <v>20.27</v>
      </c>
    </row>
    <row r="47" spans="1:6" x14ac:dyDescent="0.25">
      <c r="A47" t="s">
        <v>70</v>
      </c>
      <c r="B47" t="s">
        <v>305</v>
      </c>
      <c r="C47" s="1">
        <v>44636</v>
      </c>
      <c r="D47">
        <v>25.34</v>
      </c>
      <c r="E47">
        <v>28.34</v>
      </c>
      <c r="F47">
        <v>26.84</v>
      </c>
    </row>
    <row r="48" spans="1:6" x14ac:dyDescent="0.25">
      <c r="A48" t="s">
        <v>71</v>
      </c>
      <c r="B48" t="s">
        <v>253</v>
      </c>
      <c r="C48" s="1">
        <v>44728</v>
      </c>
      <c r="D48">
        <v>51.28</v>
      </c>
      <c r="E48">
        <v>52.78</v>
      </c>
      <c r="F48">
        <v>52.03</v>
      </c>
    </row>
    <row r="49" spans="1:6" x14ac:dyDescent="0.25">
      <c r="A49" t="s">
        <v>72</v>
      </c>
      <c r="B49" t="s">
        <v>306</v>
      </c>
      <c r="C49" s="1">
        <v>44820</v>
      </c>
      <c r="D49">
        <v>81.010000000000005</v>
      </c>
      <c r="E49">
        <v>84.95</v>
      </c>
      <c r="F49">
        <v>82.98</v>
      </c>
    </row>
    <row r="50" spans="1:6" x14ac:dyDescent="0.25">
      <c r="A50" t="s">
        <v>73</v>
      </c>
      <c r="B50" t="s">
        <v>307</v>
      </c>
      <c r="C50" s="1">
        <v>44911</v>
      </c>
      <c r="D50">
        <v>116.8</v>
      </c>
      <c r="E50">
        <v>119.8</v>
      </c>
      <c r="F50">
        <v>118.3</v>
      </c>
    </row>
    <row r="51" spans="1:6" x14ac:dyDescent="0.25">
      <c r="A51" t="s">
        <v>518</v>
      </c>
      <c r="B51" t="s">
        <v>15</v>
      </c>
      <c r="C51" s="1">
        <v>44546</v>
      </c>
      <c r="D51">
        <v>1.323</v>
      </c>
      <c r="E51">
        <v>1.3234000000000001</v>
      </c>
      <c r="F51">
        <v>1.3231999999999999</v>
      </c>
    </row>
    <row r="52" spans="1:6" x14ac:dyDescent="0.25">
      <c r="A52" t="s">
        <v>74</v>
      </c>
      <c r="B52" t="s">
        <v>302</v>
      </c>
      <c r="C52" s="1">
        <v>44553</v>
      </c>
      <c r="D52">
        <v>0.02</v>
      </c>
      <c r="E52">
        <v>0.16</v>
      </c>
      <c r="F52">
        <v>0.09</v>
      </c>
    </row>
    <row r="53" spans="1:6" x14ac:dyDescent="0.25">
      <c r="A53" t="s">
        <v>75</v>
      </c>
      <c r="B53" t="s">
        <v>303</v>
      </c>
      <c r="C53" s="1">
        <v>44579</v>
      </c>
      <c r="D53">
        <v>6.8500000000000005</v>
      </c>
      <c r="E53">
        <v>7.65</v>
      </c>
      <c r="F53">
        <v>7.25</v>
      </c>
    </row>
    <row r="54" spans="1:6" x14ac:dyDescent="0.25">
      <c r="A54" t="s">
        <v>76</v>
      </c>
      <c r="B54" t="s">
        <v>304</v>
      </c>
      <c r="C54" s="1">
        <v>44608</v>
      </c>
      <c r="D54">
        <v>6.61</v>
      </c>
      <c r="E54">
        <v>7.41</v>
      </c>
      <c r="F54">
        <v>7.01</v>
      </c>
    </row>
    <row r="55" spans="1:6" x14ac:dyDescent="0.25">
      <c r="A55" t="s">
        <v>77</v>
      </c>
      <c r="B55" t="s">
        <v>305</v>
      </c>
      <c r="C55" s="1">
        <v>44636</v>
      </c>
      <c r="D55">
        <v>5.39</v>
      </c>
      <c r="E55">
        <v>5.92</v>
      </c>
      <c r="F55">
        <v>5.6549999999999994</v>
      </c>
    </row>
    <row r="56" spans="1:6" x14ac:dyDescent="0.25">
      <c r="A56" t="s">
        <v>78</v>
      </c>
      <c r="B56" t="s">
        <v>253</v>
      </c>
      <c r="C56" s="1">
        <v>44728</v>
      </c>
      <c r="D56">
        <v>-1.21</v>
      </c>
      <c r="E56">
        <v>0.69000000000000006</v>
      </c>
      <c r="F56">
        <v>-0.25999999999999995</v>
      </c>
    </row>
    <row r="57" spans="1:6" x14ac:dyDescent="0.25">
      <c r="A57" t="s">
        <v>79</v>
      </c>
      <c r="B57" t="s">
        <v>306</v>
      </c>
      <c r="C57" s="1">
        <v>44820</v>
      </c>
      <c r="D57">
        <v>-12.23</v>
      </c>
      <c r="E57">
        <v>-9.2200000000000006</v>
      </c>
      <c r="F57">
        <v>-10.725000000000001</v>
      </c>
    </row>
    <row r="58" spans="1:6" x14ac:dyDescent="0.25">
      <c r="A58" t="s">
        <v>80</v>
      </c>
      <c r="B58" t="s">
        <v>307</v>
      </c>
      <c r="C58" s="1">
        <v>44911</v>
      </c>
      <c r="D58">
        <v>-22.400000000000002</v>
      </c>
      <c r="E58">
        <v>-18.400000000000002</v>
      </c>
      <c r="F58">
        <v>-20.400000000000002</v>
      </c>
    </row>
    <row r="59" spans="1:6" x14ac:dyDescent="0.25">
      <c r="A59" t="s">
        <v>519</v>
      </c>
      <c r="B59" t="s">
        <v>2</v>
      </c>
      <c r="C59" s="1">
        <v>44546</v>
      </c>
      <c r="D59">
        <v>113.68</v>
      </c>
      <c r="E59">
        <v>113.71000000000001</v>
      </c>
      <c r="F59">
        <v>113.69500000000001</v>
      </c>
    </row>
    <row r="60" spans="1:6" x14ac:dyDescent="0.25">
      <c r="A60" t="s">
        <v>81</v>
      </c>
      <c r="B60" t="s">
        <v>302</v>
      </c>
      <c r="C60" s="1">
        <v>44553</v>
      </c>
      <c r="D60">
        <v>-0.46</v>
      </c>
      <c r="E60">
        <v>-0.39</v>
      </c>
      <c r="F60">
        <v>-0.42500000000000004</v>
      </c>
    </row>
    <row r="61" spans="1:6" x14ac:dyDescent="0.25">
      <c r="A61" t="s">
        <v>82</v>
      </c>
      <c r="B61" t="s">
        <v>303</v>
      </c>
      <c r="C61" s="1">
        <v>44579</v>
      </c>
      <c r="D61">
        <v>-7.71</v>
      </c>
      <c r="E61">
        <v>-7.41</v>
      </c>
      <c r="F61">
        <v>-7.5600000000000005</v>
      </c>
    </row>
    <row r="62" spans="1:6" x14ac:dyDescent="0.25">
      <c r="A62" t="s">
        <v>83</v>
      </c>
      <c r="B62" t="s">
        <v>304</v>
      </c>
      <c r="C62" s="1">
        <v>44608</v>
      </c>
      <c r="D62">
        <v>-10.55</v>
      </c>
      <c r="E62">
        <v>-10.050000000000001</v>
      </c>
      <c r="F62">
        <v>-10.3</v>
      </c>
    </row>
    <row r="63" spans="1:6" x14ac:dyDescent="0.25">
      <c r="A63" t="s">
        <v>84</v>
      </c>
      <c r="B63" t="s">
        <v>305</v>
      </c>
      <c r="C63" s="1">
        <v>44636</v>
      </c>
      <c r="D63">
        <v>-13.15</v>
      </c>
      <c r="E63">
        <v>-12.65</v>
      </c>
      <c r="F63">
        <v>-12.9</v>
      </c>
    </row>
    <row r="64" spans="1:6" x14ac:dyDescent="0.25">
      <c r="A64" t="s">
        <v>85</v>
      </c>
      <c r="B64" t="s">
        <v>253</v>
      </c>
      <c r="C64" s="1">
        <v>44728</v>
      </c>
      <c r="D64">
        <v>-28.1</v>
      </c>
      <c r="E64">
        <v>-27.3</v>
      </c>
      <c r="F64">
        <v>-27.700000000000003</v>
      </c>
    </row>
    <row r="65" spans="1:6" x14ac:dyDescent="0.25">
      <c r="A65" t="s">
        <v>86</v>
      </c>
      <c r="B65" t="s">
        <v>306</v>
      </c>
      <c r="C65" s="1">
        <v>44820</v>
      </c>
      <c r="D65">
        <v>-50.2</v>
      </c>
      <c r="E65">
        <v>-49.2</v>
      </c>
      <c r="F65">
        <v>-49.7</v>
      </c>
    </row>
    <row r="66" spans="1:6" x14ac:dyDescent="0.25">
      <c r="A66" t="s">
        <v>87</v>
      </c>
      <c r="B66" t="s">
        <v>307</v>
      </c>
      <c r="C66" s="1">
        <v>44911</v>
      </c>
      <c r="D66">
        <v>-78.83</v>
      </c>
      <c r="E66">
        <v>-76.78</v>
      </c>
      <c r="F66">
        <v>-77.805000000000007</v>
      </c>
    </row>
    <row r="67" spans="1:6" x14ac:dyDescent="0.25">
      <c r="A67" t="s">
        <v>520</v>
      </c>
      <c r="B67" t="s">
        <v>11</v>
      </c>
      <c r="C67" s="1">
        <v>44546</v>
      </c>
      <c r="D67">
        <v>4.2350000000000003</v>
      </c>
      <c r="E67">
        <v>4.2389999999999999</v>
      </c>
      <c r="F67">
        <v>4.2370000000000001</v>
      </c>
    </row>
    <row r="68" spans="1:6" x14ac:dyDescent="0.25">
      <c r="A68" t="s">
        <v>88</v>
      </c>
      <c r="B68" t="s">
        <v>302</v>
      </c>
      <c r="C68" s="1">
        <v>44553</v>
      </c>
      <c r="D68">
        <v>13.05</v>
      </c>
      <c r="E68">
        <v>14.05</v>
      </c>
      <c r="F68">
        <v>13.55</v>
      </c>
    </row>
    <row r="69" spans="1:6" x14ac:dyDescent="0.25">
      <c r="A69" t="s">
        <v>89</v>
      </c>
      <c r="B69" t="s">
        <v>303</v>
      </c>
      <c r="C69" s="1">
        <v>44580</v>
      </c>
      <c r="D69">
        <v>56.5</v>
      </c>
      <c r="E69">
        <v>62.5</v>
      </c>
      <c r="F69">
        <v>59.5</v>
      </c>
    </row>
    <row r="70" spans="1:6" x14ac:dyDescent="0.25">
      <c r="A70" t="s">
        <v>140</v>
      </c>
      <c r="B70" t="s">
        <v>304</v>
      </c>
      <c r="C70" s="1">
        <v>44608</v>
      </c>
      <c r="D70">
        <v>110.5</v>
      </c>
      <c r="E70">
        <v>116.5</v>
      </c>
      <c r="F70">
        <v>113.5</v>
      </c>
    </row>
    <row r="71" spans="1:6" x14ac:dyDescent="0.25">
      <c r="A71" t="s">
        <v>90</v>
      </c>
      <c r="B71" t="s">
        <v>305</v>
      </c>
      <c r="C71" s="1">
        <v>44636</v>
      </c>
      <c r="D71">
        <v>157.5</v>
      </c>
      <c r="E71">
        <v>168.5</v>
      </c>
      <c r="F71">
        <v>163</v>
      </c>
    </row>
    <row r="72" spans="1:6" x14ac:dyDescent="0.25">
      <c r="A72" t="s">
        <v>91</v>
      </c>
      <c r="B72" t="s">
        <v>253</v>
      </c>
      <c r="C72" s="1">
        <v>44728</v>
      </c>
      <c r="D72">
        <v>300</v>
      </c>
      <c r="E72">
        <v>310</v>
      </c>
      <c r="F72">
        <v>305</v>
      </c>
    </row>
    <row r="73" spans="1:6" x14ac:dyDescent="0.25">
      <c r="A73" t="s">
        <v>92</v>
      </c>
      <c r="B73" t="s">
        <v>306</v>
      </c>
      <c r="C73" s="1">
        <v>44823</v>
      </c>
      <c r="D73">
        <v>425</v>
      </c>
      <c r="E73">
        <v>445</v>
      </c>
      <c r="F73">
        <v>435</v>
      </c>
    </row>
    <row r="74" spans="1:6" x14ac:dyDescent="0.25">
      <c r="A74" t="s">
        <v>93</v>
      </c>
      <c r="B74" t="s">
        <v>307</v>
      </c>
      <c r="C74" s="1">
        <v>44911</v>
      </c>
      <c r="D74">
        <v>540</v>
      </c>
      <c r="E74">
        <v>570</v>
      </c>
      <c r="F74">
        <v>555</v>
      </c>
    </row>
    <row r="75" spans="1:6" x14ac:dyDescent="0.25">
      <c r="A75" t="s">
        <v>521</v>
      </c>
      <c r="B75" t="s">
        <v>13</v>
      </c>
      <c r="C75" s="1">
        <v>44546</v>
      </c>
      <c r="D75">
        <v>9.1021999999999998</v>
      </c>
      <c r="E75">
        <v>9.1082000000000001</v>
      </c>
      <c r="F75">
        <v>9.1052</v>
      </c>
    </row>
    <row r="76" spans="1:6" x14ac:dyDescent="0.25">
      <c r="A76" t="s">
        <v>94</v>
      </c>
      <c r="B76" t="s">
        <v>302</v>
      </c>
      <c r="C76" s="1">
        <v>44553</v>
      </c>
      <c r="D76">
        <v>8.2900000000000009</v>
      </c>
      <c r="E76">
        <v>11.32</v>
      </c>
      <c r="F76">
        <v>9.8049999999999997</v>
      </c>
    </row>
    <row r="77" spans="1:6" x14ac:dyDescent="0.25">
      <c r="A77" t="s">
        <v>95</v>
      </c>
      <c r="B77" t="s">
        <v>303</v>
      </c>
      <c r="C77" s="1">
        <v>44579</v>
      </c>
      <c r="D77">
        <v>10</v>
      </c>
      <c r="E77">
        <v>16</v>
      </c>
      <c r="F77">
        <v>13</v>
      </c>
    </row>
    <row r="78" spans="1:6" x14ac:dyDescent="0.25">
      <c r="A78" t="s">
        <v>96</v>
      </c>
      <c r="B78" t="s">
        <v>304</v>
      </c>
      <c r="C78" s="1">
        <v>44608</v>
      </c>
      <c r="D78">
        <v>48</v>
      </c>
      <c r="E78">
        <v>54</v>
      </c>
      <c r="F78">
        <v>51</v>
      </c>
    </row>
    <row r="79" spans="1:6" x14ac:dyDescent="0.25">
      <c r="A79" t="s">
        <v>97</v>
      </c>
      <c r="B79" t="s">
        <v>305</v>
      </c>
      <c r="C79" s="1">
        <v>44636</v>
      </c>
      <c r="D79">
        <v>77</v>
      </c>
      <c r="E79">
        <v>83</v>
      </c>
      <c r="F79">
        <v>80</v>
      </c>
    </row>
    <row r="80" spans="1:6" x14ac:dyDescent="0.25">
      <c r="A80" t="s">
        <v>98</v>
      </c>
      <c r="B80" t="s">
        <v>253</v>
      </c>
      <c r="C80" s="1">
        <v>44728</v>
      </c>
      <c r="D80">
        <v>200</v>
      </c>
      <c r="E80">
        <v>212</v>
      </c>
      <c r="F80">
        <v>206</v>
      </c>
    </row>
    <row r="81" spans="1:6" x14ac:dyDescent="0.25">
      <c r="A81" t="s">
        <v>99</v>
      </c>
      <c r="B81" t="s">
        <v>306</v>
      </c>
      <c r="C81" s="1">
        <v>44820</v>
      </c>
      <c r="D81">
        <v>305</v>
      </c>
      <c r="E81">
        <v>329</v>
      </c>
      <c r="F81">
        <v>317</v>
      </c>
    </row>
    <row r="82" spans="1:6" x14ac:dyDescent="0.25">
      <c r="A82" t="s">
        <v>100</v>
      </c>
      <c r="B82" t="s">
        <v>307</v>
      </c>
      <c r="C82" s="1">
        <v>44911</v>
      </c>
      <c r="D82">
        <v>379.45</v>
      </c>
      <c r="E82">
        <v>471.15000000000003</v>
      </c>
      <c r="F82">
        <v>425.3</v>
      </c>
    </row>
    <row r="83" spans="1:6" x14ac:dyDescent="0.25">
      <c r="A83" t="s">
        <v>522</v>
      </c>
      <c r="B83" t="s">
        <v>19</v>
      </c>
      <c r="C83" s="1">
        <v>44546</v>
      </c>
      <c r="D83">
        <v>0.6734</v>
      </c>
      <c r="E83">
        <v>0.67380000000000007</v>
      </c>
      <c r="F83">
        <v>0.67359999999999998</v>
      </c>
    </row>
    <row r="84" spans="1:6" x14ac:dyDescent="0.25">
      <c r="A84" t="s">
        <v>101</v>
      </c>
      <c r="B84" t="s">
        <v>302</v>
      </c>
      <c r="C84" s="1">
        <v>44553</v>
      </c>
      <c r="D84">
        <v>-0.98</v>
      </c>
      <c r="E84">
        <v>-0.78</v>
      </c>
      <c r="F84">
        <v>-0.88</v>
      </c>
    </row>
    <row r="85" spans="1:6" x14ac:dyDescent="0.25">
      <c r="A85" t="s">
        <v>102</v>
      </c>
      <c r="B85" t="s">
        <v>303</v>
      </c>
      <c r="C85" s="1">
        <v>44579</v>
      </c>
      <c r="D85">
        <v>-3.38</v>
      </c>
      <c r="E85">
        <v>-2.68</v>
      </c>
      <c r="F85">
        <v>-3.0300000000000002</v>
      </c>
    </row>
    <row r="86" spans="1:6" x14ac:dyDescent="0.25">
      <c r="A86" t="s">
        <v>103</v>
      </c>
      <c r="B86" t="s">
        <v>304</v>
      </c>
      <c r="C86" s="1">
        <v>44608</v>
      </c>
      <c r="D86">
        <v>-6.91</v>
      </c>
      <c r="E86">
        <v>-6.11</v>
      </c>
      <c r="F86">
        <v>-6.51</v>
      </c>
    </row>
    <row r="87" spans="1:6" x14ac:dyDescent="0.25">
      <c r="A87" t="s">
        <v>104</v>
      </c>
      <c r="B87" t="s">
        <v>305</v>
      </c>
      <c r="C87" s="1">
        <v>44636</v>
      </c>
      <c r="D87">
        <v>-11.4</v>
      </c>
      <c r="E87">
        <v>-10.6</v>
      </c>
      <c r="F87">
        <v>-11</v>
      </c>
    </row>
    <row r="88" spans="1:6" x14ac:dyDescent="0.25">
      <c r="A88" t="s">
        <v>105</v>
      </c>
      <c r="B88" t="s">
        <v>253</v>
      </c>
      <c r="C88" s="1">
        <v>44728</v>
      </c>
      <c r="D88">
        <v>-30.37</v>
      </c>
      <c r="E88">
        <v>-28.87</v>
      </c>
      <c r="F88">
        <v>-29.62</v>
      </c>
    </row>
    <row r="89" spans="1:6" x14ac:dyDescent="0.25">
      <c r="A89" t="s">
        <v>106</v>
      </c>
      <c r="B89" t="s">
        <v>306</v>
      </c>
      <c r="C89" s="1">
        <v>44820</v>
      </c>
      <c r="D89">
        <v>-57.79</v>
      </c>
      <c r="E89">
        <v>-50.69</v>
      </c>
      <c r="F89">
        <v>-54.239999999999995</v>
      </c>
    </row>
    <row r="90" spans="1:6" x14ac:dyDescent="0.25">
      <c r="A90" t="s">
        <v>107</v>
      </c>
      <c r="B90" t="s">
        <v>307</v>
      </c>
      <c r="C90" s="1">
        <v>44911</v>
      </c>
      <c r="D90">
        <v>-83.91</v>
      </c>
      <c r="E90">
        <v>-77.91</v>
      </c>
      <c r="F90">
        <v>-80.91</v>
      </c>
    </row>
    <row r="91" spans="1:6" x14ac:dyDescent="0.25">
      <c r="A91" t="s">
        <v>523</v>
      </c>
      <c r="B91" t="s">
        <v>18</v>
      </c>
      <c r="C91" s="1">
        <v>44545</v>
      </c>
      <c r="D91">
        <v>73.732200000000006</v>
      </c>
      <c r="E91">
        <v>73.933999999999997</v>
      </c>
      <c r="F91">
        <v>73.833100000000002</v>
      </c>
    </row>
    <row r="92" spans="1:6" x14ac:dyDescent="0.25">
      <c r="A92" t="s">
        <v>108</v>
      </c>
      <c r="B92" t="s">
        <v>302</v>
      </c>
      <c r="C92" s="1">
        <v>44552</v>
      </c>
      <c r="D92">
        <v>1062.5</v>
      </c>
      <c r="E92">
        <v>1107.5</v>
      </c>
      <c r="F92">
        <v>1085</v>
      </c>
    </row>
    <row r="93" spans="1:6" x14ac:dyDescent="0.25">
      <c r="A93" t="s">
        <v>109</v>
      </c>
      <c r="B93" t="s">
        <v>303</v>
      </c>
      <c r="C93" s="1">
        <v>44579</v>
      </c>
      <c r="D93">
        <v>5449</v>
      </c>
      <c r="E93">
        <v>5530</v>
      </c>
      <c r="F93">
        <v>5489.5</v>
      </c>
    </row>
    <row r="94" spans="1:6" x14ac:dyDescent="0.25">
      <c r="A94" t="s">
        <v>148</v>
      </c>
      <c r="B94" t="s">
        <v>304</v>
      </c>
      <c r="C94" s="1">
        <v>44607</v>
      </c>
      <c r="D94">
        <v>10150</v>
      </c>
      <c r="E94">
        <v>10230</v>
      </c>
      <c r="F94">
        <v>10190</v>
      </c>
    </row>
    <row r="95" spans="1:6" x14ac:dyDescent="0.25">
      <c r="A95" t="s">
        <v>110</v>
      </c>
      <c r="B95" t="s">
        <v>305</v>
      </c>
      <c r="C95" s="1">
        <v>44635</v>
      </c>
      <c r="D95">
        <v>14897</v>
      </c>
      <c r="E95">
        <v>14978</v>
      </c>
      <c r="F95">
        <v>14937.5</v>
      </c>
    </row>
    <row r="96" spans="1:6" x14ac:dyDescent="0.25">
      <c r="A96" t="s">
        <v>111</v>
      </c>
      <c r="B96" t="s">
        <v>253</v>
      </c>
      <c r="C96" s="1">
        <v>44727</v>
      </c>
      <c r="D96">
        <v>31325</v>
      </c>
      <c r="E96">
        <v>31509</v>
      </c>
      <c r="F96">
        <v>31417</v>
      </c>
    </row>
    <row r="97" spans="1:6" x14ac:dyDescent="0.25">
      <c r="A97" t="s">
        <v>112</v>
      </c>
      <c r="B97" t="s">
        <v>306</v>
      </c>
      <c r="C97" s="1">
        <v>44819</v>
      </c>
      <c r="D97">
        <v>47462</v>
      </c>
      <c r="E97">
        <v>47693</v>
      </c>
      <c r="F97">
        <v>47577.5</v>
      </c>
    </row>
    <row r="98" spans="1:6" x14ac:dyDescent="0.25">
      <c r="A98" t="s">
        <v>113</v>
      </c>
      <c r="B98" t="s">
        <v>307</v>
      </c>
      <c r="C98" s="1">
        <v>44910</v>
      </c>
      <c r="D98">
        <v>63210</v>
      </c>
      <c r="E98">
        <v>63510</v>
      </c>
      <c r="F98">
        <v>63360</v>
      </c>
    </row>
    <row r="99" spans="1:6" x14ac:dyDescent="0.25">
      <c r="A99" t="s">
        <v>524</v>
      </c>
      <c r="B99" t="s">
        <v>8</v>
      </c>
      <c r="C99" s="1">
        <v>44546</v>
      </c>
      <c r="D99">
        <v>9.1413000000000011</v>
      </c>
      <c r="E99">
        <v>9.1477000000000004</v>
      </c>
      <c r="F99">
        <v>9.1445000000000007</v>
      </c>
    </row>
    <row r="100" spans="1:6" x14ac:dyDescent="0.25">
      <c r="A100" t="s">
        <v>114</v>
      </c>
      <c r="B100" t="s">
        <v>302</v>
      </c>
      <c r="C100" s="1">
        <v>44553</v>
      </c>
      <c r="D100">
        <v>-23.53</v>
      </c>
      <c r="E100">
        <v>11.48</v>
      </c>
      <c r="F100">
        <v>-6.0250000000000004</v>
      </c>
    </row>
    <row r="101" spans="1:6" x14ac:dyDescent="0.25">
      <c r="A101" t="s">
        <v>115</v>
      </c>
      <c r="B101" t="s">
        <v>303</v>
      </c>
      <c r="C101" s="1">
        <v>44579</v>
      </c>
      <c r="D101">
        <v>-138.5</v>
      </c>
      <c r="E101">
        <v>-100.5</v>
      </c>
      <c r="F101">
        <v>-119.5</v>
      </c>
    </row>
    <row r="102" spans="1:6" x14ac:dyDescent="0.25">
      <c r="A102" t="s">
        <v>116</v>
      </c>
      <c r="B102" t="s">
        <v>304</v>
      </c>
      <c r="C102" s="1">
        <v>44608</v>
      </c>
      <c r="D102">
        <v>-150.6</v>
      </c>
      <c r="E102">
        <v>-142.70000000000002</v>
      </c>
      <c r="F102">
        <v>-146.65</v>
      </c>
    </row>
    <row r="103" spans="1:6" x14ac:dyDescent="0.25">
      <c r="A103" t="s">
        <v>117</v>
      </c>
      <c r="B103" t="s">
        <v>305</v>
      </c>
      <c r="C103" s="1">
        <v>44636</v>
      </c>
      <c r="D103">
        <v>-174.8</v>
      </c>
      <c r="E103">
        <v>-163.35</v>
      </c>
      <c r="F103">
        <v>-169.07499999999999</v>
      </c>
    </row>
    <row r="104" spans="1:6" x14ac:dyDescent="0.25">
      <c r="A104" t="s">
        <v>118</v>
      </c>
      <c r="B104" t="s">
        <v>253</v>
      </c>
      <c r="C104" s="1">
        <v>44728</v>
      </c>
      <c r="D104">
        <v>-273.76</v>
      </c>
      <c r="E104">
        <v>-243.76</v>
      </c>
      <c r="F104">
        <v>-258.76</v>
      </c>
    </row>
    <row r="105" spans="1:6" x14ac:dyDescent="0.25">
      <c r="A105" t="s">
        <v>119</v>
      </c>
      <c r="B105" t="s">
        <v>306</v>
      </c>
      <c r="C105" s="1">
        <v>44820</v>
      </c>
      <c r="D105">
        <v>-398.7</v>
      </c>
      <c r="E105">
        <v>-350.25</v>
      </c>
      <c r="F105">
        <v>-374.47500000000002</v>
      </c>
    </row>
    <row r="106" spans="1:6" x14ac:dyDescent="0.25">
      <c r="A106" t="s">
        <v>120</v>
      </c>
      <c r="B106" t="s">
        <v>307</v>
      </c>
      <c r="C106" s="1">
        <v>44911</v>
      </c>
      <c r="D106">
        <v>-545.35</v>
      </c>
      <c r="E106">
        <v>-480.85</v>
      </c>
      <c r="F106">
        <v>-513.1</v>
      </c>
    </row>
    <row r="107" spans="1:6" x14ac:dyDescent="0.25">
      <c r="A107" t="s">
        <v>525</v>
      </c>
      <c r="B107" t="s">
        <v>16</v>
      </c>
      <c r="C107" s="1">
        <v>44546</v>
      </c>
      <c r="D107">
        <v>1.3693</v>
      </c>
      <c r="E107">
        <v>1.37</v>
      </c>
      <c r="F107">
        <v>1.36965</v>
      </c>
    </row>
    <row r="108" spans="1:6" x14ac:dyDescent="0.25">
      <c r="A108" t="s">
        <v>121</v>
      </c>
      <c r="B108" t="s">
        <v>302</v>
      </c>
      <c r="C108" s="1">
        <v>44553</v>
      </c>
      <c r="D108">
        <v>0.70000000000000007</v>
      </c>
      <c r="E108">
        <v>0.8</v>
      </c>
      <c r="F108">
        <v>0.75</v>
      </c>
    </row>
    <row r="109" spans="1:6" x14ac:dyDescent="0.25">
      <c r="A109" t="s">
        <v>122</v>
      </c>
      <c r="B109" t="s">
        <v>303</v>
      </c>
      <c r="C109" s="1">
        <v>44579</v>
      </c>
      <c r="D109">
        <v>2.4</v>
      </c>
      <c r="E109">
        <v>3.4</v>
      </c>
      <c r="F109">
        <v>2.9</v>
      </c>
    </row>
    <row r="110" spans="1:6" x14ac:dyDescent="0.25">
      <c r="A110" t="s">
        <v>123</v>
      </c>
      <c r="B110" t="s">
        <v>304</v>
      </c>
      <c r="C110" s="1">
        <v>44608</v>
      </c>
      <c r="D110">
        <v>5.05</v>
      </c>
      <c r="E110">
        <v>5.25</v>
      </c>
      <c r="F110">
        <v>5.15</v>
      </c>
    </row>
    <row r="111" spans="1:6" x14ac:dyDescent="0.25">
      <c r="A111" t="s">
        <v>124</v>
      </c>
      <c r="B111" t="s">
        <v>305</v>
      </c>
      <c r="C111" s="1">
        <v>44636</v>
      </c>
      <c r="D111">
        <v>6.5</v>
      </c>
      <c r="E111">
        <v>6.7</v>
      </c>
      <c r="F111">
        <v>6.6</v>
      </c>
    </row>
    <row r="112" spans="1:6" x14ac:dyDescent="0.25">
      <c r="A112" t="s">
        <v>125</v>
      </c>
      <c r="B112" t="s">
        <v>253</v>
      </c>
      <c r="C112" s="1">
        <v>44728</v>
      </c>
      <c r="D112">
        <v>9.99</v>
      </c>
      <c r="E112">
        <v>10.39</v>
      </c>
      <c r="F112">
        <v>10.190000000000001</v>
      </c>
    </row>
    <row r="113" spans="1:12" x14ac:dyDescent="0.25">
      <c r="A113" t="s">
        <v>126</v>
      </c>
      <c r="B113" t="s">
        <v>306</v>
      </c>
      <c r="C113" s="1">
        <v>44820</v>
      </c>
      <c r="D113">
        <v>9.99</v>
      </c>
      <c r="E113">
        <v>10.99</v>
      </c>
      <c r="F113">
        <v>10.49</v>
      </c>
    </row>
    <row r="114" spans="1:12" x14ac:dyDescent="0.25">
      <c r="A114" t="s">
        <v>127</v>
      </c>
      <c r="B114" t="s">
        <v>307</v>
      </c>
      <c r="C114" s="1">
        <v>44911</v>
      </c>
      <c r="D114">
        <v>9.99</v>
      </c>
      <c r="E114">
        <v>10.99</v>
      </c>
      <c r="F114">
        <v>10.49</v>
      </c>
    </row>
    <row r="115" spans="1:12" x14ac:dyDescent="0.25">
      <c r="A115" t="s">
        <v>317</v>
      </c>
      <c r="B115" t="s">
        <v>0</v>
      </c>
      <c r="C115" s="1">
        <v>44546</v>
      </c>
      <c r="D115">
        <v>27.821000000000002</v>
      </c>
      <c r="E115">
        <v>27.826000000000001</v>
      </c>
      <c r="F115">
        <v>27.823500000000003</v>
      </c>
    </row>
    <row r="116" spans="1:12" x14ac:dyDescent="0.25">
      <c r="A116" t="s">
        <v>20</v>
      </c>
      <c r="B116" t="s">
        <v>302</v>
      </c>
      <c r="C116" s="1">
        <v>44553</v>
      </c>
      <c r="D116">
        <v>-2.8E-3</v>
      </c>
      <c r="E116">
        <v>2.2000000000000001E-3</v>
      </c>
      <c r="F116">
        <v>-2.9999999999999992E-4</v>
      </c>
      <c r="J116" t="s">
        <v>312</v>
      </c>
      <c r="K116">
        <v>-0.100024498976875</v>
      </c>
      <c r="L116">
        <f>K116/1000</f>
        <v>-1.00024498976875E-4</v>
      </c>
    </row>
    <row r="117" spans="1:12" x14ac:dyDescent="0.25">
      <c r="A117" t="s">
        <v>21</v>
      </c>
      <c r="B117" t="s">
        <v>303</v>
      </c>
      <c r="C117" s="1">
        <v>44579</v>
      </c>
      <c r="D117">
        <v>-8.0000000000000002E-3</v>
      </c>
      <c r="E117">
        <v>2E-3</v>
      </c>
      <c r="F117">
        <v>-3.0000000000000001E-3</v>
      </c>
      <c r="J117" t="s">
        <v>303</v>
      </c>
      <c r="K117">
        <v>-2.1940138462109302</v>
      </c>
      <c r="L117">
        <f t="shared" ref="L117:L122" si="0">K117/1000</f>
        <v>-2.1940138462109302E-3</v>
      </c>
    </row>
    <row r="118" spans="1:12" x14ac:dyDescent="0.25">
      <c r="A118" t="s">
        <v>22</v>
      </c>
      <c r="B118" t="s">
        <v>304</v>
      </c>
      <c r="C118" s="1">
        <v>44608</v>
      </c>
      <c r="D118">
        <v>-1.0999999999999999E-2</v>
      </c>
      <c r="E118">
        <v>-1E-3</v>
      </c>
      <c r="F118">
        <v>-6.0000000000000001E-3</v>
      </c>
      <c r="J118" t="s">
        <v>304</v>
      </c>
      <c r="K118">
        <v>-4.0001421100993104</v>
      </c>
      <c r="L118">
        <f t="shared" si="0"/>
        <v>-4.0001421100993107E-3</v>
      </c>
    </row>
    <row r="119" spans="1:12" x14ac:dyDescent="0.25">
      <c r="A119" t="s">
        <v>23</v>
      </c>
      <c r="B119" t="s">
        <v>305</v>
      </c>
      <c r="C119" s="1">
        <v>44636</v>
      </c>
      <c r="D119">
        <v>-1.4E-2</v>
      </c>
      <c r="E119">
        <v>-4.0000000000000001E-3</v>
      </c>
      <c r="F119">
        <v>-9.0000000000000011E-3</v>
      </c>
      <c r="J119" t="s">
        <v>305</v>
      </c>
      <c r="K119">
        <v>-6.1510039307447304</v>
      </c>
      <c r="L119">
        <f t="shared" si="0"/>
        <v>-6.1510039307447308E-3</v>
      </c>
    </row>
    <row r="120" spans="1:12" x14ac:dyDescent="0.25">
      <c r="A120" t="s">
        <v>24</v>
      </c>
      <c r="B120" t="s">
        <v>253</v>
      </c>
      <c r="C120" s="1">
        <v>44728</v>
      </c>
      <c r="D120">
        <v>-4.3000000000000003E-2</v>
      </c>
      <c r="E120">
        <v>-2.3E-2</v>
      </c>
      <c r="F120">
        <v>-3.3000000000000002E-2</v>
      </c>
      <c r="J120" t="s">
        <v>253</v>
      </c>
      <c r="K120">
        <v>-29.157164526483399</v>
      </c>
      <c r="L120">
        <f t="shared" si="0"/>
        <v>-2.9157164526483398E-2</v>
      </c>
    </row>
    <row r="121" spans="1:12" x14ac:dyDescent="0.25">
      <c r="A121" t="s">
        <v>25</v>
      </c>
      <c r="B121" t="s">
        <v>306</v>
      </c>
      <c r="C121" s="1">
        <v>44820</v>
      </c>
      <c r="D121">
        <v>-7.9000000000000001E-2</v>
      </c>
      <c r="E121">
        <v>-5.9000000000000004E-2</v>
      </c>
      <c r="F121">
        <v>-6.9000000000000006E-2</v>
      </c>
      <c r="J121" t="s">
        <v>306</v>
      </c>
      <c r="K121">
        <v>-67.5814391636126</v>
      </c>
      <c r="L121">
        <f t="shared" si="0"/>
        <v>-6.7581439163612603E-2</v>
      </c>
    </row>
    <row r="122" spans="1:12" x14ac:dyDescent="0.25">
      <c r="A122" t="s">
        <v>26</v>
      </c>
      <c r="B122" t="s">
        <v>307</v>
      </c>
      <c r="C122" s="1">
        <v>44911</v>
      </c>
      <c r="D122">
        <v>-0.124</v>
      </c>
      <c r="E122">
        <v>-0.10400000000000001</v>
      </c>
      <c r="F122">
        <v>-0.114</v>
      </c>
      <c r="J122" t="s">
        <v>307</v>
      </c>
      <c r="K122">
        <v>-113.003128438578</v>
      </c>
      <c r="L122">
        <f t="shared" si="0"/>
        <v>-0.113003128438578</v>
      </c>
    </row>
    <row r="123" spans="1:12" x14ac:dyDescent="0.25">
      <c r="A123" t="s">
        <v>27</v>
      </c>
      <c r="B123" t="s">
        <v>302</v>
      </c>
      <c r="C123" s="1">
        <v>44553</v>
      </c>
      <c r="D123">
        <v>-5.0000000000000001E-3</v>
      </c>
      <c r="E123">
        <v>1.4999999999999999E-2</v>
      </c>
      <c r="F123">
        <v>4.9999999999999992E-3</v>
      </c>
    </row>
    <row r="124" spans="1:12" x14ac:dyDescent="0.25">
      <c r="A124" t="s">
        <v>28</v>
      </c>
      <c r="B124" t="s">
        <v>303</v>
      </c>
      <c r="C124" s="1">
        <v>44579</v>
      </c>
      <c r="D124">
        <v>-0.06</v>
      </c>
      <c r="E124">
        <v>-4.4999999999999998E-2</v>
      </c>
      <c r="F124">
        <v>-5.2499999999999998E-2</v>
      </c>
    </row>
    <row r="125" spans="1:12" x14ac:dyDescent="0.25">
      <c r="A125" t="s">
        <v>29</v>
      </c>
      <c r="B125" t="s">
        <v>304</v>
      </c>
      <c r="C125" s="1">
        <v>44608</v>
      </c>
      <c r="D125">
        <v>-0.13700000000000001</v>
      </c>
      <c r="E125">
        <v>-9.7000000000000003E-2</v>
      </c>
      <c r="F125">
        <v>-0.11700000000000001</v>
      </c>
    </row>
    <row r="126" spans="1:12" x14ac:dyDescent="0.25">
      <c r="A126" t="s">
        <v>30</v>
      </c>
      <c r="B126" t="s">
        <v>305</v>
      </c>
      <c r="C126" s="1">
        <v>44636</v>
      </c>
      <c r="D126">
        <v>-0.19500000000000001</v>
      </c>
      <c r="E126">
        <v>-0.17500000000000002</v>
      </c>
      <c r="F126">
        <v>-0.185</v>
      </c>
    </row>
    <row r="127" spans="1:12" x14ac:dyDescent="0.25">
      <c r="A127" t="s">
        <v>31</v>
      </c>
      <c r="B127" t="s">
        <v>253</v>
      </c>
      <c r="C127" s="1">
        <v>44728</v>
      </c>
      <c r="D127">
        <v>-0.377</v>
      </c>
      <c r="E127">
        <v>-0.35699999999999998</v>
      </c>
      <c r="F127">
        <v>-0.36699999999999999</v>
      </c>
    </row>
    <row r="128" spans="1:12" x14ac:dyDescent="0.25">
      <c r="A128" t="s">
        <v>32</v>
      </c>
      <c r="B128" t="s">
        <v>306</v>
      </c>
      <c r="C128" s="1">
        <v>44820</v>
      </c>
      <c r="D128">
        <v>-0.53700000000000003</v>
      </c>
      <c r="E128">
        <v>-0.50700000000000001</v>
      </c>
      <c r="F128">
        <v>-0.52200000000000002</v>
      </c>
    </row>
    <row r="129" spans="1:6" x14ac:dyDescent="0.25">
      <c r="A129" t="s">
        <v>33</v>
      </c>
      <c r="B129" t="s">
        <v>307</v>
      </c>
      <c r="C129" s="1">
        <v>44911</v>
      </c>
      <c r="D129">
        <v>-0.67700000000000005</v>
      </c>
      <c r="E129">
        <v>-0.64700000000000002</v>
      </c>
      <c r="F129">
        <v>-0.66200000000000003</v>
      </c>
    </row>
    <row r="130" spans="1:6" x14ac:dyDescent="0.25">
      <c r="A130" t="s">
        <v>526</v>
      </c>
      <c r="B130" t="s">
        <v>160</v>
      </c>
      <c r="C130" s="1">
        <v>44547</v>
      </c>
      <c r="D130">
        <v>16.082100000000001</v>
      </c>
      <c r="E130">
        <v>16.097100000000001</v>
      </c>
      <c r="F130">
        <v>16.089600000000001</v>
      </c>
    </row>
    <row r="131" spans="1:6" x14ac:dyDescent="0.25">
      <c r="A131" t="s">
        <v>128</v>
      </c>
      <c r="B131" t="s">
        <v>302</v>
      </c>
      <c r="C131" s="1">
        <v>44558</v>
      </c>
      <c r="D131">
        <v>173.25</v>
      </c>
      <c r="E131">
        <v>178.25</v>
      </c>
      <c r="F131">
        <v>175.75</v>
      </c>
    </row>
    <row r="132" spans="1:6" x14ac:dyDescent="0.25">
      <c r="A132" t="s">
        <v>129</v>
      </c>
      <c r="B132" t="s">
        <v>303</v>
      </c>
      <c r="C132" s="1">
        <v>44579</v>
      </c>
      <c r="D132">
        <v>905</v>
      </c>
      <c r="E132">
        <v>955</v>
      </c>
      <c r="F132">
        <v>930</v>
      </c>
    </row>
    <row r="133" spans="1:6" x14ac:dyDescent="0.25">
      <c r="A133" t="s">
        <v>318</v>
      </c>
      <c r="B133" t="s">
        <v>304</v>
      </c>
      <c r="C133" s="1">
        <v>44609</v>
      </c>
      <c r="D133">
        <v>1639.5</v>
      </c>
      <c r="E133">
        <v>1699.5</v>
      </c>
      <c r="F133">
        <v>1669.5</v>
      </c>
    </row>
    <row r="134" spans="1:6" x14ac:dyDescent="0.25">
      <c r="A134" t="s">
        <v>130</v>
      </c>
      <c r="B134" t="s">
        <v>305</v>
      </c>
      <c r="C134" s="1">
        <v>44637</v>
      </c>
      <c r="D134">
        <v>2288.5</v>
      </c>
      <c r="E134">
        <v>2368.5</v>
      </c>
      <c r="F134">
        <v>2328.5</v>
      </c>
    </row>
    <row r="135" spans="1:6" x14ac:dyDescent="0.25">
      <c r="A135" t="s">
        <v>131</v>
      </c>
      <c r="B135" t="s">
        <v>253</v>
      </c>
      <c r="C135" s="1">
        <v>44729</v>
      </c>
      <c r="D135">
        <v>4173.72</v>
      </c>
      <c r="E135">
        <v>4383.72</v>
      </c>
      <c r="F135">
        <v>4278.72</v>
      </c>
    </row>
    <row r="136" spans="1:6" x14ac:dyDescent="0.25">
      <c r="A136" t="s">
        <v>132</v>
      </c>
      <c r="B136" t="s">
        <v>306</v>
      </c>
      <c r="C136" s="1">
        <v>44823</v>
      </c>
      <c r="D136">
        <v>6218</v>
      </c>
      <c r="E136">
        <v>6349</v>
      </c>
      <c r="F136">
        <v>6283.5</v>
      </c>
    </row>
    <row r="137" spans="1:6" x14ac:dyDescent="0.25">
      <c r="A137" t="s">
        <v>133</v>
      </c>
      <c r="B137" t="s">
        <v>307</v>
      </c>
      <c r="C137" s="1">
        <v>44914</v>
      </c>
      <c r="D137">
        <v>8143</v>
      </c>
      <c r="E137">
        <v>8298</v>
      </c>
      <c r="F137">
        <v>8220.5</v>
      </c>
    </row>
    <row r="138" spans="1:6" x14ac:dyDescent="0.25">
      <c r="A138" t="s">
        <v>527</v>
      </c>
      <c r="B138" t="s">
        <v>17</v>
      </c>
      <c r="C138" s="1">
        <v>44546</v>
      </c>
      <c r="D138">
        <v>1186.5</v>
      </c>
      <c r="E138">
        <v>1186.53</v>
      </c>
      <c r="F138">
        <v>1186.5149999999999</v>
      </c>
    </row>
    <row r="139" spans="1:6" x14ac:dyDescent="0.25">
      <c r="A139" t="s">
        <v>134</v>
      </c>
      <c r="B139" t="s">
        <v>302</v>
      </c>
      <c r="C139" s="1">
        <v>44553</v>
      </c>
      <c r="D139">
        <v>-10</v>
      </c>
      <c r="E139">
        <v>40</v>
      </c>
      <c r="F139">
        <v>15</v>
      </c>
    </row>
    <row r="140" spans="1:6" x14ac:dyDescent="0.25">
      <c r="A140" t="s">
        <v>135</v>
      </c>
      <c r="B140" t="s">
        <v>303</v>
      </c>
      <c r="C140" s="1">
        <v>44579</v>
      </c>
      <c r="D140">
        <v>-170</v>
      </c>
      <c r="E140">
        <v>110</v>
      </c>
      <c r="F140">
        <v>-30</v>
      </c>
    </row>
    <row r="141" spans="1:6" x14ac:dyDescent="0.25">
      <c r="A141" t="s">
        <v>136</v>
      </c>
      <c r="B141" t="s">
        <v>304</v>
      </c>
      <c r="C141" s="1">
        <v>44608</v>
      </c>
      <c r="D141">
        <v>-205</v>
      </c>
      <c r="E141">
        <v>255</v>
      </c>
      <c r="F141">
        <v>25</v>
      </c>
    </row>
    <row r="142" spans="1:6" x14ac:dyDescent="0.25">
      <c r="A142" t="s">
        <v>137</v>
      </c>
      <c r="B142" t="s">
        <v>305</v>
      </c>
      <c r="C142" s="1">
        <v>44636</v>
      </c>
      <c r="D142">
        <v>-180</v>
      </c>
      <c r="E142">
        <v>320</v>
      </c>
      <c r="F142">
        <v>70</v>
      </c>
    </row>
    <row r="143" spans="1:6" x14ac:dyDescent="0.25">
      <c r="A143" t="s">
        <v>138</v>
      </c>
      <c r="B143" t="s">
        <v>253</v>
      </c>
      <c r="C143" s="1">
        <v>44728</v>
      </c>
      <c r="D143">
        <v>-290</v>
      </c>
      <c r="E143">
        <v>650</v>
      </c>
      <c r="F143">
        <v>180</v>
      </c>
    </row>
    <row r="144" spans="1:6" x14ac:dyDescent="0.25">
      <c r="A144" t="s">
        <v>319</v>
      </c>
      <c r="B144" t="s">
        <v>306</v>
      </c>
      <c r="C144" s="1">
        <v>44820</v>
      </c>
      <c r="D144">
        <v>250</v>
      </c>
      <c r="E144">
        <v>370</v>
      </c>
      <c r="F144">
        <v>310</v>
      </c>
    </row>
    <row r="145" spans="1:6" x14ac:dyDescent="0.25">
      <c r="A145" t="s">
        <v>139</v>
      </c>
      <c r="B145" t="s">
        <v>307</v>
      </c>
      <c r="C145" s="1">
        <v>44911</v>
      </c>
      <c r="D145">
        <v>-450</v>
      </c>
      <c r="E145">
        <v>1250</v>
      </c>
      <c r="F145">
        <v>400</v>
      </c>
    </row>
    <row r="146" spans="1:6" x14ac:dyDescent="0.25">
      <c r="A146" t="s">
        <v>528</v>
      </c>
      <c r="B146" t="s">
        <v>170</v>
      </c>
      <c r="C146" s="1">
        <v>44545</v>
      </c>
      <c r="D146">
        <v>50.33</v>
      </c>
      <c r="E146">
        <v>50.35</v>
      </c>
      <c r="F146">
        <v>50.34</v>
      </c>
    </row>
    <row r="147" spans="1:6" x14ac:dyDescent="0.25">
      <c r="A147" t="s">
        <v>141</v>
      </c>
      <c r="B147" t="s">
        <v>302</v>
      </c>
      <c r="C147" s="1">
        <v>44552</v>
      </c>
      <c r="D147">
        <v>1.2E-2</v>
      </c>
      <c r="E147">
        <v>1.8000000000000002E-2</v>
      </c>
      <c r="F147">
        <v>1.5000000000000001E-2</v>
      </c>
    </row>
    <row r="148" spans="1:6" x14ac:dyDescent="0.25">
      <c r="A148" t="s">
        <v>142</v>
      </c>
      <c r="B148" t="s">
        <v>303</v>
      </c>
      <c r="C148" s="1">
        <v>44579</v>
      </c>
      <c r="D148">
        <v>5.7000000000000002E-2</v>
      </c>
      <c r="E148">
        <v>7.0000000000000007E-2</v>
      </c>
      <c r="F148">
        <v>6.3500000000000001E-2</v>
      </c>
    </row>
    <row r="149" spans="1:6" x14ac:dyDescent="0.25">
      <c r="A149" t="s">
        <v>143</v>
      </c>
      <c r="B149" t="s">
        <v>304</v>
      </c>
      <c r="C149" s="1">
        <v>44607</v>
      </c>
      <c r="D149">
        <v>0.1</v>
      </c>
      <c r="E149">
        <v>0.13</v>
      </c>
      <c r="F149">
        <v>0.115</v>
      </c>
    </row>
    <row r="150" spans="1:6" x14ac:dyDescent="0.25">
      <c r="A150" t="s">
        <v>144</v>
      </c>
      <c r="B150" t="s">
        <v>305</v>
      </c>
      <c r="C150" s="1">
        <v>44635</v>
      </c>
      <c r="D150">
        <v>0.17500000000000002</v>
      </c>
      <c r="E150">
        <v>0.19500000000000001</v>
      </c>
      <c r="F150">
        <v>0.185</v>
      </c>
    </row>
    <row r="151" spans="1:6" x14ac:dyDescent="0.25">
      <c r="A151" t="s">
        <v>145</v>
      </c>
      <c r="B151" t="s">
        <v>253</v>
      </c>
      <c r="C151" s="1">
        <v>44727</v>
      </c>
      <c r="D151">
        <v>0.37</v>
      </c>
      <c r="E151">
        <v>0.42</v>
      </c>
      <c r="F151">
        <v>0.39500000000000002</v>
      </c>
    </row>
    <row r="152" spans="1:6" x14ac:dyDescent="0.25">
      <c r="A152" t="s">
        <v>146</v>
      </c>
      <c r="B152" t="s">
        <v>306</v>
      </c>
      <c r="C152" s="1">
        <v>44819</v>
      </c>
      <c r="D152">
        <v>0.57999999999999996</v>
      </c>
      <c r="E152">
        <v>0.65</v>
      </c>
      <c r="F152">
        <v>0.61499999999999999</v>
      </c>
    </row>
    <row r="153" spans="1:6" x14ac:dyDescent="0.25">
      <c r="A153" t="s">
        <v>147</v>
      </c>
      <c r="B153" t="s">
        <v>307</v>
      </c>
      <c r="C153" s="1">
        <v>44910</v>
      </c>
      <c r="D153">
        <v>0.79</v>
      </c>
      <c r="E153">
        <v>0.85</v>
      </c>
      <c r="F153">
        <v>0.82000000000000006</v>
      </c>
    </row>
    <row r="154" spans="1:6" x14ac:dyDescent="0.25">
      <c r="A154" t="s">
        <v>529</v>
      </c>
      <c r="B154" t="s">
        <v>1</v>
      </c>
      <c r="C154" s="1">
        <v>44546</v>
      </c>
      <c r="D154">
        <v>7.8012000000000006</v>
      </c>
      <c r="E154">
        <v>7.8013000000000003</v>
      </c>
      <c r="F154">
        <v>7.8012500000000005</v>
      </c>
    </row>
    <row r="155" spans="1:6" x14ac:dyDescent="0.25">
      <c r="A155" t="s">
        <v>149</v>
      </c>
      <c r="B155" t="s">
        <v>302</v>
      </c>
      <c r="C155" s="1">
        <v>44553</v>
      </c>
      <c r="D155">
        <v>-2</v>
      </c>
      <c r="E155">
        <v>-1</v>
      </c>
      <c r="F155">
        <v>-1.5</v>
      </c>
    </row>
    <row r="156" spans="1:6" x14ac:dyDescent="0.25">
      <c r="A156" t="s">
        <v>150</v>
      </c>
      <c r="B156" t="s">
        <v>303</v>
      </c>
      <c r="C156" s="1">
        <v>44579</v>
      </c>
      <c r="D156">
        <v>-5.4</v>
      </c>
      <c r="E156">
        <v>-3.4</v>
      </c>
      <c r="F156">
        <v>-4.4000000000000004</v>
      </c>
    </row>
    <row r="157" spans="1:6" x14ac:dyDescent="0.25">
      <c r="A157" t="s">
        <v>151</v>
      </c>
      <c r="B157" t="s">
        <v>304</v>
      </c>
      <c r="C157" s="1">
        <v>44608</v>
      </c>
      <c r="D157">
        <v>-16.5</v>
      </c>
      <c r="E157">
        <v>3.5</v>
      </c>
      <c r="F157">
        <v>-6.5</v>
      </c>
    </row>
    <row r="158" spans="1:6" x14ac:dyDescent="0.25">
      <c r="A158" t="s">
        <v>152</v>
      </c>
      <c r="B158" t="s">
        <v>305</v>
      </c>
      <c r="C158" s="1">
        <v>44636</v>
      </c>
      <c r="D158">
        <v>-8.84</v>
      </c>
      <c r="E158">
        <v>-7.5200000000000005</v>
      </c>
      <c r="F158">
        <v>-8.18</v>
      </c>
    </row>
    <row r="159" spans="1:6" x14ac:dyDescent="0.25">
      <c r="A159" t="s">
        <v>153</v>
      </c>
      <c r="B159" t="s">
        <v>253</v>
      </c>
      <c r="C159" s="1">
        <v>44728</v>
      </c>
      <c r="D159">
        <v>-16</v>
      </c>
      <c r="E159">
        <v>-10</v>
      </c>
      <c r="F159">
        <v>-13</v>
      </c>
    </row>
    <row r="160" spans="1:6" x14ac:dyDescent="0.25">
      <c r="A160" t="s">
        <v>154</v>
      </c>
      <c r="B160" t="s">
        <v>306</v>
      </c>
      <c r="C160" s="1">
        <v>44820</v>
      </c>
      <c r="D160">
        <v>-24</v>
      </c>
      <c r="E160">
        <v>-14</v>
      </c>
      <c r="F160">
        <v>-19</v>
      </c>
    </row>
    <row r="161" spans="1:6" x14ac:dyDescent="0.25">
      <c r="A161" t="s">
        <v>155</v>
      </c>
      <c r="B161" t="s">
        <v>307</v>
      </c>
      <c r="C161" s="1">
        <v>44911</v>
      </c>
      <c r="D161">
        <v>-33</v>
      </c>
      <c r="E161">
        <v>-17</v>
      </c>
      <c r="F161">
        <v>-25</v>
      </c>
    </row>
    <row r="162" spans="1:6" x14ac:dyDescent="0.25">
      <c r="A162" t="s">
        <v>530</v>
      </c>
      <c r="B162" t="s">
        <v>14</v>
      </c>
      <c r="C162" s="1">
        <v>44545</v>
      </c>
      <c r="D162">
        <v>14.3796</v>
      </c>
      <c r="E162">
        <v>14.386600000000001</v>
      </c>
      <c r="F162">
        <v>14.383100000000001</v>
      </c>
    </row>
    <row r="163" spans="1:6" x14ac:dyDescent="0.25">
      <c r="A163" t="s">
        <v>173</v>
      </c>
      <c r="B163" t="s">
        <v>302</v>
      </c>
      <c r="C163" s="1">
        <v>44552</v>
      </c>
      <c r="D163">
        <v>691.2</v>
      </c>
      <c r="E163">
        <v>696.95</v>
      </c>
      <c r="F163">
        <v>694.07500000000005</v>
      </c>
    </row>
    <row r="164" spans="1:6" x14ac:dyDescent="0.25">
      <c r="A164" t="s">
        <v>174</v>
      </c>
      <c r="B164" t="s">
        <v>303</v>
      </c>
      <c r="C164" s="1">
        <v>44579</v>
      </c>
      <c r="D164">
        <v>3967.2000000000003</v>
      </c>
      <c r="E164">
        <v>4075.9</v>
      </c>
      <c r="F164">
        <v>4021.55</v>
      </c>
    </row>
    <row r="165" spans="1:6" x14ac:dyDescent="0.25">
      <c r="A165" t="s">
        <v>175</v>
      </c>
      <c r="B165" t="s">
        <v>304</v>
      </c>
      <c r="C165" s="1">
        <v>44607</v>
      </c>
      <c r="D165">
        <v>6446.52</v>
      </c>
      <c r="E165">
        <v>8046.52</v>
      </c>
      <c r="F165">
        <v>7246.52</v>
      </c>
    </row>
    <row r="166" spans="1:6" x14ac:dyDescent="0.25">
      <c r="A166" t="s">
        <v>176</v>
      </c>
      <c r="B166" t="s">
        <v>305</v>
      </c>
      <c r="C166" s="1">
        <v>44635</v>
      </c>
      <c r="D166">
        <v>10186.35</v>
      </c>
      <c r="E166">
        <v>10586.35</v>
      </c>
      <c r="F166">
        <v>10386.35</v>
      </c>
    </row>
    <row r="167" spans="1:6" x14ac:dyDescent="0.25">
      <c r="A167" t="s">
        <v>177</v>
      </c>
      <c r="B167" t="s">
        <v>253</v>
      </c>
      <c r="C167" s="1">
        <v>44727</v>
      </c>
      <c r="D167">
        <v>19049.900000000001</v>
      </c>
      <c r="E167">
        <v>23049.9</v>
      </c>
      <c r="F167">
        <v>21049.9</v>
      </c>
    </row>
    <row r="168" spans="1:6" x14ac:dyDescent="0.25">
      <c r="A168" t="s">
        <v>178</v>
      </c>
      <c r="B168" t="s">
        <v>306</v>
      </c>
      <c r="C168" s="1">
        <v>44819</v>
      </c>
      <c r="D168">
        <v>31401.200000000001</v>
      </c>
      <c r="E168">
        <v>32401.200000000001</v>
      </c>
      <c r="F168">
        <v>31901.200000000001</v>
      </c>
    </row>
    <row r="169" spans="1:6" x14ac:dyDescent="0.25">
      <c r="A169" t="s">
        <v>179</v>
      </c>
      <c r="B169" t="s">
        <v>307</v>
      </c>
      <c r="C169" s="1">
        <v>44910</v>
      </c>
      <c r="D169">
        <v>40015.15</v>
      </c>
      <c r="E169">
        <v>45615.15</v>
      </c>
      <c r="F169">
        <v>42815.15</v>
      </c>
    </row>
    <row r="170" spans="1:6" x14ac:dyDescent="0.25">
      <c r="A170" t="s">
        <v>531</v>
      </c>
      <c r="B170" t="s">
        <v>10</v>
      </c>
      <c r="C170" s="1">
        <v>44546</v>
      </c>
      <c r="D170">
        <v>21.224</v>
      </c>
      <c r="E170">
        <v>21.239000000000001</v>
      </c>
      <c r="F170">
        <v>21.2315</v>
      </c>
    </row>
    <row r="171" spans="1:6" x14ac:dyDescent="0.25">
      <c r="A171" t="s">
        <v>180</v>
      </c>
      <c r="B171" t="s">
        <v>302</v>
      </c>
      <c r="C171" s="1">
        <v>44553</v>
      </c>
      <c r="D171">
        <v>2.2500000000000003E-2</v>
      </c>
      <c r="E171">
        <v>2.8500000000000001E-2</v>
      </c>
      <c r="F171">
        <v>2.5500000000000002E-2</v>
      </c>
    </row>
    <row r="172" spans="1:6" x14ac:dyDescent="0.25">
      <c r="A172" t="s">
        <v>181</v>
      </c>
      <c r="B172" t="s">
        <v>303</v>
      </c>
      <c r="C172" s="1">
        <v>44579</v>
      </c>
      <c r="D172">
        <v>0.1255</v>
      </c>
      <c r="E172">
        <v>0.13450000000000001</v>
      </c>
      <c r="F172">
        <v>0.13</v>
      </c>
    </row>
    <row r="173" spans="1:6" x14ac:dyDescent="0.25">
      <c r="A173" t="s">
        <v>182</v>
      </c>
      <c r="B173" t="s">
        <v>304</v>
      </c>
      <c r="C173" s="1">
        <v>44608</v>
      </c>
      <c r="D173">
        <v>0.23330000000000001</v>
      </c>
      <c r="E173">
        <v>0.24430000000000002</v>
      </c>
      <c r="F173">
        <v>0.23880000000000001</v>
      </c>
    </row>
    <row r="174" spans="1:6" x14ac:dyDescent="0.25">
      <c r="A174" t="s">
        <v>183</v>
      </c>
      <c r="B174" t="s">
        <v>305</v>
      </c>
      <c r="C174" s="1">
        <v>44636</v>
      </c>
      <c r="D174">
        <v>0.34</v>
      </c>
      <c r="E174">
        <v>0.35500000000000004</v>
      </c>
      <c r="F174">
        <v>0.34750000000000003</v>
      </c>
    </row>
    <row r="175" spans="1:6" x14ac:dyDescent="0.25">
      <c r="A175" t="s">
        <v>184</v>
      </c>
      <c r="B175" t="s">
        <v>253</v>
      </c>
      <c r="C175" s="1">
        <v>44728</v>
      </c>
      <c r="D175">
        <v>0.70000000000000007</v>
      </c>
      <c r="E175">
        <v>0.73</v>
      </c>
      <c r="F175">
        <v>0.71500000000000008</v>
      </c>
    </row>
    <row r="176" spans="1:6" x14ac:dyDescent="0.25">
      <c r="A176" t="s">
        <v>185</v>
      </c>
      <c r="B176" t="s">
        <v>306</v>
      </c>
      <c r="C176" s="1">
        <v>44823</v>
      </c>
      <c r="D176">
        <v>1.06</v>
      </c>
      <c r="E176">
        <v>1.1100000000000001</v>
      </c>
      <c r="F176">
        <v>1.085</v>
      </c>
    </row>
    <row r="177" spans="1:6" x14ac:dyDescent="0.25">
      <c r="A177" t="s">
        <v>186</v>
      </c>
      <c r="B177" t="s">
        <v>307</v>
      </c>
      <c r="C177" s="1">
        <v>44911</v>
      </c>
      <c r="D177">
        <v>1.415</v>
      </c>
      <c r="E177">
        <v>1.4750000000000001</v>
      </c>
      <c r="F177">
        <v>1.4450000000000001</v>
      </c>
    </row>
    <row r="178" spans="1:6" x14ac:dyDescent="0.25">
      <c r="A178" t="s">
        <v>532</v>
      </c>
      <c r="B178" t="s">
        <v>172</v>
      </c>
      <c r="C178" s="1">
        <v>44546</v>
      </c>
      <c r="D178">
        <v>76.040000000000006</v>
      </c>
      <c r="E178">
        <v>76.05</v>
      </c>
      <c r="F178">
        <v>76.045000000000002</v>
      </c>
    </row>
    <row r="179" spans="1:6" x14ac:dyDescent="0.25">
      <c r="A179" t="s">
        <v>187</v>
      </c>
      <c r="B179" t="s">
        <v>302</v>
      </c>
      <c r="C179" s="1">
        <v>44553</v>
      </c>
      <c r="D179">
        <v>5.37</v>
      </c>
      <c r="E179">
        <v>11.870000000000001</v>
      </c>
      <c r="F179">
        <v>8.620000000000001</v>
      </c>
    </row>
    <row r="180" spans="1:6" x14ac:dyDescent="0.25">
      <c r="A180" t="s">
        <v>188</v>
      </c>
      <c r="B180" t="s">
        <v>303</v>
      </c>
      <c r="C180" s="1">
        <v>44579</v>
      </c>
      <c r="D180">
        <v>24.833400000000001</v>
      </c>
      <c r="E180">
        <v>25.166700000000002</v>
      </c>
      <c r="F180">
        <v>25.000050000000002</v>
      </c>
    </row>
    <row r="181" spans="1:6" x14ac:dyDescent="0.25">
      <c r="A181" t="s">
        <v>189</v>
      </c>
      <c r="B181" t="s">
        <v>304</v>
      </c>
      <c r="C181" s="1">
        <v>44608</v>
      </c>
      <c r="D181">
        <v>51.370000000000005</v>
      </c>
      <c r="E181">
        <v>57.870000000000005</v>
      </c>
      <c r="F181">
        <v>54.620000000000005</v>
      </c>
    </row>
    <row r="182" spans="1:6" x14ac:dyDescent="0.25">
      <c r="A182" t="s">
        <v>190</v>
      </c>
      <c r="B182" t="s">
        <v>305</v>
      </c>
      <c r="C182" s="1">
        <v>44636</v>
      </c>
      <c r="D182">
        <v>77.37</v>
      </c>
      <c r="E182">
        <v>83.87</v>
      </c>
      <c r="F182">
        <v>80.62</v>
      </c>
    </row>
    <row r="183" spans="1:6" x14ac:dyDescent="0.25">
      <c r="A183" t="s">
        <v>191</v>
      </c>
      <c r="B183" t="s">
        <v>253</v>
      </c>
      <c r="C183" s="1">
        <v>44728</v>
      </c>
      <c r="D183">
        <v>179.12</v>
      </c>
      <c r="E183">
        <v>187.12</v>
      </c>
      <c r="F183">
        <v>183.12</v>
      </c>
    </row>
    <row r="184" spans="1:6" x14ac:dyDescent="0.25">
      <c r="A184" t="s">
        <v>192</v>
      </c>
      <c r="B184" t="s">
        <v>306</v>
      </c>
      <c r="C184" s="1">
        <v>44820</v>
      </c>
      <c r="D184">
        <v>261.62</v>
      </c>
      <c r="E184">
        <v>270.62</v>
      </c>
      <c r="F184">
        <v>266.12</v>
      </c>
    </row>
    <row r="185" spans="1:6" x14ac:dyDescent="0.25">
      <c r="A185" t="s">
        <v>193</v>
      </c>
      <c r="B185" t="s">
        <v>307</v>
      </c>
      <c r="C185" s="1">
        <v>44911</v>
      </c>
      <c r="D185">
        <v>348.31720000000001</v>
      </c>
      <c r="E185">
        <v>348.68280000000004</v>
      </c>
      <c r="F185">
        <v>348.5</v>
      </c>
    </row>
    <row r="186" spans="1:6" x14ac:dyDescent="0.25">
      <c r="A186" t="s">
        <v>533</v>
      </c>
      <c r="B186" t="s">
        <v>9</v>
      </c>
      <c r="C186" s="1">
        <v>44546</v>
      </c>
      <c r="D186">
        <v>14335</v>
      </c>
      <c r="E186">
        <v>14345</v>
      </c>
      <c r="F186">
        <v>14340</v>
      </c>
    </row>
    <row r="187" spans="1:6" x14ac:dyDescent="0.25">
      <c r="A187" t="s">
        <v>194</v>
      </c>
      <c r="B187" t="s">
        <v>302</v>
      </c>
      <c r="C187" s="1">
        <v>44553</v>
      </c>
      <c r="D187">
        <v>-22.1</v>
      </c>
      <c r="E187">
        <v>12.1</v>
      </c>
      <c r="F187">
        <v>-5.0000000000000009</v>
      </c>
    </row>
    <row r="188" spans="1:6" x14ac:dyDescent="0.25">
      <c r="A188" t="s">
        <v>195</v>
      </c>
      <c r="B188" t="s">
        <v>303</v>
      </c>
      <c r="C188" s="1">
        <v>44579</v>
      </c>
      <c r="D188">
        <v>18.53</v>
      </c>
      <c r="E188">
        <v>47.47</v>
      </c>
      <c r="F188">
        <v>33</v>
      </c>
    </row>
    <row r="189" spans="1:6" x14ac:dyDescent="0.25">
      <c r="A189" t="s">
        <v>196</v>
      </c>
      <c r="B189" t="s">
        <v>304</v>
      </c>
      <c r="C189" s="1">
        <v>44608</v>
      </c>
      <c r="D189">
        <v>62.42</v>
      </c>
      <c r="E189">
        <v>90.58</v>
      </c>
      <c r="F189">
        <v>76.5</v>
      </c>
    </row>
    <row r="190" spans="1:6" x14ac:dyDescent="0.25">
      <c r="A190" t="s">
        <v>197</v>
      </c>
      <c r="B190" t="s">
        <v>305</v>
      </c>
      <c r="C190" s="1">
        <v>44636</v>
      </c>
      <c r="D190">
        <v>99.960000000000008</v>
      </c>
      <c r="E190">
        <v>134.05000000000001</v>
      </c>
      <c r="F190">
        <v>117.00500000000001</v>
      </c>
    </row>
    <row r="191" spans="1:6" x14ac:dyDescent="0.25">
      <c r="A191" t="s">
        <v>198</v>
      </c>
      <c r="B191" t="s">
        <v>253</v>
      </c>
      <c r="C191" s="1">
        <v>44728</v>
      </c>
      <c r="D191">
        <v>263.45</v>
      </c>
      <c r="E191">
        <v>302.56</v>
      </c>
      <c r="F191">
        <v>283.005</v>
      </c>
    </row>
    <row r="192" spans="1:6" x14ac:dyDescent="0.25">
      <c r="A192" t="s">
        <v>199</v>
      </c>
      <c r="B192" t="s">
        <v>306</v>
      </c>
      <c r="C192" s="1">
        <v>44820</v>
      </c>
      <c r="D192">
        <v>383.26</v>
      </c>
      <c r="E192">
        <v>440.74</v>
      </c>
      <c r="F192">
        <v>412</v>
      </c>
    </row>
    <row r="193" spans="1:6" x14ac:dyDescent="0.25">
      <c r="A193" t="s">
        <v>200</v>
      </c>
      <c r="B193" t="s">
        <v>307</v>
      </c>
      <c r="C193" s="1">
        <v>44911</v>
      </c>
      <c r="D193">
        <v>541.09</v>
      </c>
      <c r="E193">
        <v>600.91999999999996</v>
      </c>
      <c r="F193">
        <v>571.005</v>
      </c>
    </row>
    <row r="194" spans="1:6" x14ac:dyDescent="0.25">
      <c r="A194" t="s">
        <v>534</v>
      </c>
      <c r="B194" t="s">
        <v>320</v>
      </c>
      <c r="C194" s="1">
        <v>44546</v>
      </c>
      <c r="D194">
        <v>4.0415000000000001</v>
      </c>
      <c r="E194">
        <v>4.0689000000000002</v>
      </c>
      <c r="F194">
        <v>4.0552000000000001</v>
      </c>
    </row>
    <row r="195" spans="1:6" x14ac:dyDescent="0.25">
      <c r="A195" t="s">
        <v>263</v>
      </c>
      <c r="B195" t="s">
        <v>302</v>
      </c>
      <c r="C195" s="1">
        <v>44553</v>
      </c>
      <c r="D195">
        <v>1.3000000000000002E-3</v>
      </c>
      <c r="E195">
        <v>1.7000000000000001E-3</v>
      </c>
      <c r="F195">
        <v>1.5E-3</v>
      </c>
    </row>
    <row r="196" spans="1:6" x14ac:dyDescent="0.25">
      <c r="A196" t="s">
        <v>264</v>
      </c>
      <c r="B196" t="s">
        <v>303</v>
      </c>
      <c r="C196" s="1">
        <v>44579</v>
      </c>
      <c r="D196">
        <v>6.7000000000000002E-3</v>
      </c>
      <c r="E196">
        <v>7.3000000000000001E-3</v>
      </c>
      <c r="F196">
        <v>7.0000000000000001E-3</v>
      </c>
    </row>
    <row r="197" spans="1:6" x14ac:dyDescent="0.25">
      <c r="A197" t="s">
        <v>265</v>
      </c>
      <c r="B197" t="s">
        <v>304</v>
      </c>
      <c r="C197" s="1">
        <v>44608</v>
      </c>
      <c r="D197">
        <v>1.43E-2</v>
      </c>
      <c r="E197">
        <v>1.67E-2</v>
      </c>
      <c r="F197">
        <v>1.55E-2</v>
      </c>
    </row>
    <row r="198" spans="1:6" x14ac:dyDescent="0.25">
      <c r="A198" t="s">
        <v>266</v>
      </c>
      <c r="B198" t="s">
        <v>305</v>
      </c>
      <c r="C198" s="1">
        <v>44636</v>
      </c>
      <c r="D198">
        <v>2.3400000000000001E-2</v>
      </c>
      <c r="E198">
        <v>2.6600000000000002E-2</v>
      </c>
      <c r="F198">
        <v>2.5000000000000001E-2</v>
      </c>
    </row>
    <row r="199" spans="1:6" x14ac:dyDescent="0.25">
      <c r="A199" t="s">
        <v>267</v>
      </c>
      <c r="B199" t="s">
        <v>253</v>
      </c>
      <c r="C199" s="1">
        <v>44728</v>
      </c>
      <c r="D199">
        <v>5.2500000000000005E-2</v>
      </c>
      <c r="E199">
        <v>5.7500000000000002E-2</v>
      </c>
      <c r="F199">
        <v>5.5000000000000007E-2</v>
      </c>
    </row>
    <row r="200" spans="1:6" x14ac:dyDescent="0.25">
      <c r="A200" t="s">
        <v>268</v>
      </c>
      <c r="B200" t="s">
        <v>306</v>
      </c>
      <c r="C200" s="1">
        <v>44820</v>
      </c>
      <c r="D200">
        <v>8.3000000000000004E-2</v>
      </c>
      <c r="E200">
        <v>8.900000000000001E-2</v>
      </c>
      <c r="F200">
        <v>8.6000000000000007E-2</v>
      </c>
    </row>
    <row r="201" spans="1:6" x14ac:dyDescent="0.25">
      <c r="A201" t="s">
        <v>269</v>
      </c>
      <c r="B201" t="s">
        <v>307</v>
      </c>
      <c r="C201" s="1">
        <v>44911</v>
      </c>
      <c r="D201">
        <v>0.1265</v>
      </c>
      <c r="E201">
        <v>0.13250000000000001</v>
      </c>
      <c r="F201">
        <v>0.1295</v>
      </c>
    </row>
    <row r="202" spans="1:6" x14ac:dyDescent="0.25">
      <c r="A202" t="s">
        <v>535</v>
      </c>
      <c r="B202" t="s">
        <v>321</v>
      </c>
      <c r="C202" s="1">
        <v>44546</v>
      </c>
      <c r="D202">
        <v>5.6815000000000007</v>
      </c>
      <c r="E202">
        <v>5.6825000000000001</v>
      </c>
      <c r="F202">
        <v>5.6820000000000004</v>
      </c>
    </row>
    <row r="203" spans="1:6" x14ac:dyDescent="0.25">
      <c r="A203" t="s">
        <v>272</v>
      </c>
      <c r="B203" t="s">
        <v>302</v>
      </c>
      <c r="C203" s="1">
        <v>44553</v>
      </c>
      <c r="D203">
        <v>9.1999999999999998E-3</v>
      </c>
      <c r="E203">
        <v>9.4000000000000004E-3</v>
      </c>
      <c r="F203">
        <v>9.2999999999999992E-3</v>
      </c>
    </row>
    <row r="204" spans="1:6" x14ac:dyDescent="0.25">
      <c r="A204" t="s">
        <v>273</v>
      </c>
      <c r="B204" t="s">
        <v>303</v>
      </c>
      <c r="C204" s="1">
        <v>44579</v>
      </c>
      <c r="D204">
        <v>3.9800000000000002E-2</v>
      </c>
      <c r="E204">
        <v>0.04</v>
      </c>
      <c r="F204">
        <v>3.9900000000000005E-2</v>
      </c>
    </row>
    <row r="205" spans="1:6" x14ac:dyDescent="0.25">
      <c r="A205" t="s">
        <v>274</v>
      </c>
      <c r="B205" t="s">
        <v>304</v>
      </c>
      <c r="C205" s="1">
        <v>44608</v>
      </c>
      <c r="D205">
        <v>8.2000000000000003E-2</v>
      </c>
      <c r="E205">
        <v>8.2200000000000009E-2</v>
      </c>
      <c r="F205">
        <v>8.2100000000000006E-2</v>
      </c>
    </row>
    <row r="206" spans="1:6" x14ac:dyDescent="0.25">
      <c r="A206" t="s">
        <v>275</v>
      </c>
      <c r="B206" t="s">
        <v>305</v>
      </c>
      <c r="C206" s="1">
        <v>44636</v>
      </c>
      <c r="D206">
        <v>0.11940000000000001</v>
      </c>
      <c r="E206">
        <v>0.12040000000000001</v>
      </c>
      <c r="F206">
        <v>0.11990000000000001</v>
      </c>
    </row>
    <row r="207" spans="1:6" x14ac:dyDescent="0.25">
      <c r="A207" t="s">
        <v>276</v>
      </c>
      <c r="B207" t="s">
        <v>253</v>
      </c>
      <c r="C207" s="1">
        <v>44729</v>
      </c>
      <c r="D207">
        <v>0.27629999999999999</v>
      </c>
      <c r="E207">
        <v>0.27929999999999999</v>
      </c>
      <c r="F207">
        <v>0.27779999999999999</v>
      </c>
    </row>
    <row r="208" spans="1:6" x14ac:dyDescent="0.25">
      <c r="A208" t="s">
        <v>277</v>
      </c>
      <c r="B208" t="s">
        <v>306</v>
      </c>
      <c r="C208" s="1">
        <v>44820</v>
      </c>
      <c r="D208">
        <v>0.43790000000000001</v>
      </c>
      <c r="E208">
        <v>0.44520000000000004</v>
      </c>
      <c r="F208">
        <v>0.44155</v>
      </c>
    </row>
    <row r="209" spans="1:6" x14ac:dyDescent="0.25">
      <c r="A209" t="s">
        <v>278</v>
      </c>
      <c r="B209" t="s">
        <v>307</v>
      </c>
      <c r="C209" s="1">
        <v>44911</v>
      </c>
      <c r="D209">
        <v>0.59030000000000005</v>
      </c>
      <c r="E209">
        <v>0.60210000000000008</v>
      </c>
      <c r="F209">
        <v>0.59620000000000006</v>
      </c>
    </row>
    <row r="210" spans="1:6" x14ac:dyDescent="0.25">
      <c r="A210" t="s">
        <v>536</v>
      </c>
      <c r="B210" t="s">
        <v>322</v>
      </c>
      <c r="C210" s="1">
        <v>44546</v>
      </c>
      <c r="D210">
        <v>4002.6</v>
      </c>
      <c r="E210">
        <v>4009.4</v>
      </c>
      <c r="F210">
        <v>4006</v>
      </c>
    </row>
    <row r="211" spans="1:6" x14ac:dyDescent="0.25">
      <c r="A211" t="s">
        <v>281</v>
      </c>
      <c r="B211" t="s">
        <v>302</v>
      </c>
      <c r="C211" s="1">
        <v>44553</v>
      </c>
      <c r="D211">
        <v>3.29</v>
      </c>
      <c r="E211">
        <v>3.5</v>
      </c>
      <c r="F211">
        <v>3.395</v>
      </c>
    </row>
    <row r="212" spans="1:6" x14ac:dyDescent="0.25">
      <c r="A212" t="s">
        <v>282</v>
      </c>
      <c r="B212" t="s">
        <v>303</v>
      </c>
      <c r="C212" s="1">
        <v>44579</v>
      </c>
      <c r="D212">
        <v>15.26</v>
      </c>
      <c r="E212">
        <v>16.740000000000002</v>
      </c>
      <c r="F212">
        <v>16</v>
      </c>
    </row>
    <row r="213" spans="1:6" x14ac:dyDescent="0.25">
      <c r="A213" t="s">
        <v>283</v>
      </c>
      <c r="B213" t="s">
        <v>304</v>
      </c>
      <c r="C213" s="1">
        <v>44608</v>
      </c>
      <c r="D213">
        <v>29.66</v>
      </c>
      <c r="E213">
        <v>30.650000000000002</v>
      </c>
      <c r="F213">
        <v>30.155000000000001</v>
      </c>
    </row>
    <row r="214" spans="1:6" x14ac:dyDescent="0.25">
      <c r="A214" t="s">
        <v>284</v>
      </c>
      <c r="B214" t="s">
        <v>305</v>
      </c>
      <c r="C214" s="1">
        <v>44636</v>
      </c>
      <c r="D214">
        <v>42.14</v>
      </c>
      <c r="E214">
        <v>43.660000000000004</v>
      </c>
      <c r="F214">
        <v>42.900000000000006</v>
      </c>
    </row>
    <row r="215" spans="1:6" x14ac:dyDescent="0.25">
      <c r="A215" t="s">
        <v>285</v>
      </c>
      <c r="B215" t="s">
        <v>253</v>
      </c>
      <c r="C215" s="1">
        <v>44728</v>
      </c>
      <c r="D215">
        <v>87.52</v>
      </c>
      <c r="E215">
        <v>91.68</v>
      </c>
      <c r="F215">
        <v>89.6</v>
      </c>
    </row>
    <row r="216" spans="1:6" x14ac:dyDescent="0.25">
      <c r="A216" t="s">
        <v>286</v>
      </c>
      <c r="B216" t="s">
        <v>306</v>
      </c>
      <c r="C216" s="1">
        <v>44820</v>
      </c>
      <c r="D216">
        <v>136.65</v>
      </c>
      <c r="E216">
        <v>141.85</v>
      </c>
      <c r="F216">
        <v>139.25</v>
      </c>
    </row>
    <row r="217" spans="1:6" x14ac:dyDescent="0.25">
      <c r="A217" t="s">
        <v>287</v>
      </c>
      <c r="B217" t="s">
        <v>307</v>
      </c>
      <c r="C217" s="1">
        <v>44911</v>
      </c>
      <c r="D217">
        <v>187.93</v>
      </c>
      <c r="E217">
        <v>198.58</v>
      </c>
      <c r="F217">
        <v>193.255</v>
      </c>
    </row>
    <row r="218" spans="1:6" x14ac:dyDescent="0.25">
      <c r="A218" t="s">
        <v>537</v>
      </c>
      <c r="B218" t="s">
        <v>295</v>
      </c>
      <c r="C218" s="1">
        <v>44546</v>
      </c>
      <c r="D218">
        <v>842.6</v>
      </c>
      <c r="E218">
        <v>843.9</v>
      </c>
      <c r="F218">
        <v>843.25</v>
      </c>
    </row>
    <row r="219" spans="1:6" x14ac:dyDescent="0.25">
      <c r="A219" t="s">
        <v>288</v>
      </c>
      <c r="B219" t="s">
        <v>302</v>
      </c>
      <c r="C219" s="1">
        <v>44553</v>
      </c>
      <c r="D219">
        <v>0.61</v>
      </c>
      <c r="E219">
        <v>0.89</v>
      </c>
      <c r="F219">
        <v>0.75</v>
      </c>
    </row>
    <row r="220" spans="1:6" x14ac:dyDescent="0.25">
      <c r="A220" t="s">
        <v>289</v>
      </c>
      <c r="B220" t="s">
        <v>303</v>
      </c>
      <c r="C220" s="1">
        <v>44579</v>
      </c>
      <c r="D220">
        <v>3.0300000000000002</v>
      </c>
      <c r="E220">
        <v>3.17</v>
      </c>
      <c r="F220">
        <v>3.1</v>
      </c>
    </row>
    <row r="221" spans="1:6" x14ac:dyDescent="0.25">
      <c r="A221" t="s">
        <v>290</v>
      </c>
      <c r="B221" t="s">
        <v>304</v>
      </c>
      <c r="C221" s="1">
        <v>44608</v>
      </c>
      <c r="D221">
        <v>6.65</v>
      </c>
      <c r="E221">
        <v>6.8500000000000005</v>
      </c>
      <c r="F221">
        <v>6.75</v>
      </c>
    </row>
    <row r="222" spans="1:6" x14ac:dyDescent="0.25">
      <c r="A222" t="s">
        <v>291</v>
      </c>
      <c r="B222" t="s">
        <v>305</v>
      </c>
      <c r="C222" s="1">
        <v>44636</v>
      </c>
      <c r="D222">
        <v>10.18</v>
      </c>
      <c r="E222">
        <v>10.42</v>
      </c>
      <c r="F222">
        <v>10.3</v>
      </c>
    </row>
    <row r="223" spans="1:6" x14ac:dyDescent="0.25">
      <c r="A223" t="s">
        <v>292</v>
      </c>
      <c r="B223" t="s">
        <v>253</v>
      </c>
      <c r="C223" s="1">
        <v>44728</v>
      </c>
      <c r="D223">
        <v>21.03</v>
      </c>
      <c r="E223">
        <v>21.37</v>
      </c>
      <c r="F223">
        <v>21.200000000000003</v>
      </c>
    </row>
    <row r="224" spans="1:6" x14ac:dyDescent="0.25">
      <c r="A224" t="s">
        <v>293</v>
      </c>
      <c r="B224" t="s">
        <v>306</v>
      </c>
      <c r="C224" s="1">
        <v>44820</v>
      </c>
      <c r="D224">
        <v>31.310000000000002</v>
      </c>
      <c r="E224">
        <v>31.69</v>
      </c>
      <c r="F224">
        <v>31.5</v>
      </c>
    </row>
    <row r="225" spans="1:6" x14ac:dyDescent="0.25">
      <c r="A225" t="s">
        <v>294</v>
      </c>
      <c r="B225" t="s">
        <v>307</v>
      </c>
      <c r="C225" s="1">
        <v>44911</v>
      </c>
      <c r="D225">
        <v>41.33</v>
      </c>
      <c r="E225">
        <v>41.87</v>
      </c>
      <c r="F225">
        <v>41.599999999999994</v>
      </c>
    </row>
    <row r="226" spans="1:6" x14ac:dyDescent="0.25">
      <c r="A226" t="s">
        <v>345</v>
      </c>
      <c r="B226" t="s">
        <v>302</v>
      </c>
      <c r="C226" s="1">
        <v>44553</v>
      </c>
      <c r="D226">
        <v>2.7250000000000001</v>
      </c>
      <c r="E226">
        <v>3.375</v>
      </c>
      <c r="F226">
        <v>3.05</v>
      </c>
    </row>
    <row r="227" spans="1:6" x14ac:dyDescent="0.25">
      <c r="A227" t="s">
        <v>346</v>
      </c>
      <c r="B227" t="s">
        <v>303</v>
      </c>
      <c r="C227" s="1">
        <v>44579</v>
      </c>
      <c r="D227">
        <v>2.9119999999999999</v>
      </c>
      <c r="E227">
        <v>3.7130000000000001</v>
      </c>
      <c r="F227">
        <v>3.3125</v>
      </c>
    </row>
    <row r="228" spans="1:6" x14ac:dyDescent="0.25">
      <c r="A228" t="s">
        <v>347</v>
      </c>
      <c r="B228" t="s">
        <v>304</v>
      </c>
      <c r="C228" s="1">
        <v>44608</v>
      </c>
      <c r="D228">
        <v>3.3250000000000002</v>
      </c>
      <c r="E228">
        <v>4.125</v>
      </c>
      <c r="F228">
        <v>3.7250000000000001</v>
      </c>
    </row>
    <row r="229" spans="1:6" x14ac:dyDescent="0.25">
      <c r="A229" t="s">
        <v>348</v>
      </c>
      <c r="B229" t="s">
        <v>305</v>
      </c>
      <c r="C229" s="1">
        <v>44636</v>
      </c>
      <c r="D229">
        <v>3.75</v>
      </c>
      <c r="E229">
        <v>4.55</v>
      </c>
      <c r="F229">
        <v>4.1500000000000004</v>
      </c>
    </row>
    <row r="230" spans="1:6" x14ac:dyDescent="0.25">
      <c r="A230" t="s">
        <v>349</v>
      </c>
      <c r="B230" t="s">
        <v>253</v>
      </c>
      <c r="C230" s="1">
        <v>44728</v>
      </c>
      <c r="D230">
        <v>4.7750000000000004</v>
      </c>
      <c r="E230">
        <v>5.1749999999999998</v>
      </c>
      <c r="F230">
        <v>4.9749999999999996</v>
      </c>
    </row>
    <row r="231" spans="1:6" x14ac:dyDescent="0.25">
      <c r="A231" t="s">
        <v>350</v>
      </c>
      <c r="B231" t="s">
        <v>306</v>
      </c>
      <c r="C231" s="1">
        <v>44820</v>
      </c>
      <c r="D231">
        <v>5.2</v>
      </c>
      <c r="E231">
        <v>5.7</v>
      </c>
      <c r="F231">
        <v>5.45</v>
      </c>
    </row>
    <row r="232" spans="1:6" x14ac:dyDescent="0.25">
      <c r="A232" t="s">
        <v>351</v>
      </c>
      <c r="B232" t="s">
        <v>307</v>
      </c>
      <c r="C232" s="1">
        <v>44911</v>
      </c>
      <c r="D232">
        <v>5.5</v>
      </c>
      <c r="E232">
        <v>5.9</v>
      </c>
      <c r="F232">
        <v>5.7</v>
      </c>
    </row>
    <row r="233" spans="1:6" x14ac:dyDescent="0.25">
      <c r="A233" t="s">
        <v>352</v>
      </c>
      <c r="B233" t="s">
        <v>302</v>
      </c>
      <c r="C233" s="1">
        <v>44553</v>
      </c>
      <c r="E233">
        <v>8.4</v>
      </c>
      <c r="F233">
        <v>8.4</v>
      </c>
    </row>
    <row r="234" spans="1:6" x14ac:dyDescent="0.25">
      <c r="A234" t="s">
        <v>353</v>
      </c>
      <c r="B234" t="s">
        <v>303</v>
      </c>
      <c r="C234" s="1">
        <v>44579</v>
      </c>
      <c r="E234">
        <v>6.67</v>
      </c>
      <c r="F234">
        <v>6.67</v>
      </c>
    </row>
    <row r="235" spans="1:6" x14ac:dyDescent="0.25">
      <c r="A235" t="s">
        <v>354</v>
      </c>
      <c r="B235" t="s">
        <v>304</v>
      </c>
      <c r="C235" s="1">
        <v>44608</v>
      </c>
      <c r="E235">
        <v>6.67</v>
      </c>
      <c r="F235">
        <v>6.67</v>
      </c>
    </row>
    <row r="236" spans="1:6" x14ac:dyDescent="0.25">
      <c r="A236" t="s">
        <v>355</v>
      </c>
      <c r="B236" t="s">
        <v>305</v>
      </c>
      <c r="C236" s="1">
        <v>44636</v>
      </c>
      <c r="E236">
        <v>6.75</v>
      </c>
      <c r="F236">
        <v>6.75</v>
      </c>
    </row>
    <row r="237" spans="1:6" x14ac:dyDescent="0.25">
      <c r="A237" t="s">
        <v>356</v>
      </c>
      <c r="B237" t="s">
        <v>357</v>
      </c>
      <c r="C237" s="1">
        <v>44670</v>
      </c>
      <c r="E237">
        <v>6.72</v>
      </c>
      <c r="F237">
        <v>6.72</v>
      </c>
    </row>
    <row r="238" spans="1:6" x14ac:dyDescent="0.25">
      <c r="A238" t="s">
        <v>358</v>
      </c>
      <c r="B238" t="s">
        <v>359</v>
      </c>
      <c r="C238" s="1">
        <v>44697</v>
      </c>
      <c r="E238">
        <v>6.94</v>
      </c>
      <c r="F238">
        <v>6.94</v>
      </c>
    </row>
    <row r="239" spans="1:6" x14ac:dyDescent="0.25">
      <c r="A239" t="s">
        <v>360</v>
      </c>
      <c r="B239" t="s">
        <v>253</v>
      </c>
      <c r="C239" s="1">
        <v>44728</v>
      </c>
      <c r="E239">
        <v>6.99</v>
      </c>
      <c r="F239">
        <v>6.99</v>
      </c>
    </row>
    <row r="240" spans="1:6" x14ac:dyDescent="0.25">
      <c r="A240" t="s">
        <v>361</v>
      </c>
      <c r="B240" t="s">
        <v>306</v>
      </c>
      <c r="C240" s="1">
        <v>44820</v>
      </c>
      <c r="E240">
        <v>7.26</v>
      </c>
      <c r="F240">
        <v>7.26</v>
      </c>
    </row>
    <row r="241" spans="1:6" x14ac:dyDescent="0.25">
      <c r="A241" t="s">
        <v>362</v>
      </c>
      <c r="B241" t="s">
        <v>307</v>
      </c>
      <c r="C241" s="1">
        <v>44911</v>
      </c>
      <c r="E241">
        <v>7.5</v>
      </c>
      <c r="F241">
        <v>7.5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6"/>
  </sheetPr>
  <dimension ref="A1:E24"/>
  <sheetViews>
    <sheetView workbookViewId="0">
      <selection activeCell="J13" sqref="J13"/>
    </sheetView>
  </sheetViews>
  <sheetFormatPr defaultRowHeight="15.75" x14ac:dyDescent="0.25"/>
  <cols>
    <col min="5" max="5" width="11.625" customWidth="1"/>
  </cols>
  <sheetData>
    <row r="1" spans="1:5" x14ac:dyDescent="0.25">
      <c r="A1" t="s">
        <v>621</v>
      </c>
      <c r="B1" t="s">
        <v>6</v>
      </c>
      <c r="C1">
        <v>1</v>
      </c>
      <c r="D1">
        <v>20.04762332</v>
      </c>
      <c r="E1">
        <f>D1/$D$22</f>
        <v>0.72414499953752531</v>
      </c>
    </row>
    <row r="2" spans="1:5" x14ac:dyDescent="0.25">
      <c r="A2" t="s">
        <v>621</v>
      </c>
      <c r="B2" t="s">
        <v>321</v>
      </c>
      <c r="C2">
        <v>1</v>
      </c>
      <c r="D2">
        <v>4.9239674999999998</v>
      </c>
      <c r="E2">
        <f>$D$22/D2</f>
        <v>5.6224056962195625</v>
      </c>
    </row>
    <row r="3" spans="1:5" x14ac:dyDescent="0.25">
      <c r="A3" t="s">
        <v>621</v>
      </c>
      <c r="B3" t="s">
        <v>7</v>
      </c>
      <c r="C3">
        <v>1</v>
      </c>
      <c r="D3">
        <v>21.635200319999999</v>
      </c>
      <c r="E3">
        <f>$D$22/D3</f>
        <v>1.2796064982309348</v>
      </c>
    </row>
    <row r="4" spans="1:5" x14ac:dyDescent="0.25">
      <c r="A4" t="s">
        <v>621</v>
      </c>
      <c r="B4" t="s">
        <v>12</v>
      </c>
      <c r="C4">
        <v>1</v>
      </c>
      <c r="D4">
        <v>30.180786739999999</v>
      </c>
      <c r="E4">
        <f>$D$22/D4</f>
        <v>0.9172902999015724</v>
      </c>
    </row>
    <row r="5" spans="1:5" x14ac:dyDescent="0.25">
      <c r="A5" t="s">
        <v>621</v>
      </c>
      <c r="B5" t="s">
        <v>3</v>
      </c>
      <c r="C5">
        <v>1</v>
      </c>
      <c r="D5">
        <v>4.3431025999999999</v>
      </c>
      <c r="E5">
        <f>$D$22/D5</f>
        <v>6.3743699999166488</v>
      </c>
    </row>
    <row r="6" spans="1:5" x14ac:dyDescent="0.25">
      <c r="A6" t="s">
        <v>621</v>
      </c>
      <c r="B6" t="s">
        <v>315</v>
      </c>
      <c r="C6">
        <v>1</v>
      </c>
      <c r="D6">
        <v>4.3456864099999999</v>
      </c>
      <c r="E6">
        <f>$D$22/D6</f>
        <v>6.3705799977407942</v>
      </c>
    </row>
    <row r="7" spans="1:5" x14ac:dyDescent="0.25">
      <c r="A7" t="s">
        <v>621</v>
      </c>
      <c r="B7" t="s">
        <v>5</v>
      </c>
      <c r="C7">
        <v>1</v>
      </c>
      <c r="D7">
        <v>31.355768829999999</v>
      </c>
      <c r="E7">
        <f>D7/$D$22</f>
        <v>1.132609229656012</v>
      </c>
    </row>
    <row r="8" spans="1:5" x14ac:dyDescent="0.25">
      <c r="A8" t="s">
        <v>621</v>
      </c>
      <c r="B8" t="s">
        <v>15</v>
      </c>
      <c r="C8">
        <v>1</v>
      </c>
      <c r="D8">
        <v>37.205305670000001</v>
      </c>
      <c r="E8">
        <f>D8/$D$22</f>
        <v>1.3439017497060415</v>
      </c>
    </row>
    <row r="9" spans="1:5" x14ac:dyDescent="0.25">
      <c r="A9" t="s">
        <v>621</v>
      </c>
      <c r="B9" t="s">
        <v>1</v>
      </c>
      <c r="C9">
        <v>1</v>
      </c>
      <c r="D9">
        <v>3.5496872000000002</v>
      </c>
      <c r="E9">
        <f t="shared" ref="E9:E15" si="0">$D$22/D9</f>
        <v>7.7991499983435153</v>
      </c>
    </row>
    <row r="10" spans="1:5" x14ac:dyDescent="0.25">
      <c r="A10" t="s">
        <v>621</v>
      </c>
      <c r="B10" t="s">
        <v>9</v>
      </c>
      <c r="C10">
        <v>1</v>
      </c>
      <c r="D10">
        <v>1.94629E-3</v>
      </c>
      <c r="E10">
        <f t="shared" si="0"/>
        <v>14224.264071643998</v>
      </c>
    </row>
    <row r="11" spans="1:5" x14ac:dyDescent="0.25">
      <c r="A11" t="s">
        <v>621</v>
      </c>
      <c r="B11" t="s">
        <v>172</v>
      </c>
      <c r="C11">
        <v>1</v>
      </c>
      <c r="D11">
        <v>0.37076278000000001</v>
      </c>
      <c r="E11">
        <f t="shared" si="0"/>
        <v>74.669153467885849</v>
      </c>
    </row>
    <row r="12" spans="1:5" x14ac:dyDescent="0.25">
      <c r="A12" t="s">
        <v>621</v>
      </c>
      <c r="B12" t="s">
        <v>2</v>
      </c>
      <c r="C12">
        <v>1</v>
      </c>
      <c r="D12">
        <v>0.24105650000000001</v>
      </c>
      <c r="E12">
        <f t="shared" si="0"/>
        <v>114.84669743400406</v>
      </c>
    </row>
    <row r="13" spans="1:5" x14ac:dyDescent="0.25">
      <c r="A13" t="s">
        <v>621</v>
      </c>
      <c r="B13" t="s">
        <v>17</v>
      </c>
      <c r="C13">
        <v>1</v>
      </c>
      <c r="D13">
        <v>2.3298679999999999E-2</v>
      </c>
      <c r="E13">
        <f t="shared" si="0"/>
        <v>1188.2451246165019</v>
      </c>
    </row>
    <row r="14" spans="1:5" x14ac:dyDescent="0.25">
      <c r="A14" t="s">
        <v>621</v>
      </c>
      <c r="B14" t="s">
        <v>10</v>
      </c>
      <c r="C14">
        <v>1</v>
      </c>
      <c r="D14">
        <v>1.33861725</v>
      </c>
      <c r="E14">
        <f t="shared" si="0"/>
        <v>20.681447904544783</v>
      </c>
    </row>
    <row r="15" spans="1:5" x14ac:dyDescent="0.25">
      <c r="A15" t="s">
        <v>621</v>
      </c>
      <c r="B15" t="s">
        <v>11</v>
      </c>
      <c r="C15">
        <v>1</v>
      </c>
      <c r="D15">
        <v>6.6197706700000003</v>
      </c>
      <c r="E15">
        <f t="shared" si="0"/>
        <v>4.1821000001500046</v>
      </c>
    </row>
    <row r="16" spans="1:5" x14ac:dyDescent="0.25">
      <c r="A16" t="s">
        <v>621</v>
      </c>
      <c r="B16" t="s">
        <v>19</v>
      </c>
      <c r="C16">
        <v>1</v>
      </c>
      <c r="D16">
        <v>18.848536549999999</v>
      </c>
      <c r="E16">
        <f>D16/$D$22</f>
        <v>0.68083249936495605</v>
      </c>
    </row>
    <row r="17" spans="1:5" x14ac:dyDescent="0.25">
      <c r="A17" t="s">
        <v>621</v>
      </c>
      <c r="B17" t="s">
        <v>170</v>
      </c>
      <c r="C17">
        <v>1</v>
      </c>
      <c r="D17">
        <v>0.54864334000000003</v>
      </c>
      <c r="E17">
        <f t="shared" ref="E17:E23" si="1">$D$22/D17</f>
        <v>50.459999970108079</v>
      </c>
    </row>
    <row r="18" spans="1:5" x14ac:dyDescent="0.25">
      <c r="A18" t="s">
        <v>621</v>
      </c>
      <c r="B18" t="s">
        <v>18</v>
      </c>
      <c r="C18">
        <v>1</v>
      </c>
      <c r="D18">
        <v>0.37662226999999998</v>
      </c>
      <c r="E18">
        <f t="shared" si="1"/>
        <v>73.507450634823059</v>
      </c>
    </row>
    <row r="19" spans="1:5" x14ac:dyDescent="0.25">
      <c r="A19" t="s">
        <v>621</v>
      </c>
      <c r="B19" t="s">
        <v>8</v>
      </c>
      <c r="C19">
        <v>1</v>
      </c>
      <c r="D19">
        <v>3.05441641</v>
      </c>
      <c r="E19">
        <f t="shared" si="1"/>
        <v>9.0637749421991867</v>
      </c>
    </row>
    <row r="20" spans="1:5" x14ac:dyDescent="0.25">
      <c r="A20" t="s">
        <v>621</v>
      </c>
      <c r="B20" t="s">
        <v>16</v>
      </c>
      <c r="C20">
        <v>1</v>
      </c>
      <c r="D20">
        <v>20.44304425</v>
      </c>
      <c r="E20">
        <f t="shared" si="1"/>
        <v>1.354227999579857</v>
      </c>
    </row>
    <row r="21" spans="1:5" x14ac:dyDescent="0.25">
      <c r="A21" t="s">
        <v>621</v>
      </c>
      <c r="B21" t="s">
        <v>538</v>
      </c>
      <c r="C21">
        <v>1</v>
      </c>
      <c r="D21">
        <v>0.82559753999999996</v>
      </c>
      <c r="E21">
        <f t="shared" si="1"/>
        <v>33.532734266625845</v>
      </c>
    </row>
    <row r="22" spans="1:5" x14ac:dyDescent="0.25">
      <c r="A22" t="s">
        <v>621</v>
      </c>
      <c r="B22" t="s">
        <v>4</v>
      </c>
      <c r="C22">
        <v>1</v>
      </c>
      <c r="D22">
        <v>27.684542919999998</v>
      </c>
      <c r="E22">
        <f t="shared" si="1"/>
        <v>1</v>
      </c>
    </row>
    <row r="23" spans="1:5" x14ac:dyDescent="0.25">
      <c r="A23" t="s">
        <v>621</v>
      </c>
      <c r="B23" t="s">
        <v>160</v>
      </c>
      <c r="C23">
        <v>1</v>
      </c>
      <c r="D23">
        <v>1.77846134</v>
      </c>
      <c r="E23">
        <f t="shared" si="1"/>
        <v>15.566569987964989</v>
      </c>
    </row>
    <row r="24" spans="1:5" x14ac:dyDescent="0.25">
      <c r="B24" t="s">
        <v>219</v>
      </c>
      <c r="E24">
        <f>D22</f>
        <v>27.684542919999998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6"/>
  </sheetPr>
  <dimension ref="A1:AA132"/>
  <sheetViews>
    <sheetView tabSelected="1" workbookViewId="0">
      <selection activeCell="B2" sqref="B2"/>
    </sheetView>
  </sheetViews>
  <sheetFormatPr defaultColWidth="9" defaultRowHeight="15" x14ac:dyDescent="0.25"/>
  <cols>
    <col min="1" max="2" width="20.375" style="39" customWidth="1"/>
    <col min="3" max="3" width="14" style="39" customWidth="1"/>
    <col min="4" max="4" width="15.875" style="39" customWidth="1"/>
    <col min="5" max="5" width="17.25" style="39" customWidth="1"/>
    <col min="6" max="6" width="15.375" style="39" customWidth="1"/>
    <col min="7" max="8" width="15" style="39" customWidth="1"/>
    <col min="9" max="9" width="15.375" style="137" customWidth="1"/>
    <col min="10" max="10" width="9.5" style="39" customWidth="1"/>
    <col min="11" max="13" width="15.25" style="39" customWidth="1"/>
    <col min="14" max="16" width="9.625" style="40" customWidth="1"/>
    <col min="17" max="17" width="10.875" style="39" customWidth="1"/>
    <col min="18" max="25" width="15.25" style="39" customWidth="1"/>
    <col min="26" max="16384" width="9" style="39"/>
  </cols>
  <sheetData>
    <row r="1" spans="1:24" x14ac:dyDescent="0.25">
      <c r="A1" s="122" t="s">
        <v>363</v>
      </c>
      <c r="B1" s="125">
        <v>44567</v>
      </c>
      <c r="C1" s="125" t="s">
        <v>541</v>
      </c>
      <c r="D1" s="151" t="s">
        <v>386</v>
      </c>
      <c r="E1" s="152" t="s">
        <v>387</v>
      </c>
      <c r="F1" s="152" t="s">
        <v>388</v>
      </c>
      <c r="G1" s="153" t="s">
        <v>389</v>
      </c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4"/>
      <c r="S1" s="128"/>
      <c r="T1" s="128"/>
      <c r="U1" s="128"/>
      <c r="V1" s="128"/>
      <c r="W1" s="128"/>
      <c r="X1" s="128"/>
    </row>
    <row r="2" spans="1:24" x14ac:dyDescent="0.25">
      <c r="A2" s="123" t="s">
        <v>364</v>
      </c>
      <c r="B2" s="39" t="b">
        <f>_xll.qlSettingsSetEvaluationDate(B1,B1)</f>
        <v>1</v>
      </c>
      <c r="D2" s="154">
        <f t="shared" ref="D2:D28" si="0">E2-$B$1</f>
        <v>0</v>
      </c>
      <c r="E2" s="155">
        <f t="array" ref="E2:E28">_xll.qlPiecewiseYieldCurveDates(B23)</f>
        <v>44567</v>
      </c>
      <c r="F2" s="156">
        <f t="array" ref="F2:F28">_xll.qlYieldTSZeroRate(B39,E2:E28,B41,B42,B43,B44,B45)</f>
        <v>5.9999950095764639E-4</v>
      </c>
      <c r="G2" s="157">
        <f t="array" ref="G2:G28">_xll.qlYieldTSDiscount(B39,E2:E28,TRUE,B4)</f>
        <v>1</v>
      </c>
      <c r="H2" s="128" t="s">
        <v>390</v>
      </c>
      <c r="I2" s="128" t="s">
        <v>391</v>
      </c>
      <c r="J2" s="128" t="s">
        <v>392</v>
      </c>
      <c r="K2" s="128" t="s">
        <v>393</v>
      </c>
      <c r="L2" s="128" t="s">
        <v>369</v>
      </c>
      <c r="M2" s="128" t="s">
        <v>394</v>
      </c>
      <c r="N2" s="128" t="s">
        <v>377</v>
      </c>
      <c r="O2" s="128" t="s">
        <v>366</v>
      </c>
      <c r="P2" s="128" t="s">
        <v>378</v>
      </c>
      <c r="Q2" s="128" t="s">
        <v>393</v>
      </c>
      <c r="R2" s="124"/>
      <c r="S2" s="128"/>
      <c r="T2" s="128"/>
      <c r="U2" s="128"/>
      <c r="V2" s="128"/>
      <c r="W2" s="128"/>
      <c r="X2" s="128"/>
    </row>
    <row r="3" spans="1:24" x14ac:dyDescent="0.25">
      <c r="A3" s="122" t="s">
        <v>365</v>
      </c>
      <c r="B3" s="125">
        <f>_xll.qlSettingsEvaluationDate(B1)</f>
        <v>44567</v>
      </c>
      <c r="C3" s="125"/>
      <c r="D3" s="154">
        <f t="shared" si="0"/>
        <v>1</v>
      </c>
      <c r="E3" s="155">
        <v>44568</v>
      </c>
      <c r="F3" s="156">
        <v>5.9999950000448621E-4</v>
      </c>
      <c r="G3" s="157">
        <v>0.9999983333361111</v>
      </c>
      <c r="H3" s="129" t="str">
        <f>I31</f>
        <v>obj_00001#0000</v>
      </c>
      <c r="I3" s="150" t="str">
        <f>_xll.qlSimpleQuote(,K3,M3,N3,O3,P3)</f>
        <v>obj_00007#0000</v>
      </c>
      <c r="K3" s="130">
        <f>Q3/100</f>
        <v>5.9999999999999995E-4</v>
      </c>
      <c r="L3" s="40" t="s">
        <v>396</v>
      </c>
      <c r="M3" s="39">
        <v>0.01</v>
      </c>
      <c r="N3" s="147" t="b">
        <v>0</v>
      </c>
      <c r="O3" s="148">
        <f>$B$4</f>
        <v>2</v>
      </c>
      <c r="P3" s="147" t="b">
        <v>1</v>
      </c>
      <c r="Q3" s="134">
        <v>0.06</v>
      </c>
      <c r="R3" s="135"/>
      <c r="S3" s="127"/>
      <c r="T3" s="127"/>
      <c r="U3" s="40"/>
    </row>
    <row r="4" spans="1:24" x14ac:dyDescent="0.25">
      <c r="A4" s="124" t="s">
        <v>620</v>
      </c>
      <c r="B4" s="40">
        <v>2</v>
      </c>
      <c r="D4" s="154">
        <f t="shared" si="0"/>
        <v>4</v>
      </c>
      <c r="E4" s="155">
        <v>44571</v>
      </c>
      <c r="F4" s="156">
        <v>7.4999787501402377E-4</v>
      </c>
      <c r="G4" s="157">
        <v>0.99999166672499951</v>
      </c>
      <c r="H4" s="129" t="str">
        <f t="shared" ref="H4:H13" si="1">I32</f>
        <v>obj_0002d#0000</v>
      </c>
      <c r="I4" s="150" t="str">
        <f>_xll.qlSimpleQuote(,K4,M4,N4,O4,P4)</f>
        <v>obj_00009#0000</v>
      </c>
      <c r="K4" s="130">
        <f t="shared" ref="K4:K28" si="2">Q4/100</f>
        <v>8.0000000000000004E-4</v>
      </c>
      <c r="L4" s="40" t="s">
        <v>397</v>
      </c>
      <c r="M4" s="39">
        <f>$M$3</f>
        <v>0.01</v>
      </c>
      <c r="N4" s="147" t="b">
        <v>0</v>
      </c>
      <c r="O4" s="148">
        <f t="shared" ref="O4:O28" si="3">$B$4</f>
        <v>2</v>
      </c>
      <c r="P4" s="147" t="b">
        <v>1</v>
      </c>
      <c r="Q4" s="134">
        <v>0.08</v>
      </c>
      <c r="R4" s="135"/>
      <c r="S4" s="127"/>
      <c r="T4" s="127"/>
      <c r="U4" s="40"/>
    </row>
    <row r="5" spans="1:24" x14ac:dyDescent="0.25">
      <c r="D5" s="154">
        <f t="shared" si="0"/>
        <v>5</v>
      </c>
      <c r="E5" s="155">
        <v>44572</v>
      </c>
      <c r="F5" s="156">
        <v>7.5999812215315024E-4</v>
      </c>
      <c r="G5" s="157">
        <v>0.99998944452623495</v>
      </c>
      <c r="H5" s="129" t="str">
        <f t="shared" si="1"/>
        <v>obj_00022#0000</v>
      </c>
      <c r="I5" s="150" t="str">
        <f>_xll.qlSimpleQuote(,K5,M5,N5,O5,P5)</f>
        <v>obj_00016#0000</v>
      </c>
      <c r="K5" s="130">
        <f t="shared" si="2"/>
        <v>8.0000000000000004E-4</v>
      </c>
      <c r="L5" s="40" t="s">
        <v>398</v>
      </c>
      <c r="M5" s="39">
        <f t="shared" ref="M5:M28" si="4">$M$3</f>
        <v>0.01</v>
      </c>
      <c r="N5" s="147" t="b">
        <v>0</v>
      </c>
      <c r="O5" s="148">
        <f t="shared" si="3"/>
        <v>2</v>
      </c>
      <c r="P5" s="147" t="b">
        <v>1</v>
      </c>
      <c r="Q5" s="134">
        <v>0.08</v>
      </c>
      <c r="R5" s="135"/>
      <c r="S5" s="127"/>
      <c r="T5" s="127"/>
      <c r="U5" s="40"/>
    </row>
    <row r="6" spans="1:24" x14ac:dyDescent="0.25">
      <c r="A6" s="149" t="s">
        <v>379</v>
      </c>
      <c r="B6" s="136" t="str">
        <f>_xll.qlIborIndex(B7,B8,B9,B10,B11,B12,B13,B14,B15,B16,B17,B18,B19)</f>
        <v>LIBOR3M#0000</v>
      </c>
      <c r="C6" s="136"/>
      <c r="D6" s="154">
        <f t="shared" si="0"/>
        <v>12</v>
      </c>
      <c r="E6" s="155">
        <v>44579</v>
      </c>
      <c r="F6" s="156">
        <v>1.149985791937852E-3</v>
      </c>
      <c r="G6" s="157">
        <v>0.99996166787496332</v>
      </c>
      <c r="H6" s="129" t="str">
        <f t="shared" si="1"/>
        <v>obj_00032#0000</v>
      </c>
      <c r="I6" s="150" t="str">
        <f>_xll.qlSimpleQuote(,K6,M6,N6,O6,P6)</f>
        <v>obj_00008#0000</v>
      </c>
      <c r="K6" s="130">
        <f t="shared" si="2"/>
        <v>1.3500000000000001E-3</v>
      </c>
      <c r="L6" s="40" t="s">
        <v>312</v>
      </c>
      <c r="M6" s="39">
        <f t="shared" si="4"/>
        <v>0.01</v>
      </c>
      <c r="N6" s="147" t="b">
        <v>0</v>
      </c>
      <c r="O6" s="148">
        <f t="shared" si="3"/>
        <v>2</v>
      </c>
      <c r="P6" s="147" t="b">
        <v>1</v>
      </c>
      <c r="Q6" s="134">
        <v>0.13500000000000001</v>
      </c>
      <c r="R6" s="135"/>
      <c r="S6" s="127"/>
      <c r="T6" s="127"/>
      <c r="U6" s="40"/>
    </row>
    <row r="7" spans="1:24" x14ac:dyDescent="0.25">
      <c r="A7" s="124" t="s">
        <v>367</v>
      </c>
      <c r="B7" s="137" t="s">
        <v>380</v>
      </c>
      <c r="C7" s="137"/>
      <c r="D7" s="154">
        <f t="shared" si="0"/>
        <v>18</v>
      </c>
      <c r="E7" s="155">
        <v>44585</v>
      </c>
      <c r="F7" s="156">
        <v>1.2166386329148075E-3</v>
      </c>
      <c r="G7" s="157">
        <v>0.99993916991857879</v>
      </c>
      <c r="H7" s="129" t="str">
        <f t="shared" si="1"/>
        <v>obj_00034#0000</v>
      </c>
      <c r="I7" s="150" t="str">
        <f>_xll.qlSimpleQuote(,K7,M7,N7,O7,P7)</f>
        <v>obj_0000f#0000</v>
      </c>
      <c r="K7" s="130">
        <f t="shared" si="2"/>
        <v>1.3500000000000001E-3</v>
      </c>
      <c r="L7" s="40" t="s">
        <v>341</v>
      </c>
      <c r="M7" s="39">
        <f t="shared" si="4"/>
        <v>0.01</v>
      </c>
      <c r="N7" s="147" t="b">
        <v>0</v>
      </c>
      <c r="O7" s="148">
        <f t="shared" si="3"/>
        <v>2</v>
      </c>
      <c r="P7" s="147" t="b">
        <v>1</v>
      </c>
      <c r="Q7" s="134">
        <v>0.13500000000000001</v>
      </c>
      <c r="R7" s="135"/>
      <c r="S7" s="127"/>
      <c r="T7" s="127"/>
      <c r="U7" s="40"/>
    </row>
    <row r="8" spans="1:24" x14ac:dyDescent="0.25">
      <c r="A8" s="124" t="s">
        <v>368</v>
      </c>
      <c r="B8" s="137"/>
      <c r="C8" s="137"/>
      <c r="D8" s="154">
        <f t="shared" si="0"/>
        <v>25</v>
      </c>
      <c r="E8" s="155">
        <v>44592</v>
      </c>
      <c r="F8" s="156">
        <v>3.3956270715121356E-3</v>
      </c>
      <c r="G8" s="157">
        <v>0.99976422036486645</v>
      </c>
      <c r="H8" s="129" t="str">
        <f t="shared" si="1"/>
        <v>obj_0002b#0000</v>
      </c>
      <c r="I8" s="150" t="str">
        <f>_xll.qlSimpleQuote(,K8,M8,N8,O8,P8)</f>
        <v>obj_00010#0000</v>
      </c>
      <c r="K8" s="130">
        <f t="shared" si="2"/>
        <v>3.9000000000000003E-3</v>
      </c>
      <c r="L8" s="40" t="s">
        <v>399</v>
      </c>
      <c r="M8" s="39">
        <f t="shared" si="4"/>
        <v>0.01</v>
      </c>
      <c r="N8" s="147" t="b">
        <v>0</v>
      </c>
      <c r="O8" s="148">
        <f t="shared" si="3"/>
        <v>2</v>
      </c>
      <c r="P8" s="147" t="b">
        <v>1</v>
      </c>
      <c r="Q8" s="134">
        <v>0.39</v>
      </c>
      <c r="R8" s="135"/>
      <c r="S8" s="127"/>
      <c r="T8" s="127"/>
      <c r="U8" s="40"/>
    </row>
    <row r="9" spans="1:24" x14ac:dyDescent="0.25">
      <c r="A9" s="124" t="s">
        <v>369</v>
      </c>
      <c r="B9" s="137" t="s">
        <v>381</v>
      </c>
      <c r="C9" s="137"/>
      <c r="D9" s="154">
        <f t="shared" si="0"/>
        <v>35</v>
      </c>
      <c r="E9" s="155">
        <v>44602</v>
      </c>
      <c r="F9" s="156">
        <v>1.3646286957272582E-3</v>
      </c>
      <c r="G9" s="157">
        <v>0.99987112670583556</v>
      </c>
      <c r="H9" s="129" t="str">
        <f t="shared" si="1"/>
        <v>obj_00020#0000</v>
      </c>
      <c r="I9" s="150" t="str">
        <f>_xll.qlSimpleQuote(,K9,M9,N9,O9,P9)</f>
        <v>obj_0001c#0000</v>
      </c>
      <c r="K9" s="130">
        <f t="shared" si="2"/>
        <v>1.4000000000000002E-3</v>
      </c>
      <c r="L9" s="40" t="s">
        <v>303</v>
      </c>
      <c r="M9" s="39">
        <f t="shared" si="4"/>
        <v>0.01</v>
      </c>
      <c r="N9" s="147" t="b">
        <v>0</v>
      </c>
      <c r="O9" s="148">
        <f t="shared" si="3"/>
        <v>2</v>
      </c>
      <c r="P9" s="147" t="b">
        <v>1</v>
      </c>
      <c r="Q9" s="134">
        <v>0.14000000000000001</v>
      </c>
      <c r="R9" s="135"/>
      <c r="S9" s="127"/>
      <c r="T9" s="127"/>
      <c r="U9" s="40"/>
    </row>
    <row r="10" spans="1:24" x14ac:dyDescent="0.25">
      <c r="A10" s="124" t="s">
        <v>370</v>
      </c>
      <c r="B10" s="137">
        <v>2</v>
      </c>
      <c r="C10" s="137"/>
      <c r="D10" s="154">
        <f t="shared" si="0"/>
        <v>63</v>
      </c>
      <c r="E10" s="155">
        <v>44630</v>
      </c>
      <c r="F10" s="156">
        <v>2.5814599983636425E-3</v>
      </c>
      <c r="G10" s="157">
        <v>0.99954117906859974</v>
      </c>
      <c r="H10" s="129" t="str">
        <f t="shared" si="1"/>
        <v>obj_00028#0000</v>
      </c>
      <c r="I10" s="150" t="str">
        <f>_xll.qlSimpleQuote(,K10,M10,N10,O10,P10)</f>
        <v>obj_00014#0000</v>
      </c>
      <c r="K10" s="130">
        <f t="shared" si="2"/>
        <v>2.7500000000000003E-3</v>
      </c>
      <c r="L10" s="40" t="s">
        <v>304</v>
      </c>
      <c r="M10" s="39">
        <f t="shared" si="4"/>
        <v>0.01</v>
      </c>
      <c r="N10" s="147" t="b">
        <v>0</v>
      </c>
      <c r="O10" s="148">
        <f t="shared" si="3"/>
        <v>2</v>
      </c>
      <c r="P10" s="147" t="b">
        <v>1</v>
      </c>
      <c r="Q10" s="134">
        <v>0.27500000000000002</v>
      </c>
      <c r="R10" s="135"/>
      <c r="S10" s="127"/>
      <c r="T10" s="127"/>
      <c r="U10" s="40"/>
    </row>
    <row r="11" spans="1:24" x14ac:dyDescent="0.25">
      <c r="A11" s="124" t="s">
        <v>371</v>
      </c>
      <c r="B11" s="137" t="s">
        <v>382</v>
      </c>
      <c r="C11" s="137"/>
      <c r="D11" s="154">
        <f t="shared" si="0"/>
        <v>95</v>
      </c>
      <c r="E11" s="155">
        <v>44662</v>
      </c>
      <c r="F11" s="156">
        <v>2.4734235351718944E-3</v>
      </c>
      <c r="G11" s="157">
        <v>0.99934750397972583</v>
      </c>
      <c r="H11" s="129" t="str">
        <f t="shared" si="1"/>
        <v>obj_00029#0000</v>
      </c>
      <c r="I11" s="150" t="str">
        <f>_xll.qlSimpleQuote(,K11,M11,N11,O11,P11)</f>
        <v>obj_00006#0000</v>
      </c>
      <c r="K11" s="130">
        <f t="shared" si="2"/>
        <v>2.5500000000000002E-3</v>
      </c>
      <c r="L11" s="40" t="s">
        <v>305</v>
      </c>
      <c r="M11" s="39">
        <f t="shared" si="4"/>
        <v>0.01</v>
      </c>
      <c r="N11" s="147" t="b">
        <v>0</v>
      </c>
      <c r="O11" s="148">
        <f t="shared" si="3"/>
        <v>2</v>
      </c>
      <c r="P11" s="147" t="b">
        <v>1</v>
      </c>
      <c r="Q11" s="134">
        <v>0.255</v>
      </c>
      <c r="R11" s="135"/>
      <c r="S11" s="127"/>
      <c r="T11" s="127"/>
      <c r="U11" s="40"/>
    </row>
    <row r="12" spans="1:24" x14ac:dyDescent="0.25">
      <c r="A12" s="124" t="s">
        <v>372</v>
      </c>
      <c r="B12" s="138" t="s">
        <v>383</v>
      </c>
      <c r="C12" s="138"/>
      <c r="D12" s="154">
        <f t="shared" si="0"/>
        <v>124</v>
      </c>
      <c r="E12" s="155">
        <v>44691</v>
      </c>
      <c r="F12" s="156">
        <v>2.8776294799417084E-3</v>
      </c>
      <c r="G12" s="157">
        <v>0.99900930757256046</v>
      </c>
      <c r="H12" s="129" t="str">
        <f t="shared" si="1"/>
        <v>obj_0002f#0000</v>
      </c>
      <c r="I12" s="150" t="str">
        <f>_xll.qlSimpleQuote(,K12,M12,N12,O12,P12)</f>
        <v>obj_0000a#0000</v>
      </c>
      <c r="K12" s="130">
        <f t="shared" si="2"/>
        <v>2.9499999999999999E-3</v>
      </c>
      <c r="L12" s="40" t="s">
        <v>357</v>
      </c>
      <c r="M12" s="39">
        <f t="shared" si="4"/>
        <v>0.01</v>
      </c>
      <c r="N12" s="147" t="b">
        <v>0</v>
      </c>
      <c r="O12" s="148">
        <f t="shared" si="3"/>
        <v>2</v>
      </c>
      <c r="P12" s="147" t="b">
        <v>1</v>
      </c>
      <c r="Q12" s="134">
        <v>0.29499999999999998</v>
      </c>
      <c r="R12" s="135"/>
      <c r="S12" s="127"/>
      <c r="T12" s="127"/>
      <c r="U12" s="40"/>
    </row>
    <row r="13" spans="1:24" x14ac:dyDescent="0.25">
      <c r="A13" s="124" t="s">
        <v>373</v>
      </c>
      <c r="B13" s="137" t="s">
        <v>384</v>
      </c>
      <c r="C13" s="138"/>
      <c r="D13" s="154">
        <f t="shared" si="0"/>
        <v>155</v>
      </c>
      <c r="E13" s="155">
        <v>44722</v>
      </c>
      <c r="F13" s="156">
        <v>3.2039987099971002E-3</v>
      </c>
      <c r="G13" s="157">
        <v>0.99863033939428358</v>
      </c>
      <c r="H13" s="129" t="str">
        <f t="shared" si="1"/>
        <v>obj_0001d#0000</v>
      </c>
      <c r="I13" s="150" t="str">
        <f>_xll.qlSimpleQuote(,K13,M13,N13,O13,P13)</f>
        <v>obj_0000b#0000</v>
      </c>
      <c r="K13" s="130">
        <f t="shared" si="2"/>
        <v>3.2500000000000003E-3</v>
      </c>
      <c r="L13" s="40" t="s">
        <v>359</v>
      </c>
      <c r="M13" s="39">
        <f t="shared" si="4"/>
        <v>0.01</v>
      </c>
      <c r="N13" s="147" t="b">
        <v>0</v>
      </c>
      <c r="O13" s="148">
        <f t="shared" si="3"/>
        <v>2</v>
      </c>
      <c r="P13" s="147" t="b">
        <v>1</v>
      </c>
      <c r="Q13" s="134">
        <v>0.32500000000000001</v>
      </c>
      <c r="R13" s="135"/>
      <c r="S13" s="127"/>
      <c r="T13" s="127"/>
      <c r="U13" s="40"/>
    </row>
    <row r="14" spans="1:24" x14ac:dyDescent="0.25">
      <c r="A14" s="124" t="s">
        <v>374</v>
      </c>
      <c r="B14" s="137" t="b">
        <v>0</v>
      </c>
      <c r="C14" s="138"/>
      <c r="D14" s="154">
        <f t="shared" si="0"/>
        <v>369</v>
      </c>
      <c r="E14" s="155">
        <v>44936</v>
      </c>
      <c r="F14" s="156">
        <v>5.3584420592455162E-3</v>
      </c>
      <c r="G14" s="157">
        <v>0.99459667047977895</v>
      </c>
      <c r="H14" s="129" t="str">
        <f>I45</f>
        <v>obj_0002a#0000</v>
      </c>
      <c r="I14" s="150" t="str">
        <f>_xll.qlSimpleQuote(,K14,M14,N14,O14,P14)</f>
        <v>obj_0000c#0000</v>
      </c>
      <c r="K14" s="130">
        <f t="shared" si="2"/>
        <v>5.3500000000000006E-3</v>
      </c>
      <c r="L14" s="40" t="s">
        <v>307</v>
      </c>
      <c r="M14" s="39">
        <f t="shared" si="4"/>
        <v>0.01</v>
      </c>
      <c r="N14" s="147" t="b">
        <v>0</v>
      </c>
      <c r="O14" s="148">
        <f t="shared" si="3"/>
        <v>2</v>
      </c>
      <c r="P14" s="147" t="b">
        <v>1</v>
      </c>
      <c r="Q14" s="134">
        <v>0.53500000000000003</v>
      </c>
      <c r="R14" s="135"/>
      <c r="S14" s="127"/>
      <c r="T14" s="127"/>
      <c r="U14" s="40"/>
    </row>
    <row r="15" spans="1:24" x14ac:dyDescent="0.25">
      <c r="A15" s="124" t="s">
        <v>375</v>
      </c>
      <c r="B15" s="137" t="s">
        <v>385</v>
      </c>
      <c r="C15" s="138"/>
      <c r="D15" s="154">
        <f t="shared" si="0"/>
        <v>734</v>
      </c>
      <c r="E15" s="155">
        <v>45301</v>
      </c>
      <c r="F15" s="156">
        <v>9.4036370141943951E-3</v>
      </c>
      <c r="G15" s="157">
        <v>0.98126594642471265</v>
      </c>
      <c r="H15" s="129" t="str">
        <f t="shared" ref="H15:H28" si="5">I46</f>
        <v>obj_0001f#0000</v>
      </c>
      <c r="I15" s="150" t="str">
        <f>_xll.qlSimpleQuote(,K15,M15,N15,O15,P15)</f>
        <v>obj_00017#0000</v>
      </c>
      <c r="K15" s="130">
        <f t="shared" si="2"/>
        <v>9.3500000000000007E-3</v>
      </c>
      <c r="L15" s="40" t="s">
        <v>308</v>
      </c>
      <c r="M15" s="39">
        <f t="shared" si="4"/>
        <v>0.01</v>
      </c>
      <c r="N15" s="147" t="b">
        <v>0</v>
      </c>
      <c r="O15" s="148">
        <f t="shared" si="3"/>
        <v>2</v>
      </c>
      <c r="P15" s="147" t="b">
        <v>1</v>
      </c>
      <c r="Q15" s="134">
        <v>0.93500000000000005</v>
      </c>
      <c r="R15" s="135"/>
      <c r="S15" s="127"/>
      <c r="T15" s="127"/>
      <c r="U15" s="40"/>
    </row>
    <row r="16" spans="1:24" x14ac:dyDescent="0.25">
      <c r="A16" s="124" t="s">
        <v>376</v>
      </c>
      <c r="B16" s="137"/>
      <c r="C16" s="138"/>
      <c r="D16" s="154">
        <f t="shared" si="0"/>
        <v>1100</v>
      </c>
      <c r="E16" s="155">
        <v>45667</v>
      </c>
      <c r="F16" s="156">
        <v>1.1784566792255943E-2</v>
      </c>
      <c r="G16" s="157">
        <v>0.96513755862152817</v>
      </c>
      <c r="H16" s="129" t="str">
        <f t="shared" si="5"/>
        <v>obj_00027#0000</v>
      </c>
      <c r="I16" s="150" t="str">
        <f>_xll.qlSimpleQuote(,K16,M16,N16,O16,P16)</f>
        <v>obj_00012#0000</v>
      </c>
      <c r="K16" s="130">
        <f t="shared" si="2"/>
        <v>1.1679999999999999E-2</v>
      </c>
      <c r="L16" s="40" t="s">
        <v>309</v>
      </c>
      <c r="M16" s="39">
        <f t="shared" si="4"/>
        <v>0.01</v>
      </c>
      <c r="N16" s="147" t="b">
        <v>0</v>
      </c>
      <c r="O16" s="148">
        <f t="shared" si="3"/>
        <v>2</v>
      </c>
      <c r="P16" s="147" t="b">
        <v>1</v>
      </c>
      <c r="Q16" s="134">
        <v>1.1679999999999999</v>
      </c>
      <c r="R16" s="135"/>
      <c r="S16" s="127"/>
      <c r="T16" s="127"/>
      <c r="U16" s="40"/>
    </row>
    <row r="17" spans="1:21" x14ac:dyDescent="0.25">
      <c r="A17" s="124" t="s">
        <v>377</v>
      </c>
      <c r="B17" s="131" t="b">
        <v>0</v>
      </c>
      <c r="C17" s="138"/>
      <c r="D17" s="154">
        <f t="shared" si="0"/>
        <v>1467</v>
      </c>
      <c r="E17" s="155">
        <v>46034</v>
      </c>
      <c r="F17" s="156">
        <v>1.2803025696409072E-2</v>
      </c>
      <c r="G17" s="157">
        <v>0.94987442574844072</v>
      </c>
      <c r="H17" s="129" t="str">
        <f t="shared" si="5"/>
        <v>obj_00023#0000</v>
      </c>
      <c r="I17" s="150" t="str">
        <f>_xll.qlSimpleQuote(,K17,M17,N17,O17,P17)</f>
        <v>obj_0001a#0000</v>
      </c>
      <c r="K17" s="130">
        <f t="shared" si="2"/>
        <v>1.268E-2</v>
      </c>
      <c r="L17" s="40" t="s">
        <v>310</v>
      </c>
      <c r="M17" s="39">
        <f t="shared" si="4"/>
        <v>0.01</v>
      </c>
      <c r="N17" s="147" t="b">
        <v>0</v>
      </c>
      <c r="O17" s="148">
        <f t="shared" si="3"/>
        <v>2</v>
      </c>
      <c r="P17" s="147" t="b">
        <v>1</v>
      </c>
      <c r="Q17" s="134">
        <v>1.268</v>
      </c>
      <c r="R17" s="135"/>
      <c r="S17" s="127"/>
      <c r="T17" s="127"/>
      <c r="U17" s="40"/>
    </row>
    <row r="18" spans="1:21" x14ac:dyDescent="0.25">
      <c r="A18" s="124" t="s">
        <v>366</v>
      </c>
      <c r="B18" s="132">
        <f>$B$4</f>
        <v>2</v>
      </c>
      <c r="C18" s="138"/>
      <c r="D18" s="154">
        <f t="shared" si="0"/>
        <v>1831</v>
      </c>
      <c r="E18" s="155">
        <v>46398</v>
      </c>
      <c r="F18" s="156">
        <v>1.3487655717557797E-2</v>
      </c>
      <c r="G18" s="157">
        <v>0.93461031951426532</v>
      </c>
      <c r="H18" s="129" t="str">
        <f t="shared" si="5"/>
        <v>obj_00031#0000</v>
      </c>
      <c r="I18" s="150" t="str">
        <f>_xll.qlSimpleQuote(,K18,M18,N18,O18,P18)</f>
        <v>obj_00005#0000</v>
      </c>
      <c r="K18" s="130">
        <f t="shared" si="2"/>
        <v>1.3349999999999999E-2</v>
      </c>
      <c r="L18" s="40" t="s">
        <v>311</v>
      </c>
      <c r="M18" s="39">
        <f t="shared" si="4"/>
        <v>0.01</v>
      </c>
      <c r="N18" s="147" t="b">
        <v>0</v>
      </c>
      <c r="O18" s="148">
        <f t="shared" si="3"/>
        <v>2</v>
      </c>
      <c r="P18" s="147" t="b">
        <v>1</v>
      </c>
      <c r="Q18" s="134">
        <v>1.335</v>
      </c>
      <c r="R18" s="135"/>
      <c r="S18" s="127"/>
      <c r="T18" s="127"/>
      <c r="U18" s="40"/>
    </row>
    <row r="19" spans="1:21" x14ac:dyDescent="0.25">
      <c r="A19" s="124" t="s">
        <v>378</v>
      </c>
      <c r="B19" s="131" t="b">
        <v>1</v>
      </c>
      <c r="C19" s="138"/>
      <c r="D19" s="154">
        <f t="shared" si="0"/>
        <v>2195</v>
      </c>
      <c r="E19" s="155">
        <v>46762</v>
      </c>
      <c r="F19" s="156">
        <v>1.3968886207252914E-2</v>
      </c>
      <c r="G19" s="157">
        <v>0.91946019372742882</v>
      </c>
      <c r="H19" s="129" t="str">
        <f t="shared" si="5"/>
        <v>obj_00026#0000</v>
      </c>
      <c r="I19" s="150" t="str">
        <f>_xll.qlSimpleQuote(,K19,M19,N19,O19,P19)</f>
        <v>obj_00003#0000</v>
      </c>
      <c r="K19" s="130">
        <f t="shared" si="2"/>
        <v>1.3819999999999999E-2</v>
      </c>
      <c r="L19" s="40" t="s">
        <v>400</v>
      </c>
      <c r="M19" s="39">
        <f t="shared" si="4"/>
        <v>0.01</v>
      </c>
      <c r="N19" s="147" t="b">
        <v>0</v>
      </c>
      <c r="O19" s="148">
        <f t="shared" si="3"/>
        <v>2</v>
      </c>
      <c r="P19" s="147" t="b">
        <v>1</v>
      </c>
      <c r="Q19" s="134">
        <v>1.3819999999999999</v>
      </c>
      <c r="R19" s="135"/>
      <c r="S19" s="127"/>
      <c r="T19" s="127"/>
      <c r="U19" s="40"/>
    </row>
    <row r="20" spans="1:21" x14ac:dyDescent="0.25">
      <c r="D20" s="154">
        <f t="shared" si="0"/>
        <v>2561</v>
      </c>
      <c r="E20" s="155">
        <v>47128</v>
      </c>
      <c r="F20" s="156">
        <v>1.4406785813642799E-2</v>
      </c>
      <c r="G20" s="157">
        <v>0.90392618463069496</v>
      </c>
      <c r="H20" s="129" t="str">
        <f t="shared" si="5"/>
        <v>obj_0001e#0000</v>
      </c>
      <c r="I20" s="150" t="str">
        <f>_xll.qlSimpleQuote(,K20,M20,N20,O20,P20)</f>
        <v>obj_0000d#0000</v>
      </c>
      <c r="K20" s="130">
        <f t="shared" si="2"/>
        <v>1.4239999999999999E-2</v>
      </c>
      <c r="L20" s="40" t="s">
        <v>313</v>
      </c>
      <c r="M20" s="39">
        <f t="shared" si="4"/>
        <v>0.01</v>
      </c>
      <c r="N20" s="147" t="b">
        <v>0</v>
      </c>
      <c r="O20" s="148">
        <f t="shared" si="3"/>
        <v>2</v>
      </c>
      <c r="P20" s="147" t="b">
        <v>1</v>
      </c>
      <c r="Q20" s="134">
        <v>1.4239999999999999</v>
      </c>
      <c r="R20" s="135"/>
      <c r="S20" s="127"/>
      <c r="T20" s="127"/>
      <c r="U20" s="40"/>
    </row>
    <row r="21" spans="1:21" x14ac:dyDescent="0.25">
      <c r="D21" s="154">
        <f t="shared" si="0"/>
        <v>2926</v>
      </c>
      <c r="E21" s="155">
        <v>47493</v>
      </c>
      <c r="F21" s="156">
        <v>1.4974530916286635E-2</v>
      </c>
      <c r="G21" s="157">
        <v>0.88695358065989793</v>
      </c>
      <c r="H21" s="129" t="str">
        <f t="shared" si="5"/>
        <v>obj_00033#0000</v>
      </c>
      <c r="I21" s="150" t="str">
        <f>_xll.qlSimpleQuote(,K21,M21,N21,O21,P21)</f>
        <v>obj_00015#0000</v>
      </c>
      <c r="K21" s="130">
        <f t="shared" si="2"/>
        <v>1.4785E-2</v>
      </c>
      <c r="L21" s="40" t="s">
        <v>401</v>
      </c>
      <c r="M21" s="39">
        <f t="shared" si="4"/>
        <v>0.01</v>
      </c>
      <c r="N21" s="147" t="b">
        <v>0</v>
      </c>
      <c r="O21" s="148">
        <f t="shared" si="3"/>
        <v>2</v>
      </c>
      <c r="P21" s="147" t="b">
        <v>1</v>
      </c>
      <c r="Q21" s="134">
        <v>1.4784999999999999</v>
      </c>
      <c r="R21" s="135"/>
      <c r="S21" s="127"/>
      <c r="T21" s="127"/>
      <c r="U21" s="40"/>
    </row>
    <row r="22" spans="1:21" x14ac:dyDescent="0.25">
      <c r="D22" s="154">
        <f t="shared" si="0"/>
        <v>3291</v>
      </c>
      <c r="E22" s="155">
        <v>47858</v>
      </c>
      <c r="F22" s="156">
        <v>1.5044025005177849E-2</v>
      </c>
      <c r="G22" s="157">
        <v>0.87322381548065808</v>
      </c>
      <c r="H22" s="129" t="str">
        <f t="shared" si="5"/>
        <v>obj_00024#0000</v>
      </c>
      <c r="I22" s="150" t="str">
        <f>_xll.qlSimpleQuote(,K22,M22,N22,O22,P22)</f>
        <v>obj_0001b#0000</v>
      </c>
      <c r="K22" s="130">
        <f t="shared" si="2"/>
        <v>1.486E-2</v>
      </c>
      <c r="L22" s="40" t="s">
        <v>402</v>
      </c>
      <c r="M22" s="39">
        <f t="shared" si="4"/>
        <v>0.01</v>
      </c>
      <c r="N22" s="147" t="b">
        <v>0</v>
      </c>
      <c r="O22" s="148">
        <f t="shared" si="3"/>
        <v>2</v>
      </c>
      <c r="P22" s="147" t="b">
        <v>1</v>
      </c>
      <c r="Q22" s="134">
        <v>1.486</v>
      </c>
      <c r="R22" s="135"/>
      <c r="S22" s="127"/>
      <c r="T22" s="127"/>
      <c r="U22" s="40"/>
    </row>
    <row r="23" spans="1:21" x14ac:dyDescent="0.25">
      <c r="A23" s="149" t="s">
        <v>408</v>
      </c>
      <c r="B23" s="139" t="str">
        <f>_xll.qlPiecewiseYieldCurve(B24,B25,B26,$H$3:$H$28,B28,B29,B30,B31,B32,B33,B34,B35,B36)</f>
        <v>USDZC#0000</v>
      </c>
      <c r="C23" s="149"/>
      <c r="D23" s="154">
        <f t="shared" si="0"/>
        <v>3658</v>
      </c>
      <c r="E23" s="155">
        <v>48225</v>
      </c>
      <c r="F23" s="156">
        <v>1.5347136748758998E-2</v>
      </c>
      <c r="G23" s="157">
        <v>0.8575059569376825</v>
      </c>
      <c r="H23" s="129" t="str">
        <f t="shared" si="5"/>
        <v>obj_00035#0000</v>
      </c>
      <c r="I23" s="150" t="str">
        <f>_xll.qlSimpleQuote(,K23,M23,N23,O23,P23)</f>
        <v>obj_0000e#0000</v>
      </c>
      <c r="K23" s="130">
        <f t="shared" si="2"/>
        <v>1.5149999999999999E-2</v>
      </c>
      <c r="L23" s="40" t="s">
        <v>314</v>
      </c>
      <c r="M23" s="39">
        <f t="shared" si="4"/>
        <v>0.01</v>
      </c>
      <c r="N23" s="147" t="b">
        <v>0</v>
      </c>
      <c r="O23" s="148">
        <f t="shared" si="3"/>
        <v>2</v>
      </c>
      <c r="P23" s="147" t="b">
        <v>1</v>
      </c>
      <c r="Q23" s="134">
        <v>1.5149999999999999</v>
      </c>
      <c r="R23" s="135"/>
      <c r="S23" s="127"/>
      <c r="T23" s="127"/>
      <c r="U23" s="40"/>
    </row>
    <row r="24" spans="1:21" x14ac:dyDescent="0.25">
      <c r="A24" s="124" t="s">
        <v>367</v>
      </c>
      <c r="B24" s="139" t="s">
        <v>434</v>
      </c>
      <c r="C24" s="124"/>
      <c r="D24" s="154">
        <f t="shared" si="0"/>
        <v>4387</v>
      </c>
      <c r="E24" s="155">
        <v>48954</v>
      </c>
      <c r="F24" s="156">
        <v>1.5976744090316033E-2</v>
      </c>
      <c r="G24" s="157">
        <v>0.82539068392874748</v>
      </c>
      <c r="H24" s="129" t="str">
        <f t="shared" si="5"/>
        <v>obj_00030#0000</v>
      </c>
      <c r="I24" s="150" t="str">
        <f>_xll.qlSimpleQuote(,K24,M24,N24,O24,P24)</f>
        <v>obj_00011#0000</v>
      </c>
      <c r="K24" s="130">
        <f t="shared" si="2"/>
        <v>1.5740000000000001E-2</v>
      </c>
      <c r="L24" s="40" t="s">
        <v>403</v>
      </c>
      <c r="M24" s="39">
        <f t="shared" si="4"/>
        <v>0.01</v>
      </c>
      <c r="N24" s="147" t="b">
        <v>0</v>
      </c>
      <c r="O24" s="148">
        <f t="shared" si="3"/>
        <v>2</v>
      </c>
      <c r="P24" s="147" t="b">
        <v>1</v>
      </c>
      <c r="Q24" s="134">
        <v>1.5740000000000001</v>
      </c>
      <c r="R24" s="135"/>
      <c r="S24" s="127"/>
      <c r="T24" s="127"/>
      <c r="U24" s="40"/>
    </row>
    <row r="25" spans="1:21" x14ac:dyDescent="0.25">
      <c r="A25" s="124" t="s">
        <v>409</v>
      </c>
      <c r="B25" s="39">
        <v>0</v>
      </c>
      <c r="C25" s="124"/>
      <c r="D25" s="154">
        <f t="shared" si="0"/>
        <v>5485</v>
      </c>
      <c r="E25" s="155">
        <v>50052</v>
      </c>
      <c r="F25" s="156">
        <v>1.664194417488157E-2</v>
      </c>
      <c r="G25" s="157">
        <v>0.77887358226052017</v>
      </c>
      <c r="H25" s="129" t="str">
        <f t="shared" si="5"/>
        <v>obj_0002e#0000</v>
      </c>
      <c r="I25" s="150" t="str">
        <f>_xll.qlSimpleQuote(,K25,M25,N25,O25,P25)</f>
        <v>obj_00013#0000</v>
      </c>
      <c r="K25" s="130">
        <f t="shared" si="2"/>
        <v>1.636E-2</v>
      </c>
      <c r="L25" s="40" t="s">
        <v>404</v>
      </c>
      <c r="M25" s="39">
        <f t="shared" si="4"/>
        <v>0.01</v>
      </c>
      <c r="N25" s="147" t="b">
        <v>0</v>
      </c>
      <c r="O25" s="148">
        <f t="shared" si="3"/>
        <v>2</v>
      </c>
      <c r="P25" s="147" t="b">
        <v>1</v>
      </c>
      <c r="Q25" s="134">
        <v>1.6359999999999999</v>
      </c>
      <c r="R25" s="135"/>
      <c r="S25" s="127"/>
      <c r="T25" s="127"/>
      <c r="U25" s="40"/>
    </row>
    <row r="26" spans="1:21" x14ac:dyDescent="0.25">
      <c r="A26" s="124" t="s">
        <v>372</v>
      </c>
      <c r="B26" s="127" t="str">
        <f>B12</f>
        <v>UnitedStates::Settlement</v>
      </c>
      <c r="C26" s="124"/>
      <c r="D26" s="154">
        <f t="shared" si="0"/>
        <v>7309</v>
      </c>
      <c r="E26" s="155">
        <v>51876</v>
      </c>
      <c r="F26" s="156">
        <v>1.7289318592202913E-2</v>
      </c>
      <c r="G26" s="157">
        <v>0.70752771620502164</v>
      </c>
      <c r="H26" s="129" t="str">
        <f t="shared" si="5"/>
        <v>obj_00025#0000</v>
      </c>
      <c r="I26" s="150" t="str">
        <f>_xll.qlSimpleQuote(,K26,M26,N26,O26,P26)</f>
        <v>obj_00004#0000</v>
      </c>
      <c r="K26" s="130">
        <f t="shared" si="2"/>
        <v>1.6959999999999999E-2</v>
      </c>
      <c r="L26" s="40" t="s">
        <v>405</v>
      </c>
      <c r="M26" s="39">
        <f t="shared" si="4"/>
        <v>0.01</v>
      </c>
      <c r="N26" s="147" t="b">
        <v>0</v>
      </c>
      <c r="O26" s="148">
        <f t="shared" si="3"/>
        <v>2</v>
      </c>
      <c r="P26" s="147" t="b">
        <v>1</v>
      </c>
      <c r="Q26" s="134">
        <v>1.696</v>
      </c>
      <c r="R26" s="135"/>
      <c r="S26" s="127"/>
      <c r="T26" s="127"/>
      <c r="U26" s="40"/>
    </row>
    <row r="27" spans="1:21" x14ac:dyDescent="0.25">
      <c r="A27" s="124" t="s">
        <v>410</v>
      </c>
      <c r="B27" s="127"/>
      <c r="C27" s="124"/>
      <c r="D27" s="154">
        <f t="shared" si="0"/>
        <v>9135</v>
      </c>
      <c r="E27" s="155">
        <v>53702</v>
      </c>
      <c r="F27" s="156">
        <v>1.7085956914853678E-2</v>
      </c>
      <c r="G27" s="157">
        <v>0.65224255664911368</v>
      </c>
      <c r="H27" s="129" t="str">
        <f t="shared" si="5"/>
        <v>obj_00021#0000</v>
      </c>
      <c r="I27" s="150" t="str">
        <f>_xll.qlSimpleQuote(,K27,M27,N27,O27,P27)</f>
        <v>obj_00002#0000</v>
      </c>
      <c r="K27" s="130">
        <f t="shared" si="2"/>
        <v>1.6830000000000001E-2</v>
      </c>
      <c r="L27" s="40" t="s">
        <v>406</v>
      </c>
      <c r="M27" s="39">
        <f t="shared" si="4"/>
        <v>0.01</v>
      </c>
      <c r="N27" s="147" t="b">
        <v>0</v>
      </c>
      <c r="O27" s="148">
        <f t="shared" si="3"/>
        <v>2</v>
      </c>
      <c r="P27" s="147" t="b">
        <v>1</v>
      </c>
      <c r="Q27" s="134">
        <v>1.6830000000000001</v>
      </c>
      <c r="R27" s="135"/>
      <c r="S27" s="127"/>
      <c r="T27" s="127"/>
      <c r="U27" s="40"/>
    </row>
    <row r="28" spans="1:21" ht="15.75" thickBot="1" x14ac:dyDescent="0.3">
      <c r="A28" s="124" t="s">
        <v>375</v>
      </c>
      <c r="B28" s="40" t="s">
        <v>539</v>
      </c>
      <c r="C28" s="124"/>
      <c r="D28" s="158">
        <f t="shared" si="0"/>
        <v>10961</v>
      </c>
      <c r="E28" s="159">
        <v>55528</v>
      </c>
      <c r="F28" s="160">
        <v>1.6896240030958166E-2</v>
      </c>
      <c r="G28" s="161">
        <v>0.60225463767895238</v>
      </c>
      <c r="H28" s="129" t="str">
        <f t="shared" si="5"/>
        <v>obj_0002c#0000</v>
      </c>
      <c r="I28" s="150" t="str">
        <f>_xll.qlSimpleQuote(,K28,M28,N28,O28,P28)</f>
        <v>obj_00019#0000</v>
      </c>
      <c r="K28" s="130">
        <f t="shared" si="2"/>
        <v>1.67E-2</v>
      </c>
      <c r="L28" s="40" t="s">
        <v>407</v>
      </c>
      <c r="M28" s="39">
        <f t="shared" si="4"/>
        <v>0.01</v>
      </c>
      <c r="N28" s="147" t="b">
        <v>0</v>
      </c>
      <c r="O28" s="148">
        <f t="shared" si="3"/>
        <v>2</v>
      </c>
      <c r="P28" s="147" t="b">
        <v>1</v>
      </c>
      <c r="Q28" s="134">
        <v>1.67</v>
      </c>
      <c r="R28" s="135"/>
      <c r="S28" s="127"/>
      <c r="T28" s="127"/>
      <c r="U28" s="40"/>
    </row>
    <row r="29" spans="1:21" x14ac:dyDescent="0.25">
      <c r="A29" s="124" t="s">
        <v>411</v>
      </c>
      <c r="C29" s="124"/>
      <c r="D29" s="126"/>
      <c r="H29" s="129"/>
      <c r="I29" s="150"/>
      <c r="K29" s="140"/>
      <c r="L29" s="40"/>
    </row>
    <row r="30" spans="1:21" x14ac:dyDescent="0.25">
      <c r="A30" s="124" t="s">
        <v>412</v>
      </c>
      <c r="C30" s="124"/>
      <c r="D30" s="126"/>
      <c r="F30" s="141"/>
      <c r="G30" s="141"/>
      <c r="I30" s="124" t="s">
        <v>416</v>
      </c>
      <c r="J30" s="128" t="s">
        <v>367</v>
      </c>
      <c r="K30" s="128" t="s">
        <v>417</v>
      </c>
      <c r="L30" s="128" t="s">
        <v>369</v>
      </c>
      <c r="M30" s="128" t="s">
        <v>370</v>
      </c>
      <c r="N30" s="128" t="s">
        <v>372</v>
      </c>
      <c r="O30" s="128" t="s">
        <v>418</v>
      </c>
      <c r="P30" s="128" t="s">
        <v>395</v>
      </c>
      <c r="Q30" s="128" t="s">
        <v>375</v>
      </c>
      <c r="R30" s="128" t="s">
        <v>377</v>
      </c>
      <c r="S30" s="128" t="s">
        <v>366</v>
      </c>
      <c r="T30" s="128" t="s">
        <v>378</v>
      </c>
    </row>
    <row r="31" spans="1:21" x14ac:dyDescent="0.25">
      <c r="A31" s="124" t="s">
        <v>413</v>
      </c>
      <c r="D31" s="126"/>
      <c r="F31" s="141"/>
      <c r="G31" s="141"/>
      <c r="I31" s="142" t="str">
        <f>_xll.qlDepositRateHelper2(J31,K31,L31,M31,N31,O31,P31,Q31,R31,S31,T31)</f>
        <v>obj_00001#0000</v>
      </c>
      <c r="K31" s="237">
        <f>K3</f>
        <v>5.9999999999999995E-4</v>
      </c>
      <c r="L31" s="143" t="s">
        <v>419</v>
      </c>
      <c r="M31" s="143">
        <v>0</v>
      </c>
      <c r="N31" s="144" t="str">
        <f>$B$12</f>
        <v>UnitedStates::Settlement</v>
      </c>
      <c r="O31" s="145" t="s">
        <v>420</v>
      </c>
      <c r="P31" s="145" t="b">
        <f>$B$14</f>
        <v>0</v>
      </c>
      <c r="Q31" s="39" t="str">
        <f>$B$15</f>
        <v>A/360</v>
      </c>
      <c r="R31" s="131" t="b">
        <v>0</v>
      </c>
      <c r="S31" s="148">
        <f t="shared" ref="S31:S41" si="6">$B$4</f>
        <v>2</v>
      </c>
      <c r="T31" s="133" t="b">
        <v>1</v>
      </c>
      <c r="U31" s="127">
        <f>_xll.qlRateHelperMaturityDate(I31)</f>
        <v>44568</v>
      </c>
    </row>
    <row r="32" spans="1:21" x14ac:dyDescent="0.25">
      <c r="A32" s="124" t="s">
        <v>414</v>
      </c>
      <c r="B32" s="39" t="s">
        <v>435</v>
      </c>
      <c r="D32" s="126"/>
      <c r="F32" s="141"/>
      <c r="G32" s="141"/>
      <c r="I32" s="142" t="str">
        <f>_xll.qlDepositRateHelper2(J32,K32,L32,M32,N32,O32,P32,Q32,R32,S32,T32)</f>
        <v>obj_0002d#0000</v>
      </c>
      <c r="K32" s="139" t="str">
        <f t="shared" ref="K32:K41" si="7">I4</f>
        <v>obj_00009#0000</v>
      </c>
      <c r="L32" s="143" t="s">
        <v>419</v>
      </c>
      <c r="M32" s="143">
        <v>1</v>
      </c>
      <c r="N32" s="144" t="str">
        <f t="shared" ref="N32:N41" si="8">$B$12</f>
        <v>UnitedStates::Settlement</v>
      </c>
      <c r="O32" s="145" t="s">
        <v>420</v>
      </c>
      <c r="P32" s="145" t="b">
        <f t="shared" ref="P32:P41" si="9">$B$14</f>
        <v>0</v>
      </c>
      <c r="Q32" s="39" t="str">
        <f t="shared" ref="Q32:Q41" si="10">$B$15</f>
        <v>A/360</v>
      </c>
      <c r="R32" s="131" t="b">
        <v>0</v>
      </c>
      <c r="S32" s="148">
        <f t="shared" si="6"/>
        <v>2</v>
      </c>
      <c r="T32" s="133" t="b">
        <v>1</v>
      </c>
      <c r="U32" s="127">
        <f>_xll.qlRateHelperMaturityDate(I32)</f>
        <v>44571</v>
      </c>
    </row>
    <row r="33" spans="1:26" x14ac:dyDescent="0.25">
      <c r="A33" s="124" t="s">
        <v>415</v>
      </c>
      <c r="B33" s="141" t="s">
        <v>436</v>
      </c>
      <c r="C33" s="141"/>
      <c r="D33" s="126"/>
      <c r="F33" s="141"/>
      <c r="G33" s="141"/>
      <c r="I33" s="142" t="str">
        <f>_xll.qlDepositRateHelper2(J33,K33,L33,M33,N33,O33,P33,Q33,R33,S33,T33)</f>
        <v>obj_00022#0000</v>
      </c>
      <c r="K33" s="139" t="str">
        <f t="shared" si="7"/>
        <v>obj_00016#0000</v>
      </c>
      <c r="L33" s="143" t="s">
        <v>419</v>
      </c>
      <c r="M33" s="143">
        <v>2</v>
      </c>
      <c r="N33" s="144" t="str">
        <f t="shared" si="8"/>
        <v>UnitedStates::Settlement</v>
      </c>
      <c r="O33" s="145" t="s">
        <v>420</v>
      </c>
      <c r="P33" s="145" t="b">
        <f t="shared" si="9"/>
        <v>0</v>
      </c>
      <c r="Q33" s="39" t="str">
        <f t="shared" si="10"/>
        <v>A/360</v>
      </c>
      <c r="R33" s="131" t="b">
        <v>0</v>
      </c>
      <c r="S33" s="148">
        <f t="shared" si="6"/>
        <v>2</v>
      </c>
      <c r="T33" s="133" t="b">
        <v>1</v>
      </c>
      <c r="U33" s="127">
        <f>_xll.qlRateHelperMaturityDate(I33)</f>
        <v>44572</v>
      </c>
    </row>
    <row r="34" spans="1:26" x14ac:dyDescent="0.25">
      <c r="A34" s="124" t="s">
        <v>377</v>
      </c>
      <c r="B34" s="131" t="b">
        <v>0</v>
      </c>
      <c r="D34" s="126"/>
      <c r="F34" s="182"/>
      <c r="G34" s="182"/>
      <c r="I34" s="142" t="str">
        <f>_xll.qlDepositRateHelper2(J34,K34,L34,M34,N34,O34,P34,Q34,R34,S34,T34)</f>
        <v>obj_00032#0000</v>
      </c>
      <c r="K34" s="139" t="str">
        <f t="shared" si="7"/>
        <v>obj_00008#0000</v>
      </c>
      <c r="L34" s="143" t="s">
        <v>312</v>
      </c>
      <c r="M34" s="143">
        <v>2</v>
      </c>
      <c r="N34" s="144" t="str">
        <f t="shared" si="8"/>
        <v>UnitedStates::Settlement</v>
      </c>
      <c r="O34" s="145" t="s">
        <v>420</v>
      </c>
      <c r="P34" s="145" t="b">
        <f t="shared" si="9"/>
        <v>0</v>
      </c>
      <c r="Q34" s="39" t="str">
        <f t="shared" si="10"/>
        <v>A/360</v>
      </c>
      <c r="R34" s="131" t="b">
        <v>0</v>
      </c>
      <c r="S34" s="148">
        <f t="shared" si="6"/>
        <v>2</v>
      </c>
      <c r="T34" s="133" t="b">
        <v>1</v>
      </c>
      <c r="U34" s="127">
        <f>_xll.qlRateHelperMaturityDate(I34)</f>
        <v>44579</v>
      </c>
    </row>
    <row r="35" spans="1:26" x14ac:dyDescent="0.25">
      <c r="A35" s="124" t="s">
        <v>366</v>
      </c>
      <c r="B35" s="132">
        <f>$B$4</f>
        <v>2</v>
      </c>
      <c r="D35" s="126"/>
      <c r="F35" s="182"/>
      <c r="G35" s="182"/>
      <c r="I35" s="142" t="str">
        <f>_xll.qlDepositRateHelper2(J35,K35,L35,M35,N35,O35,P35,Q35,R35,S35,T35)</f>
        <v>obj_00034#0000</v>
      </c>
      <c r="K35" s="139" t="str">
        <f t="shared" si="7"/>
        <v>obj_0000f#0000</v>
      </c>
      <c r="L35" s="143" t="s">
        <v>341</v>
      </c>
      <c r="M35" s="143">
        <f>M34</f>
        <v>2</v>
      </c>
      <c r="N35" s="144" t="str">
        <f t="shared" si="8"/>
        <v>UnitedStates::Settlement</v>
      </c>
      <c r="O35" s="145" t="s">
        <v>420</v>
      </c>
      <c r="P35" s="145" t="b">
        <f t="shared" si="9"/>
        <v>0</v>
      </c>
      <c r="Q35" s="39" t="str">
        <f t="shared" si="10"/>
        <v>A/360</v>
      </c>
      <c r="R35" s="131" t="b">
        <v>0</v>
      </c>
      <c r="S35" s="148">
        <f t="shared" si="6"/>
        <v>2</v>
      </c>
      <c r="T35" s="133" t="b">
        <v>1</v>
      </c>
      <c r="U35" s="127">
        <f>_xll.qlRateHelperMaturityDate(I35)</f>
        <v>44585</v>
      </c>
    </row>
    <row r="36" spans="1:26" x14ac:dyDescent="0.25">
      <c r="A36" s="124" t="s">
        <v>378</v>
      </c>
      <c r="B36" s="131" t="b">
        <v>1</v>
      </c>
      <c r="D36" s="126"/>
      <c r="F36" s="182"/>
      <c r="G36" s="182"/>
      <c r="I36" s="142" t="str">
        <f>_xll.qlDepositRateHelper2(J36,K36,L36,M36,N36,O36,P36,Q36,R36,S36,T36)</f>
        <v>obj_0002b#0000</v>
      </c>
      <c r="K36" s="139" t="str">
        <f t="shared" si="7"/>
        <v>obj_00010#0000</v>
      </c>
      <c r="L36" s="143" t="s">
        <v>399</v>
      </c>
      <c r="M36" s="143">
        <f t="shared" ref="M36:M41" si="11">M35</f>
        <v>2</v>
      </c>
      <c r="N36" s="144" t="str">
        <f t="shared" si="8"/>
        <v>UnitedStates::Settlement</v>
      </c>
      <c r="O36" s="145" t="s">
        <v>420</v>
      </c>
      <c r="P36" s="145" t="b">
        <f t="shared" si="9"/>
        <v>0</v>
      </c>
      <c r="Q36" s="39" t="str">
        <f t="shared" si="10"/>
        <v>A/360</v>
      </c>
      <c r="R36" s="131" t="b">
        <v>0</v>
      </c>
      <c r="S36" s="148">
        <f t="shared" si="6"/>
        <v>2</v>
      </c>
      <c r="T36" s="133" t="b">
        <v>1</v>
      </c>
      <c r="U36" s="127">
        <f>_xll.qlRateHelperMaturityDate(I36)</f>
        <v>44592</v>
      </c>
    </row>
    <row r="37" spans="1:26" x14ac:dyDescent="0.25">
      <c r="D37" s="126"/>
      <c r="F37" s="182"/>
      <c r="G37" s="182"/>
      <c r="I37" s="142" t="str">
        <f>_xll.qlDepositRateHelper2(J37,K37,L37,M37,N37,O37,P37,Q37,R37,S37,T37)</f>
        <v>obj_00020#0000</v>
      </c>
      <c r="K37" s="139" t="str">
        <f t="shared" si="7"/>
        <v>obj_0001c#0000</v>
      </c>
      <c r="L37" s="143" t="s">
        <v>303</v>
      </c>
      <c r="M37" s="143">
        <f t="shared" si="11"/>
        <v>2</v>
      </c>
      <c r="N37" s="144" t="str">
        <f t="shared" si="8"/>
        <v>UnitedStates::Settlement</v>
      </c>
      <c r="O37" s="145" t="s">
        <v>420</v>
      </c>
      <c r="P37" s="145" t="b">
        <f t="shared" si="9"/>
        <v>0</v>
      </c>
      <c r="Q37" s="39" t="str">
        <f t="shared" si="10"/>
        <v>A/360</v>
      </c>
      <c r="R37" s="131" t="b">
        <v>0</v>
      </c>
      <c r="S37" s="148">
        <f t="shared" si="6"/>
        <v>2</v>
      </c>
      <c r="T37" s="133" t="b">
        <v>1</v>
      </c>
      <c r="U37" s="127">
        <f>_xll.qlRateHelperMaturityDate(I37)</f>
        <v>44602</v>
      </c>
    </row>
    <row r="38" spans="1:26" x14ac:dyDescent="0.25">
      <c r="A38" s="149" t="s">
        <v>437</v>
      </c>
      <c r="D38" s="126"/>
      <c r="F38" s="182"/>
      <c r="G38" s="182"/>
      <c r="I38" s="142" t="str">
        <f>_xll.qlDepositRateHelper2(J38,K38,L38,M38,N38,O38,P38,Q38,R38,S38,T38)</f>
        <v>obj_00028#0000</v>
      </c>
      <c r="K38" s="139" t="str">
        <f t="shared" si="7"/>
        <v>obj_00014#0000</v>
      </c>
      <c r="L38" s="143" t="s">
        <v>304</v>
      </c>
      <c r="M38" s="143">
        <f t="shared" si="11"/>
        <v>2</v>
      </c>
      <c r="N38" s="144" t="str">
        <f t="shared" si="8"/>
        <v>UnitedStates::Settlement</v>
      </c>
      <c r="O38" s="145" t="s">
        <v>420</v>
      </c>
      <c r="P38" s="145" t="b">
        <f t="shared" si="9"/>
        <v>0</v>
      </c>
      <c r="Q38" s="39" t="str">
        <f t="shared" si="10"/>
        <v>A/360</v>
      </c>
      <c r="R38" s="131" t="b">
        <v>0</v>
      </c>
      <c r="S38" s="148">
        <f t="shared" si="6"/>
        <v>2</v>
      </c>
      <c r="T38" s="133" t="b">
        <v>1</v>
      </c>
      <c r="U38" s="127">
        <f>_xll.qlRateHelperMaturityDate(I38)</f>
        <v>44630</v>
      </c>
    </row>
    <row r="39" spans="1:26" x14ac:dyDescent="0.25">
      <c r="A39" s="124" t="s">
        <v>367</v>
      </c>
      <c r="B39" s="139" t="str">
        <f>B23</f>
        <v>USDZC#0000</v>
      </c>
      <c r="D39" s="126"/>
      <c r="F39" s="182"/>
      <c r="G39" s="182"/>
      <c r="I39" s="142" t="str">
        <f>_xll.qlDepositRateHelper2(J39,K39,L39,M39,N39,O39,P39,Q39,R39,S39,T39)</f>
        <v>obj_00029#0000</v>
      </c>
      <c r="K39" s="139" t="str">
        <f t="shared" si="7"/>
        <v>obj_00006#0000</v>
      </c>
      <c r="L39" s="143" t="s">
        <v>305</v>
      </c>
      <c r="M39" s="143">
        <f t="shared" si="11"/>
        <v>2</v>
      </c>
      <c r="N39" s="144" t="str">
        <f t="shared" si="8"/>
        <v>UnitedStates::Settlement</v>
      </c>
      <c r="O39" s="145" t="s">
        <v>420</v>
      </c>
      <c r="P39" s="145" t="b">
        <f t="shared" si="9"/>
        <v>0</v>
      </c>
      <c r="Q39" s="39" t="str">
        <f t="shared" si="10"/>
        <v>A/360</v>
      </c>
      <c r="R39" s="131" t="b">
        <v>0</v>
      </c>
      <c r="S39" s="148">
        <f t="shared" si="6"/>
        <v>2</v>
      </c>
      <c r="T39" s="133" t="b">
        <v>1</v>
      </c>
      <c r="U39" s="127">
        <f>_xll.qlRateHelperMaturityDate(I39)</f>
        <v>44662</v>
      </c>
    </row>
    <row r="40" spans="1:26" x14ac:dyDescent="0.25">
      <c r="A40" s="124" t="s">
        <v>438</v>
      </c>
      <c r="D40" s="126"/>
      <c r="F40" s="182"/>
      <c r="G40" s="182"/>
      <c r="I40" s="142" t="str">
        <f>_xll.qlDepositRateHelper2(J40,K40,L40,M40,N40,O40,P40,Q40,R40,S40,T40)</f>
        <v>obj_0002f#0000</v>
      </c>
      <c r="K40" s="139" t="str">
        <f t="shared" si="7"/>
        <v>obj_0000a#0000</v>
      </c>
      <c r="L40" s="143" t="s">
        <v>357</v>
      </c>
      <c r="M40" s="143">
        <f t="shared" si="11"/>
        <v>2</v>
      </c>
      <c r="N40" s="144" t="str">
        <f t="shared" si="8"/>
        <v>UnitedStates::Settlement</v>
      </c>
      <c r="O40" s="145" t="s">
        <v>420</v>
      </c>
      <c r="P40" s="145" t="b">
        <f t="shared" si="9"/>
        <v>0</v>
      </c>
      <c r="Q40" s="39" t="str">
        <f t="shared" si="10"/>
        <v>A/360</v>
      </c>
      <c r="R40" s="131" t="b">
        <v>0</v>
      </c>
      <c r="S40" s="148">
        <f t="shared" si="6"/>
        <v>2</v>
      </c>
      <c r="T40" s="133" t="b">
        <v>1</v>
      </c>
      <c r="U40" s="127">
        <f>_xll.qlRateHelperMaturityDate(I40)</f>
        <v>44691</v>
      </c>
    </row>
    <row r="41" spans="1:26" x14ac:dyDescent="0.25">
      <c r="A41" s="124" t="s">
        <v>439</v>
      </c>
      <c r="B41" s="40" t="s">
        <v>539</v>
      </c>
      <c r="C41" s="40"/>
      <c r="D41" s="126"/>
      <c r="F41" s="182"/>
      <c r="G41" s="182"/>
      <c r="I41" s="142" t="str">
        <f>_xll.qlDepositRateHelper2(J41,K41,L41,M41,N41,O41,P41,Q41,R41,S41,T41)</f>
        <v>obj_0001d#0000</v>
      </c>
      <c r="K41" s="139" t="str">
        <f t="shared" si="7"/>
        <v>obj_0000b#0000</v>
      </c>
      <c r="L41" s="143" t="s">
        <v>359</v>
      </c>
      <c r="M41" s="143">
        <f t="shared" si="11"/>
        <v>2</v>
      </c>
      <c r="N41" s="144" t="str">
        <f t="shared" si="8"/>
        <v>UnitedStates::Settlement</v>
      </c>
      <c r="O41" s="145" t="s">
        <v>420</v>
      </c>
      <c r="P41" s="145" t="b">
        <f t="shared" si="9"/>
        <v>0</v>
      </c>
      <c r="Q41" s="39" t="str">
        <f t="shared" si="10"/>
        <v>A/360</v>
      </c>
      <c r="R41" s="131" t="b">
        <v>0</v>
      </c>
      <c r="S41" s="148">
        <f t="shared" si="6"/>
        <v>2</v>
      </c>
      <c r="T41" s="133" t="b">
        <v>1</v>
      </c>
      <c r="U41" s="127">
        <f>_xll.qlRateHelperMaturityDate(I41)</f>
        <v>44722</v>
      </c>
    </row>
    <row r="42" spans="1:26" x14ac:dyDescent="0.25">
      <c r="A42" s="124" t="s">
        <v>440</v>
      </c>
      <c r="B42" s="40" t="s">
        <v>540</v>
      </c>
      <c r="C42" s="40"/>
      <c r="D42" s="141"/>
      <c r="F42" s="182"/>
      <c r="G42" s="182"/>
      <c r="I42" s="150"/>
      <c r="K42" s="139"/>
      <c r="L42" s="40"/>
      <c r="M42" s="40"/>
      <c r="Q42" s="128"/>
    </row>
    <row r="43" spans="1:26" x14ac:dyDescent="0.25">
      <c r="A43" s="124" t="s">
        <v>441</v>
      </c>
      <c r="B43" s="40" t="s">
        <v>443</v>
      </c>
      <c r="D43" s="141"/>
      <c r="F43" s="182"/>
      <c r="G43" s="182"/>
      <c r="I43" s="150"/>
      <c r="K43" s="139"/>
      <c r="L43" s="40"/>
      <c r="M43" s="40"/>
    </row>
    <row r="44" spans="1:26" x14ac:dyDescent="0.25">
      <c r="A44" s="124" t="s">
        <v>442</v>
      </c>
      <c r="B44" s="40" t="b">
        <v>1</v>
      </c>
      <c r="D44" s="141"/>
      <c r="F44" s="182"/>
      <c r="G44" s="182"/>
      <c r="I44" s="124" t="s">
        <v>421</v>
      </c>
      <c r="J44" s="128" t="s">
        <v>367</v>
      </c>
      <c r="K44" s="128" t="s">
        <v>417</v>
      </c>
      <c r="L44" s="128" t="s">
        <v>422</v>
      </c>
      <c r="M44" s="128" t="s">
        <v>369</v>
      </c>
      <c r="N44" s="128" t="s">
        <v>372</v>
      </c>
      <c r="O44" s="128" t="s">
        <v>423</v>
      </c>
      <c r="P44" s="128" t="s">
        <v>424</v>
      </c>
      <c r="Q44" s="128" t="s">
        <v>425</v>
      </c>
      <c r="R44" s="128" t="s">
        <v>426</v>
      </c>
      <c r="S44" s="128" t="s">
        <v>427</v>
      </c>
      <c r="T44" s="128" t="s">
        <v>428</v>
      </c>
      <c r="U44" s="146" t="s">
        <v>429</v>
      </c>
      <c r="V44" s="128" t="s">
        <v>430</v>
      </c>
      <c r="W44" s="128" t="s">
        <v>431</v>
      </c>
      <c r="X44" s="128" t="s">
        <v>377</v>
      </c>
      <c r="Y44" s="128" t="s">
        <v>366</v>
      </c>
      <c r="Z44" s="128" t="s">
        <v>378</v>
      </c>
    </row>
    <row r="45" spans="1:26" x14ac:dyDescent="0.25">
      <c r="A45" s="124" t="s">
        <v>366</v>
      </c>
      <c r="B45" s="132">
        <f>$B$4</f>
        <v>2</v>
      </c>
      <c r="D45" s="141"/>
      <c r="F45" s="182"/>
      <c r="G45" s="182"/>
      <c r="I45" s="142" t="str">
        <f>_xll.qlSwapRateHelper2(J45,K45,L45,M45,N45,O45,P45,Q45,R45,S45,T45,U45,V45,W45,X45,Y45,Z45)</f>
        <v>obj_0002a#0000</v>
      </c>
      <c r="K45" s="139" t="str">
        <f>I14</f>
        <v>obj_0000c#0000</v>
      </c>
      <c r="L45" s="40">
        <v>2</v>
      </c>
      <c r="M45" s="40" t="s">
        <v>307</v>
      </c>
      <c r="N45" s="127" t="str">
        <f>$B$12</f>
        <v>UnitedStates::Settlement</v>
      </c>
      <c r="O45" s="39" t="s">
        <v>432</v>
      </c>
      <c r="P45" s="39" t="str">
        <f>$O$41</f>
        <v>F</v>
      </c>
      <c r="Q45" s="39" t="str">
        <f>$Q$41</f>
        <v>A/360</v>
      </c>
      <c r="R45" s="39" t="str">
        <f>$B$6</f>
        <v>LIBOR3M#0000</v>
      </c>
      <c r="S45" s="39">
        <v>0</v>
      </c>
      <c r="T45" s="39" t="s">
        <v>433</v>
      </c>
      <c r="X45" s="131" t="b">
        <v>0</v>
      </c>
      <c r="Y45" s="148">
        <f t="shared" ref="Y45:Y59" si="12">$B$4</f>
        <v>2</v>
      </c>
      <c r="Z45" s="133" t="b">
        <v>1</v>
      </c>
    </row>
    <row r="46" spans="1:26" x14ac:dyDescent="0.25">
      <c r="D46" s="141"/>
      <c r="F46" s="182"/>
      <c r="G46" s="182"/>
      <c r="I46" s="142" t="str">
        <f>_xll.qlSwapRateHelper2(J46,K46,L46,M46,N46,O46,P46,Q46,R46,S46,T46,U46,V46,W46,X46,Y46,Z46)</f>
        <v>obj_0001f#0000</v>
      </c>
      <c r="J46" s="128"/>
      <c r="K46" s="139" t="str">
        <f t="shared" ref="K46:K59" si="13">I15</f>
        <v>obj_00017#0000</v>
      </c>
      <c r="L46" s="40">
        <v>2</v>
      </c>
      <c r="M46" s="40" t="s">
        <v>308</v>
      </c>
      <c r="N46" s="127" t="str">
        <f t="shared" ref="N46:N59" si="14">$B$12</f>
        <v>UnitedStates::Settlement</v>
      </c>
      <c r="O46" s="39" t="s">
        <v>432</v>
      </c>
      <c r="P46" s="39" t="str">
        <f t="shared" ref="P46:P59" si="15">$O$41</f>
        <v>F</v>
      </c>
      <c r="Q46" s="39" t="str">
        <f t="shared" ref="Q46:Q59" si="16">$Q$41</f>
        <v>A/360</v>
      </c>
      <c r="R46" s="39" t="str">
        <f t="shared" ref="R46:R59" si="17">$B$6</f>
        <v>LIBOR3M#0000</v>
      </c>
      <c r="S46" s="39">
        <v>0</v>
      </c>
      <c r="T46" s="39" t="s">
        <v>433</v>
      </c>
      <c r="X46" s="131" t="b">
        <v>0</v>
      </c>
      <c r="Y46" s="148">
        <f t="shared" si="12"/>
        <v>2</v>
      </c>
      <c r="Z46" s="133" t="b">
        <v>1</v>
      </c>
    </row>
    <row r="47" spans="1:26" x14ac:dyDescent="0.25">
      <c r="D47" s="141"/>
      <c r="F47" s="182"/>
      <c r="G47" s="182"/>
      <c r="I47" s="142" t="str">
        <f>_xll.qlSwapRateHelper2(J47,K47,L47,M47,N47,O47,P47,Q47,R47,S47,T47,U47,V47,W47,X47,Y47,Z47)</f>
        <v>obj_00027#0000</v>
      </c>
      <c r="J47" s="128"/>
      <c r="K47" s="139" t="str">
        <f t="shared" si="13"/>
        <v>obj_00012#0000</v>
      </c>
      <c r="L47" s="40">
        <v>2</v>
      </c>
      <c r="M47" s="40" t="s">
        <v>309</v>
      </c>
      <c r="N47" s="127" t="str">
        <f t="shared" si="14"/>
        <v>UnitedStates::Settlement</v>
      </c>
      <c r="O47" s="39" t="s">
        <v>432</v>
      </c>
      <c r="P47" s="39" t="str">
        <f t="shared" si="15"/>
        <v>F</v>
      </c>
      <c r="Q47" s="39" t="str">
        <f t="shared" si="16"/>
        <v>A/360</v>
      </c>
      <c r="R47" s="39" t="str">
        <f t="shared" si="17"/>
        <v>LIBOR3M#0000</v>
      </c>
      <c r="S47" s="39">
        <v>0</v>
      </c>
      <c r="T47" s="39" t="s">
        <v>433</v>
      </c>
      <c r="X47" s="131" t="b">
        <v>0</v>
      </c>
      <c r="Y47" s="148">
        <f t="shared" si="12"/>
        <v>2</v>
      </c>
      <c r="Z47" s="133" t="b">
        <v>1</v>
      </c>
    </row>
    <row r="48" spans="1:26" x14ac:dyDescent="0.25">
      <c r="D48" s="141"/>
      <c r="F48" s="182"/>
      <c r="G48" s="182"/>
      <c r="I48" s="142" t="str">
        <f>_xll.qlSwapRateHelper2(J48,K48,L48,M48,N48,O48,P48,Q48,R48,S48,T48,U48,V48,W48,X48,Y48,Z48)</f>
        <v>obj_00023#0000</v>
      </c>
      <c r="K48" s="139" t="str">
        <f t="shared" si="13"/>
        <v>obj_0001a#0000</v>
      </c>
      <c r="L48" s="40">
        <v>2</v>
      </c>
      <c r="M48" s="40" t="s">
        <v>310</v>
      </c>
      <c r="N48" s="127" t="str">
        <f t="shared" si="14"/>
        <v>UnitedStates::Settlement</v>
      </c>
      <c r="O48" s="39" t="s">
        <v>432</v>
      </c>
      <c r="P48" s="39" t="str">
        <f t="shared" si="15"/>
        <v>F</v>
      </c>
      <c r="Q48" s="39" t="str">
        <f t="shared" si="16"/>
        <v>A/360</v>
      </c>
      <c r="R48" s="39" t="str">
        <f t="shared" si="17"/>
        <v>LIBOR3M#0000</v>
      </c>
      <c r="S48" s="39">
        <v>0</v>
      </c>
      <c r="T48" s="39" t="s">
        <v>433</v>
      </c>
      <c r="X48" s="131" t="b">
        <v>0</v>
      </c>
      <c r="Y48" s="148">
        <f t="shared" si="12"/>
        <v>2</v>
      </c>
      <c r="Z48" s="133" t="b">
        <v>1</v>
      </c>
    </row>
    <row r="49" spans="2:26" x14ac:dyDescent="0.25">
      <c r="D49" s="141"/>
      <c r="F49" s="182"/>
      <c r="G49" s="182"/>
      <c r="I49" s="142" t="str">
        <f>_xll.qlSwapRateHelper2(J49,K49,L49,M49,N49,O49,P49,Q49,R49,S49,T49,U49,V49,W49,X49,Y49,Z49)</f>
        <v>obj_00031#0000</v>
      </c>
      <c r="K49" s="139" t="str">
        <f t="shared" si="13"/>
        <v>obj_00005#0000</v>
      </c>
      <c r="L49" s="40">
        <v>2</v>
      </c>
      <c r="M49" s="40" t="s">
        <v>311</v>
      </c>
      <c r="N49" s="127" t="str">
        <f t="shared" si="14"/>
        <v>UnitedStates::Settlement</v>
      </c>
      <c r="O49" s="39" t="s">
        <v>432</v>
      </c>
      <c r="P49" s="39" t="str">
        <f t="shared" si="15"/>
        <v>F</v>
      </c>
      <c r="Q49" s="39" t="str">
        <f t="shared" si="16"/>
        <v>A/360</v>
      </c>
      <c r="R49" s="39" t="str">
        <f t="shared" si="17"/>
        <v>LIBOR3M#0000</v>
      </c>
      <c r="S49" s="39">
        <v>0</v>
      </c>
      <c r="T49" s="39" t="s">
        <v>433</v>
      </c>
      <c r="X49" s="131" t="b">
        <v>0</v>
      </c>
      <c r="Y49" s="148">
        <f t="shared" si="12"/>
        <v>2</v>
      </c>
      <c r="Z49" s="133" t="b">
        <v>1</v>
      </c>
    </row>
    <row r="50" spans="2:26" x14ac:dyDescent="0.25">
      <c r="D50" s="141"/>
      <c r="F50" s="182"/>
      <c r="G50" s="182"/>
      <c r="I50" s="142" t="str">
        <f>_xll.qlSwapRateHelper2(J50,K50,L50,M50,N50,O50,P50,Q50,R50,S50,T50,U50,V50,W50,X50,Y50,Z50)</f>
        <v>obj_00026#0000</v>
      </c>
      <c r="K50" s="139" t="str">
        <f t="shared" si="13"/>
        <v>obj_00003#0000</v>
      </c>
      <c r="L50" s="40">
        <v>2</v>
      </c>
      <c r="M50" s="40" t="s">
        <v>400</v>
      </c>
      <c r="N50" s="127" t="str">
        <f t="shared" si="14"/>
        <v>UnitedStates::Settlement</v>
      </c>
      <c r="O50" s="39" t="s">
        <v>432</v>
      </c>
      <c r="P50" s="39" t="str">
        <f t="shared" si="15"/>
        <v>F</v>
      </c>
      <c r="Q50" s="39" t="str">
        <f t="shared" si="16"/>
        <v>A/360</v>
      </c>
      <c r="R50" s="39" t="str">
        <f t="shared" si="17"/>
        <v>LIBOR3M#0000</v>
      </c>
      <c r="S50" s="39">
        <v>0</v>
      </c>
      <c r="T50" s="39" t="s">
        <v>433</v>
      </c>
      <c r="X50" s="131" t="b">
        <v>0</v>
      </c>
      <c r="Y50" s="148">
        <f t="shared" si="12"/>
        <v>2</v>
      </c>
      <c r="Z50" s="133" t="b">
        <v>1</v>
      </c>
    </row>
    <row r="51" spans="2:26" x14ac:dyDescent="0.25">
      <c r="D51" s="141"/>
      <c r="F51" s="182"/>
      <c r="G51" s="182"/>
      <c r="I51" s="142" t="str">
        <f>_xll.qlSwapRateHelper2(J51,K51,L51,M51,N51,O51,P51,Q51,R51,S51,T51,U51,V51,W51,X51,Y51,Z51)</f>
        <v>obj_0001e#0000</v>
      </c>
      <c r="K51" s="139" t="str">
        <f t="shared" si="13"/>
        <v>obj_0000d#0000</v>
      </c>
      <c r="L51" s="40">
        <v>2</v>
      </c>
      <c r="M51" s="40" t="s">
        <v>313</v>
      </c>
      <c r="N51" s="127" t="str">
        <f t="shared" si="14"/>
        <v>UnitedStates::Settlement</v>
      </c>
      <c r="O51" s="39" t="s">
        <v>432</v>
      </c>
      <c r="P51" s="39" t="str">
        <f t="shared" si="15"/>
        <v>F</v>
      </c>
      <c r="Q51" s="39" t="str">
        <f t="shared" si="16"/>
        <v>A/360</v>
      </c>
      <c r="R51" s="39" t="str">
        <f t="shared" si="17"/>
        <v>LIBOR3M#0000</v>
      </c>
      <c r="S51" s="39">
        <v>0</v>
      </c>
      <c r="T51" s="39" t="s">
        <v>433</v>
      </c>
      <c r="X51" s="131" t="b">
        <v>0</v>
      </c>
      <c r="Y51" s="148">
        <f t="shared" si="12"/>
        <v>2</v>
      </c>
      <c r="Z51" s="133" t="b">
        <v>1</v>
      </c>
    </row>
    <row r="52" spans="2:26" x14ac:dyDescent="0.25">
      <c r="D52" s="141"/>
      <c r="F52" s="182"/>
      <c r="G52" s="182"/>
      <c r="I52" s="142" t="str">
        <f>_xll.qlSwapRateHelper2(J52,K52,L52,M52,N52,O52,P52,Q52,R52,S52,T52,U52,V52,W52,X52,Y52,Z52)</f>
        <v>obj_00033#0000</v>
      </c>
      <c r="K52" s="139" t="str">
        <f t="shared" si="13"/>
        <v>obj_00015#0000</v>
      </c>
      <c r="L52" s="40">
        <v>2</v>
      </c>
      <c r="M52" s="40" t="s">
        <v>401</v>
      </c>
      <c r="N52" s="127" t="str">
        <f t="shared" si="14"/>
        <v>UnitedStates::Settlement</v>
      </c>
      <c r="O52" s="39" t="s">
        <v>432</v>
      </c>
      <c r="P52" s="39" t="str">
        <f t="shared" si="15"/>
        <v>F</v>
      </c>
      <c r="Q52" s="39" t="str">
        <f t="shared" si="16"/>
        <v>A/360</v>
      </c>
      <c r="R52" s="39" t="str">
        <f t="shared" si="17"/>
        <v>LIBOR3M#0000</v>
      </c>
      <c r="S52" s="39">
        <v>0</v>
      </c>
      <c r="T52" s="39" t="s">
        <v>433</v>
      </c>
      <c r="X52" s="131" t="b">
        <v>0</v>
      </c>
      <c r="Y52" s="148">
        <f t="shared" si="12"/>
        <v>2</v>
      </c>
      <c r="Z52" s="133" t="b">
        <v>1</v>
      </c>
    </row>
    <row r="53" spans="2:26" x14ac:dyDescent="0.25">
      <c r="F53" s="182"/>
      <c r="G53" s="182"/>
      <c r="I53" s="142" t="str">
        <f>_xll.qlSwapRateHelper2(J53,K53,L53,M53,N53,O53,P53,Q53,R53,S53,T53,U53,V53,W53,X53,Y53,Z53)</f>
        <v>obj_00024#0000</v>
      </c>
      <c r="K53" s="139" t="str">
        <f t="shared" si="13"/>
        <v>obj_0001b#0000</v>
      </c>
      <c r="L53" s="40">
        <v>2</v>
      </c>
      <c r="M53" s="40" t="s">
        <v>402</v>
      </c>
      <c r="N53" s="127" t="str">
        <f t="shared" si="14"/>
        <v>UnitedStates::Settlement</v>
      </c>
      <c r="O53" s="39" t="s">
        <v>432</v>
      </c>
      <c r="P53" s="39" t="str">
        <f t="shared" si="15"/>
        <v>F</v>
      </c>
      <c r="Q53" s="39" t="str">
        <f t="shared" si="16"/>
        <v>A/360</v>
      </c>
      <c r="R53" s="39" t="str">
        <f t="shared" si="17"/>
        <v>LIBOR3M#0000</v>
      </c>
      <c r="S53" s="39">
        <v>0</v>
      </c>
      <c r="T53" s="39" t="s">
        <v>433</v>
      </c>
      <c r="X53" s="131" t="b">
        <v>0</v>
      </c>
      <c r="Y53" s="148">
        <f t="shared" si="12"/>
        <v>2</v>
      </c>
      <c r="Z53" s="133" t="b">
        <v>1</v>
      </c>
    </row>
    <row r="54" spans="2:26" x14ac:dyDescent="0.25">
      <c r="B54" s="40"/>
      <c r="F54" s="182"/>
      <c r="G54" s="182"/>
      <c r="I54" s="142" t="str">
        <f>_xll.qlSwapRateHelper2(J54,K54,L54,M54,N54,O54,P54,Q54,R54,S54,T54,U54,V54,W54,X54,Y54,Z54)</f>
        <v>obj_00035#0000</v>
      </c>
      <c r="K54" s="139" t="str">
        <f t="shared" si="13"/>
        <v>obj_0000e#0000</v>
      </c>
      <c r="L54" s="40">
        <v>2</v>
      </c>
      <c r="M54" s="40" t="s">
        <v>314</v>
      </c>
      <c r="N54" s="127" t="str">
        <f t="shared" si="14"/>
        <v>UnitedStates::Settlement</v>
      </c>
      <c r="O54" s="39" t="s">
        <v>432</v>
      </c>
      <c r="P54" s="39" t="str">
        <f t="shared" si="15"/>
        <v>F</v>
      </c>
      <c r="Q54" s="39" t="str">
        <f t="shared" si="16"/>
        <v>A/360</v>
      </c>
      <c r="R54" s="39" t="str">
        <f t="shared" si="17"/>
        <v>LIBOR3M#0000</v>
      </c>
      <c r="S54" s="39">
        <v>0</v>
      </c>
      <c r="T54" s="39" t="s">
        <v>433</v>
      </c>
      <c r="X54" s="131" t="b">
        <v>0</v>
      </c>
      <c r="Y54" s="148">
        <f t="shared" si="12"/>
        <v>2</v>
      </c>
      <c r="Z54" s="133" t="b">
        <v>1</v>
      </c>
    </row>
    <row r="55" spans="2:26" x14ac:dyDescent="0.25">
      <c r="F55" s="182"/>
      <c r="G55" s="182"/>
      <c r="I55" s="142" t="str">
        <f>_xll.qlSwapRateHelper2(J55,K55,L55,M55,N55,O55,P55,Q55,R55,S55,T55,U55,V55,W55,X55,Y55,Z55)</f>
        <v>obj_00030#0000</v>
      </c>
      <c r="K55" s="139" t="str">
        <f t="shared" si="13"/>
        <v>obj_00011#0000</v>
      </c>
      <c r="L55" s="40">
        <v>2</v>
      </c>
      <c r="M55" s="40" t="s">
        <v>403</v>
      </c>
      <c r="N55" s="127" t="str">
        <f t="shared" si="14"/>
        <v>UnitedStates::Settlement</v>
      </c>
      <c r="O55" s="39" t="s">
        <v>432</v>
      </c>
      <c r="P55" s="39" t="str">
        <f t="shared" si="15"/>
        <v>F</v>
      </c>
      <c r="Q55" s="39" t="str">
        <f t="shared" si="16"/>
        <v>A/360</v>
      </c>
      <c r="R55" s="39" t="str">
        <f t="shared" si="17"/>
        <v>LIBOR3M#0000</v>
      </c>
      <c r="S55" s="39">
        <v>0</v>
      </c>
      <c r="T55" s="39" t="s">
        <v>433</v>
      </c>
      <c r="X55" s="131" t="b">
        <v>0</v>
      </c>
      <c r="Y55" s="148">
        <f t="shared" si="12"/>
        <v>2</v>
      </c>
      <c r="Z55" s="133" t="b">
        <v>1</v>
      </c>
    </row>
    <row r="56" spans="2:26" x14ac:dyDescent="0.25">
      <c r="F56" s="182"/>
      <c r="G56" s="182"/>
      <c r="I56" s="142" t="str">
        <f>_xll.qlSwapRateHelper2(J56,K56,L56,M56,N56,O56,P56,Q56,R56,S56,T56,U56,V56,W56,X56,Y56,Z56)</f>
        <v>obj_0002e#0000</v>
      </c>
      <c r="K56" s="139" t="str">
        <f t="shared" si="13"/>
        <v>obj_00013#0000</v>
      </c>
      <c r="L56" s="40">
        <v>2</v>
      </c>
      <c r="M56" s="40" t="s">
        <v>404</v>
      </c>
      <c r="N56" s="127" t="str">
        <f t="shared" si="14"/>
        <v>UnitedStates::Settlement</v>
      </c>
      <c r="O56" s="39" t="s">
        <v>432</v>
      </c>
      <c r="P56" s="39" t="str">
        <f t="shared" si="15"/>
        <v>F</v>
      </c>
      <c r="Q56" s="39" t="str">
        <f t="shared" si="16"/>
        <v>A/360</v>
      </c>
      <c r="R56" s="39" t="str">
        <f t="shared" si="17"/>
        <v>LIBOR3M#0000</v>
      </c>
      <c r="S56" s="39">
        <v>0</v>
      </c>
      <c r="T56" s="39" t="s">
        <v>433</v>
      </c>
      <c r="X56" s="131" t="b">
        <v>0</v>
      </c>
      <c r="Y56" s="148">
        <f t="shared" si="12"/>
        <v>2</v>
      </c>
      <c r="Z56" s="133" t="b">
        <v>1</v>
      </c>
    </row>
    <row r="57" spans="2:26" x14ac:dyDescent="0.25">
      <c r="F57" s="182"/>
      <c r="G57" s="182"/>
      <c r="I57" s="142" t="str">
        <f>_xll.qlSwapRateHelper2(J57,K57,L57,M57,N57,O57,P57,Q57,R57,S57,T57,U57,V57,W57,X57,Y57,Z57)</f>
        <v>obj_00025#0000</v>
      </c>
      <c r="K57" s="139" t="str">
        <f t="shared" si="13"/>
        <v>obj_00004#0000</v>
      </c>
      <c r="L57" s="40">
        <v>2</v>
      </c>
      <c r="M57" s="40" t="s">
        <v>405</v>
      </c>
      <c r="N57" s="127" t="str">
        <f t="shared" si="14"/>
        <v>UnitedStates::Settlement</v>
      </c>
      <c r="O57" s="39" t="s">
        <v>432</v>
      </c>
      <c r="P57" s="39" t="str">
        <f t="shared" si="15"/>
        <v>F</v>
      </c>
      <c r="Q57" s="39" t="str">
        <f t="shared" si="16"/>
        <v>A/360</v>
      </c>
      <c r="R57" s="39" t="str">
        <f t="shared" si="17"/>
        <v>LIBOR3M#0000</v>
      </c>
      <c r="S57" s="39">
        <v>0</v>
      </c>
      <c r="T57" s="39" t="s">
        <v>433</v>
      </c>
      <c r="X57" s="131" t="b">
        <v>0</v>
      </c>
      <c r="Y57" s="148">
        <f t="shared" si="12"/>
        <v>2</v>
      </c>
      <c r="Z57" s="133" t="b">
        <v>1</v>
      </c>
    </row>
    <row r="58" spans="2:26" x14ac:dyDescent="0.25">
      <c r="F58" s="182"/>
      <c r="G58" s="182"/>
      <c r="I58" s="142" t="str">
        <f>_xll.qlSwapRateHelper2(J58,K58,L58,M58,N58,O58,P58,Q58,R58,S58,T58,U58,V58,W58,X58,Y58,Z58)</f>
        <v>obj_00021#0000</v>
      </c>
      <c r="K58" s="139" t="str">
        <f t="shared" si="13"/>
        <v>obj_00002#0000</v>
      </c>
      <c r="L58" s="40">
        <v>2</v>
      </c>
      <c r="M58" s="40" t="s">
        <v>406</v>
      </c>
      <c r="N58" s="127" t="str">
        <f t="shared" si="14"/>
        <v>UnitedStates::Settlement</v>
      </c>
      <c r="O58" s="39" t="s">
        <v>432</v>
      </c>
      <c r="P58" s="39" t="str">
        <f t="shared" si="15"/>
        <v>F</v>
      </c>
      <c r="Q58" s="39" t="str">
        <f t="shared" si="16"/>
        <v>A/360</v>
      </c>
      <c r="R58" s="39" t="str">
        <f t="shared" si="17"/>
        <v>LIBOR3M#0000</v>
      </c>
      <c r="S58" s="39">
        <v>0</v>
      </c>
      <c r="T58" s="39" t="s">
        <v>433</v>
      </c>
      <c r="X58" s="131" t="b">
        <v>0</v>
      </c>
      <c r="Y58" s="148">
        <f t="shared" si="12"/>
        <v>2</v>
      </c>
      <c r="Z58" s="133" t="b">
        <v>1</v>
      </c>
    </row>
    <row r="59" spans="2:26" x14ac:dyDescent="0.25">
      <c r="F59" s="182"/>
      <c r="G59" s="182"/>
      <c r="I59" s="142" t="str">
        <f>_xll.qlSwapRateHelper2(J59,K59,L59,M59,N59,O59,P59,Q59,R59,S59,T59,U59,V59,W59,X59,Y59,Z59)</f>
        <v>obj_0002c#0000</v>
      </c>
      <c r="K59" s="139" t="str">
        <f t="shared" si="13"/>
        <v>obj_00019#0000</v>
      </c>
      <c r="L59" s="40">
        <v>2</v>
      </c>
      <c r="M59" s="40" t="s">
        <v>407</v>
      </c>
      <c r="N59" s="127" t="str">
        <f t="shared" si="14"/>
        <v>UnitedStates::Settlement</v>
      </c>
      <c r="O59" s="39" t="s">
        <v>432</v>
      </c>
      <c r="P59" s="39" t="str">
        <f t="shared" si="15"/>
        <v>F</v>
      </c>
      <c r="Q59" s="39" t="str">
        <f t="shared" si="16"/>
        <v>A/360</v>
      </c>
      <c r="R59" s="39" t="str">
        <f t="shared" si="17"/>
        <v>LIBOR3M#0000</v>
      </c>
      <c r="S59" s="39">
        <v>0</v>
      </c>
      <c r="T59" s="39" t="s">
        <v>433</v>
      </c>
      <c r="X59" s="131" t="b">
        <v>0</v>
      </c>
      <c r="Y59" s="148">
        <f t="shared" si="12"/>
        <v>2</v>
      </c>
      <c r="Z59" s="133" t="b">
        <v>1</v>
      </c>
    </row>
    <row r="60" spans="2:26" x14ac:dyDescent="0.25">
      <c r="G60" s="141"/>
      <c r="I60" s="150"/>
      <c r="K60" s="40"/>
      <c r="L60" s="40"/>
      <c r="M60" s="40"/>
      <c r="N60" s="125"/>
      <c r="X60" s="131"/>
      <c r="Y60" s="132"/>
      <c r="Z60" s="133"/>
    </row>
    <row r="61" spans="2:26" x14ac:dyDescent="0.25">
      <c r="G61" s="141"/>
      <c r="I61" s="150"/>
      <c r="K61" s="40"/>
      <c r="L61" s="40"/>
      <c r="M61" s="40"/>
      <c r="N61" s="125"/>
      <c r="X61" s="131"/>
      <c r="Y61" s="132"/>
      <c r="Z61" s="133"/>
    </row>
    <row r="62" spans="2:26" ht="15.75" thickBot="1" x14ac:dyDescent="0.3">
      <c r="G62" s="141"/>
    </row>
    <row r="63" spans="2:26" x14ac:dyDescent="0.25">
      <c r="C63" s="125" t="s">
        <v>542</v>
      </c>
      <c r="D63" s="151" t="s">
        <v>386</v>
      </c>
      <c r="E63" s="152" t="s">
        <v>387</v>
      </c>
      <c r="F63" s="152" t="s">
        <v>388</v>
      </c>
      <c r="G63" s="153" t="s">
        <v>389</v>
      </c>
      <c r="H63" s="128" t="s">
        <v>390</v>
      </c>
      <c r="I63" s="128" t="s">
        <v>391</v>
      </c>
      <c r="J63" s="128" t="s">
        <v>543</v>
      </c>
      <c r="K63" s="128" t="s">
        <v>392</v>
      </c>
      <c r="L63" s="128" t="s">
        <v>393</v>
      </c>
      <c r="M63" s="128" t="s">
        <v>369</v>
      </c>
      <c r="N63" s="128" t="s">
        <v>394</v>
      </c>
      <c r="O63" s="128" t="s">
        <v>377</v>
      </c>
      <c r="P63" s="128" t="s">
        <v>366</v>
      </c>
      <c r="Q63" s="128" t="s">
        <v>378</v>
      </c>
      <c r="R63" s="128" t="s">
        <v>393</v>
      </c>
      <c r="S63" s="128"/>
    </row>
    <row r="64" spans="2:26" x14ac:dyDescent="0.25">
      <c r="D64" s="184">
        <f>E64-$B$1</f>
        <v>-7</v>
      </c>
      <c r="E64" s="155">
        <f t="array" ref="E64:E78">_xll.qlPiecewiseYieldCurveDates(B82)</f>
        <v>44560</v>
      </c>
      <c r="F64" s="156" t="e">
        <f t="array" ref="F64:F78">_xll.qlYieldTSZeroRate(B99,E64:E78,B101,B102,B103,B104,B105)</f>
        <v>#NUM!</v>
      </c>
      <c r="G64" s="157" t="e">
        <f t="array" ref="G64:G78">_xll.qlYieldTSDiscount(B82,E64:E78,TRUE,B4)</f>
        <v>#NUM!</v>
      </c>
      <c r="H64" s="39" t="str">
        <f>I81</f>
        <v>obj_00011#0001</v>
      </c>
      <c r="I64" s="183" t="str">
        <f>_xll.qlSimpleQuote(,L64,N64,O64,P64,Q64)</f>
        <v>obj_00004#0001</v>
      </c>
      <c r="L64" s="39">
        <f>R64/100</f>
        <v>1.7355999999999999E-3</v>
      </c>
      <c r="M64" s="40" t="s">
        <v>312</v>
      </c>
      <c r="N64" s="40">
        <v>0.01</v>
      </c>
      <c r="O64" s="147" t="b">
        <v>0</v>
      </c>
      <c r="P64" s="148"/>
      <c r="Q64" s="147" t="b">
        <v>1</v>
      </c>
      <c r="R64" s="134">
        <v>0.17355999999999999</v>
      </c>
    </row>
    <row r="65" spans="1:21" x14ac:dyDescent="0.25">
      <c r="A65" s="39" t="s">
        <v>548</v>
      </c>
      <c r="B65" s="136" t="str">
        <f>_xll.qlIborIndex(B66,B67,B68,B69,B70,B71,B72,B73,B74,B75,B76,B77,B78)</f>
        <v>obj_00014#0000</v>
      </c>
      <c r="D65" s="184">
        <f t="shared" ref="D65:D78" si="18">E65-$B$1</f>
        <v>4</v>
      </c>
      <c r="E65" s="155">
        <v>44571</v>
      </c>
      <c r="F65" s="156" t="e">
        <v>#NUM!</v>
      </c>
      <c r="G65" s="157" t="e">
        <v>#NUM!</v>
      </c>
      <c r="H65" s="39" t="str">
        <f t="shared" ref="H65:H69" si="19">I82</f>
        <v>obj_00012#0001</v>
      </c>
      <c r="I65" s="183" t="str">
        <f>_xll.qlSimpleQuote(,L65,N65,O65,P65,Q65)</f>
        <v>obj_00009#0001</v>
      </c>
      <c r="L65" s="39">
        <f t="shared" ref="L65:L77" si="20">R65/100</f>
        <v>2.4221999999999998E-3</v>
      </c>
      <c r="M65" s="40" t="s">
        <v>341</v>
      </c>
      <c r="N65" s="40">
        <v>0.01</v>
      </c>
      <c r="O65" s="147" t="b">
        <v>0</v>
      </c>
      <c r="P65" s="148"/>
      <c r="Q65" s="147" t="b">
        <v>1</v>
      </c>
      <c r="R65" s="134">
        <v>0.24221999999999999</v>
      </c>
    </row>
    <row r="66" spans="1:21" x14ac:dyDescent="0.25">
      <c r="A66" s="124" t="s">
        <v>367</v>
      </c>
      <c r="D66" s="184">
        <f t="shared" si="18"/>
        <v>11</v>
      </c>
      <c r="E66" s="155">
        <v>44578</v>
      </c>
      <c r="F66" s="156" t="e">
        <v>#NUM!</v>
      </c>
      <c r="G66" s="157" t="e">
        <v>#NUM!</v>
      </c>
      <c r="H66" s="39" t="str">
        <f t="shared" si="19"/>
        <v>obj_0000e#0001</v>
      </c>
      <c r="I66" s="183" t="str">
        <f>_xll.qlSimpleQuote(,L66,N66,O66,P66,Q66)</f>
        <v>obj_00007#0001</v>
      </c>
      <c r="L66" s="39">
        <f t="shared" si="20"/>
        <v>3.9078000000000003E-3</v>
      </c>
      <c r="M66" s="40" t="s">
        <v>303</v>
      </c>
      <c r="N66" s="40">
        <v>0.01</v>
      </c>
      <c r="O66" s="147" t="b">
        <v>0</v>
      </c>
      <c r="P66" s="148"/>
      <c r="Q66" s="147" t="b">
        <v>1</v>
      </c>
      <c r="R66" s="134">
        <v>0.39078000000000002</v>
      </c>
    </row>
    <row r="67" spans="1:21" x14ac:dyDescent="0.25">
      <c r="A67" s="124" t="s">
        <v>368</v>
      </c>
      <c r="D67" s="184">
        <f t="shared" si="18"/>
        <v>28</v>
      </c>
      <c r="E67" s="155">
        <v>44595</v>
      </c>
      <c r="F67" s="156" t="e">
        <v>#NUM!</v>
      </c>
      <c r="G67" s="157" t="e">
        <v>#NUM!</v>
      </c>
      <c r="H67" s="39" t="str">
        <f t="shared" si="19"/>
        <v>obj_00010#0001</v>
      </c>
      <c r="I67" s="183" t="str">
        <f>_xll.qlSimpleQuote(,L67,N67,O67,P67,Q67)</f>
        <v>obj_00006#0001</v>
      </c>
      <c r="L67" s="39">
        <f t="shared" si="20"/>
        <v>4.4289000000000004E-3</v>
      </c>
      <c r="M67" s="40" t="s">
        <v>304</v>
      </c>
      <c r="N67" s="40">
        <v>0.01</v>
      </c>
      <c r="O67" s="147" t="b">
        <v>0</v>
      </c>
      <c r="P67" s="148"/>
      <c r="Q67" s="147" t="b">
        <v>1</v>
      </c>
      <c r="R67" s="134">
        <v>0.44289000000000001</v>
      </c>
    </row>
    <row r="68" spans="1:21" x14ac:dyDescent="0.25">
      <c r="A68" s="124" t="s">
        <v>369</v>
      </c>
      <c r="B68" s="40" t="s">
        <v>305</v>
      </c>
      <c r="D68" s="184">
        <f t="shared" si="18"/>
        <v>56</v>
      </c>
      <c r="E68" s="155">
        <v>44623</v>
      </c>
      <c r="F68" s="156" t="e">
        <v>#NUM!</v>
      </c>
      <c r="G68" s="157" t="e">
        <v>#NUM!</v>
      </c>
      <c r="H68" s="39" t="str">
        <f t="shared" si="19"/>
        <v>obj_0000f#0001</v>
      </c>
      <c r="I68" s="183" t="str">
        <f>_xll.qlSimpleQuote(,L68,N68,O68,P68,Q68)</f>
        <v>obj_0000a#0001</v>
      </c>
      <c r="L68" s="39">
        <f t="shared" si="20"/>
        <v>4.8056000000000001E-3</v>
      </c>
      <c r="M68" s="40" t="s">
        <v>305</v>
      </c>
      <c r="N68" s="40">
        <v>0.01</v>
      </c>
      <c r="O68" s="147" t="b">
        <v>0</v>
      </c>
      <c r="P68" s="148"/>
      <c r="Q68" s="147" t="b">
        <v>1</v>
      </c>
      <c r="R68" s="134">
        <v>0.48055999999999999</v>
      </c>
    </row>
    <row r="69" spans="1:21" x14ac:dyDescent="0.25">
      <c r="A69" s="124" t="s">
        <v>370</v>
      </c>
      <c r="B69" s="40">
        <v>2</v>
      </c>
      <c r="D69" s="184">
        <f t="shared" si="18"/>
        <v>88</v>
      </c>
      <c r="E69" s="155">
        <v>44655</v>
      </c>
      <c r="F69" s="156" t="e">
        <v>#NUM!</v>
      </c>
      <c r="G69" s="157" t="e">
        <v>#NUM!</v>
      </c>
      <c r="H69" s="39" t="str">
        <f t="shared" si="19"/>
        <v>obj_00013#0001</v>
      </c>
      <c r="I69" s="183" t="str">
        <f>_xll.qlSimpleQuote(,L69,N69,O69,P69,Q69)</f>
        <v>obj_00003#0001</v>
      </c>
      <c r="L69" s="39">
        <f t="shared" si="20"/>
        <v>5.0749999999999997E-3</v>
      </c>
      <c r="M69" s="40" t="s">
        <v>253</v>
      </c>
      <c r="N69" s="40">
        <v>0.01</v>
      </c>
      <c r="O69" s="147" t="b">
        <v>0</v>
      </c>
      <c r="P69" s="148"/>
      <c r="Q69" s="147" t="b">
        <v>1</v>
      </c>
      <c r="R69" s="134">
        <v>0.50749999999999995</v>
      </c>
    </row>
    <row r="70" spans="1:21" x14ac:dyDescent="0.25">
      <c r="A70" s="124" t="s">
        <v>371</v>
      </c>
      <c r="B70" s="40" t="s">
        <v>0</v>
      </c>
      <c r="D70" s="184">
        <f t="shared" si="18"/>
        <v>179</v>
      </c>
      <c r="E70" s="155">
        <v>44746</v>
      </c>
      <c r="F70" s="156" t="e">
        <v>#NUM!</v>
      </c>
      <c r="G70" s="157" t="e">
        <v>#NUM!</v>
      </c>
      <c r="H70" s="39" t="str">
        <f>I89</f>
        <v>obj_00015#0000</v>
      </c>
      <c r="I70" s="183" t="str">
        <f>_xll.qlSimpleQuote(,L70,N70,O70,P70,Q70)</f>
        <v>obj_00008#0001</v>
      </c>
      <c r="L70" s="39">
        <f t="shared" si="20"/>
        <v>5.6000000000000008E-3</v>
      </c>
      <c r="M70" s="40" t="s">
        <v>307</v>
      </c>
      <c r="N70" s="40">
        <v>0.01</v>
      </c>
      <c r="O70" s="147" t="b">
        <v>0</v>
      </c>
      <c r="P70" s="148"/>
      <c r="Q70" s="147" t="b">
        <v>1</v>
      </c>
      <c r="R70" s="134">
        <v>0.56000000000000005</v>
      </c>
    </row>
    <row r="71" spans="1:21" x14ac:dyDescent="0.25">
      <c r="A71" s="124" t="s">
        <v>372</v>
      </c>
      <c r="B71" s="40" t="s">
        <v>544</v>
      </c>
      <c r="D71" s="184">
        <f t="shared" si="18"/>
        <v>362</v>
      </c>
      <c r="E71" s="155">
        <v>44929</v>
      </c>
      <c r="F71" s="156" t="e">
        <v>#NUM!</v>
      </c>
      <c r="G71" s="157" t="e">
        <v>#NUM!</v>
      </c>
      <c r="H71" s="39" t="str">
        <f t="shared" ref="H71:H77" si="21">I90</f>
        <v>obj_00016#0000</v>
      </c>
      <c r="I71" s="183" t="str">
        <f>_xll.qlSimpleQuote(,L71,N71,O71,P71,Q71)</f>
        <v>obj_0000c#0001</v>
      </c>
      <c r="L71" s="39">
        <f t="shared" si="20"/>
        <v>6.8000000000000005E-3</v>
      </c>
      <c r="M71" s="40" t="s">
        <v>308</v>
      </c>
      <c r="N71" s="40">
        <v>0.01</v>
      </c>
      <c r="O71" s="147" t="b">
        <v>0</v>
      </c>
      <c r="P71" s="148"/>
      <c r="Q71" s="147" t="b">
        <v>1</v>
      </c>
      <c r="R71" s="134">
        <v>0.68</v>
      </c>
    </row>
    <row r="72" spans="1:21" x14ac:dyDescent="0.25">
      <c r="A72" s="124" t="s">
        <v>373</v>
      </c>
      <c r="B72" s="40" t="s">
        <v>550</v>
      </c>
      <c r="D72" s="184">
        <f t="shared" si="18"/>
        <v>727</v>
      </c>
      <c r="E72" s="155">
        <v>45294</v>
      </c>
      <c r="F72" s="156" t="e">
        <v>#NUM!</v>
      </c>
      <c r="G72" s="157" t="e">
        <v>#NUM!</v>
      </c>
      <c r="H72" s="39" t="str">
        <f t="shared" si="21"/>
        <v>obj_00017#0000</v>
      </c>
      <c r="I72" s="183" t="str">
        <f>_xll.qlSimpleQuote(,L72,N72,O72,P72,Q72)</f>
        <v>obj_00000#0001</v>
      </c>
      <c r="L72" s="39">
        <f t="shared" si="20"/>
        <v>7.45E-3</v>
      </c>
      <c r="M72" s="40" t="s">
        <v>309</v>
      </c>
      <c r="N72" s="40">
        <v>0.01</v>
      </c>
      <c r="O72" s="147" t="b">
        <v>0</v>
      </c>
      <c r="P72" s="148"/>
      <c r="Q72" s="147" t="b">
        <v>1</v>
      </c>
      <c r="R72" s="134">
        <v>0.745</v>
      </c>
    </row>
    <row r="73" spans="1:21" x14ac:dyDescent="0.25">
      <c r="A73" s="124" t="s">
        <v>374</v>
      </c>
      <c r="B73" s="40" t="b">
        <v>0</v>
      </c>
      <c r="D73" s="184">
        <f t="shared" si="18"/>
        <v>1093</v>
      </c>
      <c r="E73" s="155">
        <v>45660</v>
      </c>
      <c r="F73" s="156" t="e">
        <v>#NUM!</v>
      </c>
      <c r="G73" s="157" t="e">
        <v>#NUM!</v>
      </c>
      <c r="H73" s="39" t="str">
        <f t="shared" si="21"/>
        <v>obj_0001a#0000</v>
      </c>
      <c r="I73" s="183" t="str">
        <f>_xll.qlSimpleQuote(,L73,N73,O73,P73,Q73)</f>
        <v>obj_00005#0001</v>
      </c>
      <c r="L73" s="39">
        <f t="shared" si="20"/>
        <v>7.6500000000000005E-3</v>
      </c>
      <c r="M73" s="40" t="s">
        <v>310</v>
      </c>
      <c r="N73" s="40">
        <v>0.01</v>
      </c>
      <c r="O73" s="147" t="b">
        <v>0</v>
      </c>
      <c r="P73" s="148"/>
      <c r="Q73" s="147" t="b">
        <v>1</v>
      </c>
      <c r="R73" s="134">
        <v>0.76500000000000001</v>
      </c>
    </row>
    <row r="74" spans="1:21" x14ac:dyDescent="0.25">
      <c r="A74" s="124" t="s">
        <v>375</v>
      </c>
      <c r="B74" s="40" t="s">
        <v>546</v>
      </c>
      <c r="D74" s="184">
        <f t="shared" si="18"/>
        <v>1460</v>
      </c>
      <c r="E74" s="155">
        <v>46027</v>
      </c>
      <c r="F74" s="156" t="e">
        <v>#NUM!</v>
      </c>
      <c r="G74" s="157" t="e">
        <v>#NUM!</v>
      </c>
      <c r="H74" s="39" t="str">
        <f t="shared" si="21"/>
        <v>obj_00019#0000</v>
      </c>
      <c r="I74" s="183" t="str">
        <f>_xll.qlSimpleQuote(,L74,N74,O74,P74,Q74)</f>
        <v>obj_00001#0001</v>
      </c>
      <c r="L74" s="39">
        <f t="shared" si="20"/>
        <v>7.7249999999999992E-3</v>
      </c>
      <c r="M74" s="40" t="s">
        <v>311</v>
      </c>
      <c r="N74" s="40">
        <v>0.01</v>
      </c>
      <c r="O74" s="147" t="b">
        <v>0</v>
      </c>
      <c r="P74" s="148"/>
      <c r="Q74" s="147" t="b">
        <v>1</v>
      </c>
      <c r="R74" s="134">
        <v>0.77249999999999996</v>
      </c>
    </row>
    <row r="75" spans="1:21" x14ac:dyDescent="0.25">
      <c r="A75" s="124" t="s">
        <v>376</v>
      </c>
      <c r="B75" s="40"/>
      <c r="D75" s="184">
        <f t="shared" si="18"/>
        <v>1824</v>
      </c>
      <c r="E75" s="155">
        <v>46391</v>
      </c>
      <c r="F75" s="156" t="e">
        <v>#NUM!</v>
      </c>
      <c r="G75" s="157" t="e">
        <v>#NUM!</v>
      </c>
      <c r="H75" s="39" t="str">
        <f t="shared" si="21"/>
        <v>obj_0001c#0000</v>
      </c>
      <c r="I75" s="183" t="str">
        <f>_xll.qlSimpleQuote(,L75,N75,O75,P75,Q75)</f>
        <v>obj_0000d#0001</v>
      </c>
      <c r="L75" s="39">
        <f t="shared" si="20"/>
        <v>7.8759999999999993E-3</v>
      </c>
      <c r="M75" s="40" t="s">
        <v>313</v>
      </c>
      <c r="N75" s="40">
        <v>0.01</v>
      </c>
      <c r="O75" s="147" t="b">
        <v>0</v>
      </c>
      <c r="P75" s="148"/>
      <c r="Q75" s="147" t="b">
        <v>1</v>
      </c>
      <c r="R75" s="134">
        <v>0.78759999999999997</v>
      </c>
    </row>
    <row r="76" spans="1:21" x14ac:dyDescent="0.25">
      <c r="A76" s="124" t="s">
        <v>377</v>
      </c>
      <c r="B76" s="40" t="b">
        <v>0</v>
      </c>
      <c r="D76" s="184">
        <f t="shared" si="18"/>
        <v>2554</v>
      </c>
      <c r="E76" s="155">
        <v>47121</v>
      </c>
      <c r="F76" s="156" t="e">
        <v>#NUM!</v>
      </c>
      <c r="G76" s="157" t="e">
        <v>#NUM!</v>
      </c>
      <c r="H76" s="39" t="str">
        <f t="shared" si="21"/>
        <v>obj_0001b#0000</v>
      </c>
      <c r="I76" s="183" t="str">
        <f>_xll.qlSimpleQuote(,L76,N76,O76,P76,Q76)</f>
        <v>obj_00002#0001</v>
      </c>
      <c r="L76" s="39">
        <f t="shared" si="20"/>
        <v>8.0499999999999999E-3</v>
      </c>
      <c r="M76" s="40" t="s">
        <v>314</v>
      </c>
      <c r="N76" s="40">
        <v>0.01</v>
      </c>
      <c r="O76" s="147" t="b">
        <v>0</v>
      </c>
      <c r="P76" s="148"/>
      <c r="Q76" s="147" t="b">
        <v>1</v>
      </c>
      <c r="R76" s="134">
        <v>0.80500000000000005</v>
      </c>
    </row>
    <row r="77" spans="1:21" x14ac:dyDescent="0.25">
      <c r="A77" s="124" t="s">
        <v>366</v>
      </c>
      <c r="B77" s="132">
        <v>1</v>
      </c>
      <c r="D77" s="184">
        <f t="shared" si="18"/>
        <v>3651</v>
      </c>
      <c r="E77" s="155">
        <v>48218</v>
      </c>
      <c r="F77" s="156" t="e">
        <v>#NUM!</v>
      </c>
      <c r="G77" s="157" t="e">
        <v>#NUM!</v>
      </c>
      <c r="H77" s="39" t="str">
        <f t="shared" si="21"/>
        <v>obj_00018#0000</v>
      </c>
      <c r="I77" s="183" t="str">
        <f>_xll.qlSimpleQuote(,L77,N77,O77,P77,Q77)</f>
        <v>obj_0000b#0001</v>
      </c>
      <c r="L77" s="39">
        <f t="shared" si="20"/>
        <v>8.0499999999999999E-3</v>
      </c>
      <c r="M77" s="40" t="s">
        <v>404</v>
      </c>
      <c r="N77" s="40">
        <v>0.01</v>
      </c>
      <c r="O77" s="147" t="b">
        <v>0</v>
      </c>
      <c r="P77" s="148"/>
      <c r="Q77" s="147" t="b">
        <v>1</v>
      </c>
      <c r="R77" s="134">
        <v>0.80500000000000005</v>
      </c>
    </row>
    <row r="78" spans="1:21" ht="15.75" thickBot="1" x14ac:dyDescent="0.3">
      <c r="A78" s="124" t="s">
        <v>378</v>
      </c>
      <c r="B78" s="40" t="b">
        <v>1</v>
      </c>
      <c r="D78" s="185">
        <f t="shared" si="18"/>
        <v>5478</v>
      </c>
      <c r="E78" s="159">
        <v>50045</v>
      </c>
      <c r="F78" s="160" t="e">
        <v>#NUM!</v>
      </c>
      <c r="G78" s="161" t="e">
        <v>#NUM!</v>
      </c>
    </row>
    <row r="80" spans="1:21" x14ac:dyDescent="0.25">
      <c r="I80" s="128" t="s">
        <v>416</v>
      </c>
      <c r="J80" s="128" t="s">
        <v>543</v>
      </c>
      <c r="K80" s="128" t="s">
        <v>367</v>
      </c>
      <c r="L80" s="128" t="s">
        <v>417</v>
      </c>
      <c r="M80" s="128" t="s">
        <v>369</v>
      </c>
      <c r="N80" s="128" t="s">
        <v>370</v>
      </c>
      <c r="O80" s="128" t="s">
        <v>372</v>
      </c>
      <c r="P80" s="128" t="s">
        <v>418</v>
      </c>
      <c r="Q80" s="128" t="s">
        <v>395</v>
      </c>
      <c r="R80" s="128" t="s">
        <v>375</v>
      </c>
      <c r="S80" s="128" t="s">
        <v>377</v>
      </c>
      <c r="T80" s="128" t="s">
        <v>366</v>
      </c>
      <c r="U80" s="128" t="s">
        <v>378</v>
      </c>
    </row>
    <row r="81" spans="1:27" x14ac:dyDescent="0.25">
      <c r="I81" s="142" t="str">
        <f>_xll.qlDepositRateHelper2(K81,L81,M81,N81,O81,P81,Q81,R81,S81,T81,U81)</f>
        <v>obj_00011#0001</v>
      </c>
      <c r="L81" s="142" t="str">
        <f>I64</f>
        <v>obj_00004#0001</v>
      </c>
      <c r="M81" s="39" t="s">
        <v>312</v>
      </c>
      <c r="N81" s="40">
        <v>2</v>
      </c>
      <c r="O81" s="40" t="s">
        <v>544</v>
      </c>
      <c r="P81" s="40" t="s">
        <v>545</v>
      </c>
      <c r="Q81" s="39" t="b">
        <v>0</v>
      </c>
      <c r="R81" s="39" t="s">
        <v>546</v>
      </c>
      <c r="S81" s="131" t="b">
        <v>0</v>
      </c>
      <c r="T81" s="186"/>
      <c r="U81" s="133" t="b">
        <v>1</v>
      </c>
    </row>
    <row r="82" spans="1:27" x14ac:dyDescent="0.25">
      <c r="A82" s="124" t="s">
        <v>551</v>
      </c>
      <c r="B82" s="139" t="str">
        <f>_xll.qlPiecewiseYieldCurve(B83,B84,B85,$H$64:$H$77,B87,B88,B89,B90,B91,B92,B93,B94,B95)</f>
        <v>TWDZC#0000</v>
      </c>
      <c r="F82" s="236">
        <v>0.99994769648494386</v>
      </c>
      <c r="G82" s="236">
        <v>0.99994294175559295</v>
      </c>
      <c r="I82" s="142" t="str">
        <f>_xll.qlDepositRateHelper2(K82,L82,M82,N82,O82,P82,Q82,R82,S82,T82,U82)</f>
        <v>obj_00012#0001</v>
      </c>
      <c r="L82" s="142" t="str">
        <f t="shared" ref="L82:L86" si="22">I65</f>
        <v>obj_00009#0001</v>
      </c>
      <c r="M82" s="39" t="s">
        <v>341</v>
      </c>
      <c r="N82" s="40">
        <v>2</v>
      </c>
      <c r="O82" s="40" t="s">
        <v>544</v>
      </c>
      <c r="P82" s="40" t="s">
        <v>545</v>
      </c>
      <c r="Q82" s="39" t="b">
        <v>0</v>
      </c>
      <c r="R82" s="39" t="s">
        <v>546</v>
      </c>
      <c r="S82" s="131" t="b">
        <v>0</v>
      </c>
      <c r="T82" s="186"/>
      <c r="U82" s="133" t="b">
        <v>1</v>
      </c>
    </row>
    <row r="83" spans="1:27" x14ac:dyDescent="0.25">
      <c r="A83" s="39" t="s">
        <v>552</v>
      </c>
      <c r="B83" s="39" t="s">
        <v>563</v>
      </c>
      <c r="F83" s="236">
        <v>0.99988808431975018</v>
      </c>
      <c r="G83" s="236">
        <v>0.99988332991812501</v>
      </c>
      <c r="I83" s="142" t="str">
        <f>_xll.qlDepositRateHelper2(K83,L83,M83,N83,O83,P83,Q83,R83,S83,T83,U83)</f>
        <v>obj_0000e#0001</v>
      </c>
      <c r="L83" s="142" t="str">
        <f t="shared" si="22"/>
        <v>obj_00007#0001</v>
      </c>
      <c r="M83" s="39" t="s">
        <v>303</v>
      </c>
      <c r="N83" s="40">
        <v>2</v>
      </c>
      <c r="O83" s="40" t="s">
        <v>544</v>
      </c>
      <c r="P83" s="40" t="s">
        <v>545</v>
      </c>
      <c r="Q83" s="39" t="b">
        <v>0</v>
      </c>
      <c r="R83" s="39" t="s">
        <v>546</v>
      </c>
      <c r="S83" s="131" t="b">
        <v>0</v>
      </c>
      <c r="T83" s="186"/>
      <c r="U83" s="133" t="b">
        <v>1</v>
      </c>
    </row>
    <row r="84" spans="1:27" x14ac:dyDescent="0.25">
      <c r="A84" s="39" t="s">
        <v>553</v>
      </c>
      <c r="B84" s="39">
        <v>0</v>
      </c>
      <c r="F84" s="236">
        <v>0.99964920130943391</v>
      </c>
      <c r="G84" s="236">
        <v>0.99960165450094396</v>
      </c>
      <c r="I84" s="142" t="str">
        <f>_xll.qlDepositRateHelper2(K84,L84,M84,N84,O84,P84,Q84,R84,S84,T84,U84)</f>
        <v>obj_00010#0001</v>
      </c>
      <c r="L84" s="142" t="str">
        <f t="shared" si="22"/>
        <v>obj_00006#0001</v>
      </c>
      <c r="M84" s="39" t="s">
        <v>304</v>
      </c>
      <c r="N84" s="40">
        <v>2</v>
      </c>
      <c r="O84" s="40" t="s">
        <v>544</v>
      </c>
      <c r="P84" s="40" t="s">
        <v>545</v>
      </c>
      <c r="Q84" s="39" t="b">
        <v>0</v>
      </c>
      <c r="R84" s="39" t="s">
        <v>546</v>
      </c>
      <c r="S84" s="131" t="b">
        <v>0</v>
      </c>
      <c r="T84" s="186"/>
      <c r="U84" s="133" t="b">
        <v>1</v>
      </c>
    </row>
    <row r="85" spans="1:27" x14ac:dyDescent="0.25">
      <c r="A85" s="39" t="s">
        <v>554</v>
      </c>
      <c r="B85" s="39" t="s">
        <v>544</v>
      </c>
      <c r="F85" s="236">
        <v>0.99926560159892097</v>
      </c>
      <c r="G85" s="236">
        <v>0.99926085080251603</v>
      </c>
      <c r="I85" s="142" t="str">
        <f>_xll.qlDepositRateHelper2(K85,L85,M85,N85,O85,P85,Q85,R85,S85,T85,U85)</f>
        <v>obj_0000f#0001</v>
      </c>
      <c r="L85" s="142" t="str">
        <f t="shared" si="22"/>
        <v>obj_0000a#0001</v>
      </c>
      <c r="M85" s="39" t="s">
        <v>305</v>
      </c>
      <c r="N85" s="40">
        <v>2</v>
      </c>
      <c r="O85" s="40" t="s">
        <v>544</v>
      </c>
      <c r="P85" s="40" t="s">
        <v>545</v>
      </c>
      <c r="Q85" s="39" t="b">
        <v>0</v>
      </c>
      <c r="R85" s="39" t="s">
        <v>546</v>
      </c>
      <c r="S85" s="131" t="b">
        <v>0</v>
      </c>
      <c r="T85" s="186"/>
      <c r="U85" s="133" t="b">
        <v>1</v>
      </c>
    </row>
    <row r="86" spans="1:27" x14ac:dyDescent="0.25">
      <c r="A86" s="39" t="s">
        <v>555</v>
      </c>
      <c r="F86" s="236">
        <v>0.99878432823696162</v>
      </c>
      <c r="G86" s="236">
        <v>0.99875331219907504</v>
      </c>
      <c r="I86" s="142" t="str">
        <f>_xll.qlDepositRateHelper2(K86,L86,M86,N86,O86,P86,Q86,R86,S86,T86,U86)</f>
        <v>obj_00013#0001</v>
      </c>
      <c r="L86" s="142" t="str">
        <f t="shared" si="22"/>
        <v>obj_00003#0001</v>
      </c>
      <c r="M86" s="39" t="s">
        <v>253</v>
      </c>
      <c r="N86" s="40">
        <v>2</v>
      </c>
      <c r="O86" s="40" t="s">
        <v>544</v>
      </c>
      <c r="P86" s="40" t="s">
        <v>545</v>
      </c>
      <c r="Q86" s="39" t="b">
        <v>0</v>
      </c>
      <c r="R86" s="39" t="s">
        <v>546</v>
      </c>
      <c r="S86" s="131" t="b">
        <v>0</v>
      </c>
      <c r="T86" s="186"/>
      <c r="U86" s="133" t="b">
        <v>1</v>
      </c>
    </row>
    <row r="87" spans="1:27" x14ac:dyDescent="0.25">
      <c r="A87" s="39" t="s">
        <v>556</v>
      </c>
      <c r="B87" s="39" t="s">
        <v>546</v>
      </c>
      <c r="F87" s="236">
        <v>0.99745686779621479</v>
      </c>
      <c r="G87" s="236">
        <v>0.99745099156893202</v>
      </c>
    </row>
    <row r="88" spans="1:27" x14ac:dyDescent="0.25">
      <c r="A88" s="39" t="s">
        <v>557</v>
      </c>
      <c r="F88" s="236">
        <v>0.99439971043751318</v>
      </c>
      <c r="G88" s="236">
        <v>0.99439508089095197</v>
      </c>
      <c r="K88" s="128" t="s">
        <v>367</v>
      </c>
      <c r="L88" s="128" t="s">
        <v>417</v>
      </c>
      <c r="M88" s="128" t="s">
        <v>422</v>
      </c>
      <c r="N88" s="128" t="s">
        <v>369</v>
      </c>
      <c r="O88" s="128" t="s">
        <v>372</v>
      </c>
      <c r="P88" s="128" t="s">
        <v>423</v>
      </c>
      <c r="Q88" s="128" t="s">
        <v>424</v>
      </c>
      <c r="R88" s="128" t="s">
        <v>425</v>
      </c>
      <c r="S88" s="128" t="s">
        <v>426</v>
      </c>
      <c r="T88" s="128" t="s">
        <v>427</v>
      </c>
      <c r="U88" s="128" t="s">
        <v>428</v>
      </c>
      <c r="V88" s="146" t="s">
        <v>429</v>
      </c>
      <c r="W88" s="128" t="s">
        <v>430</v>
      </c>
      <c r="X88" s="128" t="s">
        <v>431</v>
      </c>
      <c r="Y88" s="128" t="s">
        <v>377</v>
      </c>
      <c r="Z88" s="128" t="s">
        <v>366</v>
      </c>
      <c r="AA88" s="128" t="s">
        <v>378</v>
      </c>
    </row>
    <row r="89" spans="1:27" x14ac:dyDescent="0.25">
      <c r="A89" s="39" t="s">
        <v>558</v>
      </c>
      <c r="F89" s="236">
        <v>0.98647424765451741</v>
      </c>
      <c r="G89" s="236">
        <v>0.98647094451476303</v>
      </c>
      <c r="I89" s="142" t="str">
        <f>_xll.qlSwapRateHelper2(K89,L89,M89,N89,O89,P89,Q89,R89,S89,T89,U89,V89,W89,X89,Y89,Z89,AA89)</f>
        <v>obj_00015#0000</v>
      </c>
      <c r="J89" s="39" t="str">
        <f>_xll.ohRangeRetrieveError(I89)</f>
        <v/>
      </c>
      <c r="L89" s="142" t="str">
        <f>I70</f>
        <v>obj_00008#0001</v>
      </c>
      <c r="M89" s="39">
        <v>2</v>
      </c>
      <c r="N89" s="40" t="s">
        <v>307</v>
      </c>
      <c r="O89" s="40" t="s">
        <v>544</v>
      </c>
      <c r="P89" s="40" t="s">
        <v>547</v>
      </c>
      <c r="Q89" s="39" t="s">
        <v>545</v>
      </c>
      <c r="R89" s="39" t="s">
        <v>546</v>
      </c>
      <c r="S89" s="142" t="str">
        <f>$B$65</f>
        <v>obj_00014#0000</v>
      </c>
      <c r="T89" s="39">
        <v>0</v>
      </c>
      <c r="U89" s="39" t="s">
        <v>433</v>
      </c>
      <c r="Y89" s="131" t="b">
        <v>0</v>
      </c>
      <c r="Z89" s="186"/>
      <c r="AA89" s="133" t="b">
        <v>1</v>
      </c>
    </row>
    <row r="90" spans="1:27" x14ac:dyDescent="0.25">
      <c r="A90" s="39" t="s">
        <v>559</v>
      </c>
      <c r="F90" s="236">
        <v>0.97785333395671026</v>
      </c>
      <c r="G90" s="236">
        <v>0.97785135300971204</v>
      </c>
      <c r="I90" s="142" t="str">
        <f>_xll.qlSwapRateHelper2(K90,L90,M90,N90,O90,P90,Q90,R90,S90,T90,U90,V90,W90,X90,Y90,Z90,AA90)</f>
        <v>obj_00016#0000</v>
      </c>
      <c r="L90" s="142" t="str">
        <f t="shared" ref="L90:L96" si="23">I71</f>
        <v>obj_0000c#0001</v>
      </c>
      <c r="M90" s="39">
        <v>2</v>
      </c>
      <c r="N90" s="40" t="s">
        <v>308</v>
      </c>
      <c r="O90" s="40" t="s">
        <v>544</v>
      </c>
      <c r="P90" s="40" t="s">
        <v>547</v>
      </c>
      <c r="Q90" s="39" t="s">
        <v>545</v>
      </c>
      <c r="R90" s="39" t="s">
        <v>546</v>
      </c>
      <c r="S90" s="142" t="str">
        <f t="shared" ref="S90:S96" si="24">$B$65</f>
        <v>obj_00014#0000</v>
      </c>
      <c r="T90" s="39">
        <v>0</v>
      </c>
      <c r="U90" s="39" t="s">
        <v>433</v>
      </c>
      <c r="Y90" s="131" t="b">
        <v>0</v>
      </c>
      <c r="Z90" s="186"/>
      <c r="AA90" s="133" t="b">
        <v>1</v>
      </c>
    </row>
    <row r="91" spans="1:27" x14ac:dyDescent="0.25">
      <c r="A91" s="39" t="s">
        <v>560</v>
      </c>
      <c r="B91" s="39" t="s">
        <v>435</v>
      </c>
      <c r="F91" s="236">
        <v>0.96977636827149227</v>
      </c>
      <c r="G91" s="236">
        <v>0.969778101130922</v>
      </c>
      <c r="I91" s="142" t="str">
        <f>_xll.qlSwapRateHelper2(K91,L91,M91,N91,O91,P91,Q91,R91,S91,T91,U91,V91,W91,X91,Y91,Z91,AA91)</f>
        <v>obj_00017#0000</v>
      </c>
      <c r="L91" s="142" t="str">
        <f t="shared" si="23"/>
        <v>obj_00000#0001</v>
      </c>
      <c r="M91" s="39">
        <v>2</v>
      </c>
      <c r="N91" s="40" t="s">
        <v>309</v>
      </c>
      <c r="O91" s="40" t="s">
        <v>544</v>
      </c>
      <c r="P91" s="40" t="s">
        <v>547</v>
      </c>
      <c r="Q91" s="39" t="s">
        <v>545</v>
      </c>
      <c r="R91" s="39" t="s">
        <v>546</v>
      </c>
      <c r="S91" s="142" t="str">
        <f t="shared" si="24"/>
        <v>obj_00014#0000</v>
      </c>
      <c r="T91" s="39">
        <v>0</v>
      </c>
      <c r="U91" s="39" t="s">
        <v>433</v>
      </c>
      <c r="Y91" s="131" t="b">
        <v>0</v>
      </c>
      <c r="Z91" s="186"/>
      <c r="AA91" s="133" t="b">
        <v>1</v>
      </c>
    </row>
    <row r="92" spans="1:27" x14ac:dyDescent="0.25">
      <c r="A92" s="39" t="s">
        <v>561</v>
      </c>
      <c r="B92" s="39" t="s">
        <v>436</v>
      </c>
      <c r="F92" s="236">
        <v>0.96204641778411049</v>
      </c>
      <c r="G92" s="236">
        <v>0.96204572793768595</v>
      </c>
      <c r="I92" s="142" t="str">
        <f>_xll.qlSwapRateHelper2(K92,L92,M92,N92,O92,P92,Q92,R92,S92,T92,U92,V92,W92,X92,Y92,Z92,AA92)</f>
        <v>obj_0001a#0000</v>
      </c>
      <c r="L92" s="142" t="str">
        <f t="shared" si="23"/>
        <v>obj_00005#0001</v>
      </c>
      <c r="M92" s="39">
        <v>2</v>
      </c>
      <c r="N92" s="40" t="s">
        <v>310</v>
      </c>
      <c r="O92" s="40" t="s">
        <v>544</v>
      </c>
      <c r="P92" s="40" t="s">
        <v>547</v>
      </c>
      <c r="Q92" s="39" t="s">
        <v>545</v>
      </c>
      <c r="R92" s="39" t="s">
        <v>546</v>
      </c>
      <c r="S92" s="142" t="str">
        <f t="shared" si="24"/>
        <v>obj_00014#0000</v>
      </c>
      <c r="T92" s="39">
        <v>0</v>
      </c>
      <c r="U92" s="39" t="s">
        <v>433</v>
      </c>
      <c r="Y92" s="131" t="b">
        <v>0</v>
      </c>
      <c r="Z92" s="186"/>
      <c r="AA92" s="133" t="b">
        <v>1</v>
      </c>
    </row>
    <row r="93" spans="1:27" x14ac:dyDescent="0.25">
      <c r="A93" s="39" t="s">
        <v>452</v>
      </c>
      <c r="B93" s="39" t="b">
        <v>0</v>
      </c>
      <c r="F93" s="236">
        <v>0.94628994140102263</v>
      </c>
      <c r="G93" s="236">
        <v>0.94628514693703403</v>
      </c>
      <c r="I93" s="142" t="str">
        <f>_xll.qlSwapRateHelper2(K93,L93,M93,N93,O93,P93,Q93,R93,S93,T93,U93,V93,W93,X93,Y93,Z93,AA93)</f>
        <v>obj_00019#0000</v>
      </c>
      <c r="L93" s="142" t="str">
        <f t="shared" si="23"/>
        <v>obj_00001#0001</v>
      </c>
      <c r="M93" s="39">
        <v>2</v>
      </c>
      <c r="N93" s="40" t="s">
        <v>311</v>
      </c>
      <c r="O93" s="40" t="s">
        <v>544</v>
      </c>
      <c r="P93" s="40" t="s">
        <v>547</v>
      </c>
      <c r="Q93" s="39" t="s">
        <v>545</v>
      </c>
      <c r="R93" s="39" t="s">
        <v>546</v>
      </c>
      <c r="S93" s="142" t="str">
        <f t="shared" si="24"/>
        <v>obj_00014#0000</v>
      </c>
      <c r="T93" s="39">
        <v>0</v>
      </c>
      <c r="U93" s="39" t="s">
        <v>433</v>
      </c>
      <c r="Y93" s="131" t="b">
        <v>0</v>
      </c>
      <c r="Z93" s="186"/>
      <c r="AA93" s="133" t="b">
        <v>1</v>
      </c>
    </row>
    <row r="94" spans="1:27" x14ac:dyDescent="0.25">
      <c r="A94" s="39" t="s">
        <v>453</v>
      </c>
      <c r="B94" s="40">
        <f>_xll.ohTrigger($L$64)</f>
        <v>1</v>
      </c>
      <c r="F94" s="236">
        <v>0.92251984716266378</v>
      </c>
      <c r="G94" s="236">
        <v>0.92252106884390395</v>
      </c>
      <c r="I94" s="142" t="str">
        <f>_xll.qlSwapRateHelper2(K94,L94,M94,N94,O94,P94,Q94,R94,S94,T94,U94,V94,W94,X94,Y94,Z94,AA94)</f>
        <v>obj_0001c#0000</v>
      </c>
      <c r="L94" s="142" t="str">
        <f t="shared" si="23"/>
        <v>obj_0000d#0001</v>
      </c>
      <c r="M94" s="39">
        <v>2</v>
      </c>
      <c r="N94" s="40" t="s">
        <v>313</v>
      </c>
      <c r="O94" s="40" t="s">
        <v>544</v>
      </c>
      <c r="P94" s="40" t="s">
        <v>547</v>
      </c>
      <c r="Q94" s="39" t="s">
        <v>545</v>
      </c>
      <c r="R94" s="39" t="s">
        <v>546</v>
      </c>
      <c r="S94" s="142" t="str">
        <f t="shared" si="24"/>
        <v>obj_00014#0000</v>
      </c>
      <c r="T94" s="39">
        <v>0</v>
      </c>
      <c r="U94" s="39" t="s">
        <v>433</v>
      </c>
      <c r="Y94" s="131" t="b">
        <v>0</v>
      </c>
      <c r="Z94" s="186"/>
      <c r="AA94" s="133" t="b">
        <v>1</v>
      </c>
    </row>
    <row r="95" spans="1:27" x14ac:dyDescent="0.25">
      <c r="A95" s="39" t="s">
        <v>562</v>
      </c>
      <c r="B95" s="39" t="b">
        <v>1</v>
      </c>
      <c r="F95" s="236">
        <v>0.88612265255650846</v>
      </c>
      <c r="G95" s="236">
        <v>0.88612387065968001</v>
      </c>
      <c r="I95" s="142" t="str">
        <f>_xll.qlSwapRateHelper2(K95,L95,M95,N95,O95,P95,Q95,R95,S95,T95,U95,V95,W95,X95,Y95,Z95,AA95)</f>
        <v>obj_0001b#0000</v>
      </c>
      <c r="L95" s="142" t="str">
        <f t="shared" si="23"/>
        <v>obj_00002#0001</v>
      </c>
      <c r="M95" s="39">
        <v>2</v>
      </c>
      <c r="N95" s="40" t="s">
        <v>314</v>
      </c>
      <c r="O95" s="40" t="s">
        <v>544</v>
      </c>
      <c r="P95" s="40" t="s">
        <v>547</v>
      </c>
      <c r="Q95" s="39" t="s">
        <v>545</v>
      </c>
      <c r="R95" s="39" t="s">
        <v>546</v>
      </c>
      <c r="S95" s="142" t="str">
        <f t="shared" si="24"/>
        <v>obj_00014#0000</v>
      </c>
      <c r="T95" s="39">
        <v>0</v>
      </c>
      <c r="U95" s="39" t="s">
        <v>433</v>
      </c>
      <c r="Y95" s="131" t="b">
        <v>0</v>
      </c>
      <c r="Z95" s="186"/>
      <c r="AA95" s="133" t="b">
        <v>1</v>
      </c>
    </row>
    <row r="96" spans="1:27" x14ac:dyDescent="0.25">
      <c r="I96" s="142" t="str">
        <f>_xll.qlSwapRateHelper2(K96,L96,M96,N96,O96,P96,Q96,R96,S96,T96,U96,V96,W96,X96,Y96,Z96,AA96)</f>
        <v>obj_00018#0000</v>
      </c>
      <c r="L96" s="142" t="str">
        <f t="shared" si="23"/>
        <v>obj_0000b#0001</v>
      </c>
      <c r="M96" s="39">
        <v>2</v>
      </c>
      <c r="N96" s="40" t="s">
        <v>404</v>
      </c>
      <c r="O96" s="40" t="s">
        <v>544</v>
      </c>
      <c r="P96" s="40" t="s">
        <v>547</v>
      </c>
      <c r="Q96" s="39" t="s">
        <v>545</v>
      </c>
      <c r="R96" s="39" t="s">
        <v>546</v>
      </c>
      <c r="S96" s="142" t="str">
        <f t="shared" si="24"/>
        <v>obj_00014#0000</v>
      </c>
      <c r="T96" s="39">
        <v>0</v>
      </c>
      <c r="U96" s="39" t="s">
        <v>433</v>
      </c>
      <c r="Y96" s="131" t="b">
        <v>0</v>
      </c>
      <c r="Z96" s="186"/>
      <c r="AA96" s="133" t="b">
        <v>1</v>
      </c>
    </row>
    <row r="98" spans="1:2" x14ac:dyDescent="0.25">
      <c r="A98" s="149" t="s">
        <v>437</v>
      </c>
    </row>
    <row r="99" spans="1:2" x14ac:dyDescent="0.25">
      <c r="A99" s="124" t="s">
        <v>367</v>
      </c>
      <c r="B99" s="187" t="str">
        <f>B82</f>
        <v>TWDZC#0000</v>
      </c>
    </row>
    <row r="100" spans="1:2" x14ac:dyDescent="0.25">
      <c r="A100" s="124" t="s">
        <v>438</v>
      </c>
    </row>
    <row r="101" spans="1:2" x14ac:dyDescent="0.25">
      <c r="A101" s="124" t="s">
        <v>439</v>
      </c>
      <c r="B101" s="40" t="s">
        <v>546</v>
      </c>
    </row>
    <row r="102" spans="1:2" x14ac:dyDescent="0.25">
      <c r="A102" s="124" t="s">
        <v>440</v>
      </c>
      <c r="B102" s="40" t="s">
        <v>540</v>
      </c>
    </row>
    <row r="103" spans="1:2" x14ac:dyDescent="0.25">
      <c r="A103" s="124" t="s">
        <v>441</v>
      </c>
      <c r="B103" s="40" t="s">
        <v>547</v>
      </c>
    </row>
    <row r="104" spans="1:2" x14ac:dyDescent="0.25">
      <c r="A104" s="124" t="s">
        <v>442</v>
      </c>
      <c r="B104" s="40" t="b">
        <v>1</v>
      </c>
    </row>
    <row r="105" spans="1:2" x14ac:dyDescent="0.25">
      <c r="A105" s="124" t="s">
        <v>366</v>
      </c>
      <c r="B105" s="132">
        <f>$B$4</f>
        <v>2</v>
      </c>
    </row>
    <row r="115" spans="1:8" ht="15.75" thickBot="1" x14ac:dyDescent="0.3">
      <c r="B115" s="39" t="str">
        <f ca="1">_xll.ohRangeRetrieveError(B116)</f>
        <v>qlIborIndex - ObjectHandler error: attempt to retrieve object with unknown ID 'TWDZC'</v>
      </c>
    </row>
    <row r="116" spans="1:8" x14ac:dyDescent="0.25">
      <c r="A116" s="188" t="s">
        <v>548</v>
      </c>
      <c r="B116" s="208" t="e">
        <f>_xll.qlIborIndex(B117,B118,B119,B120,B121,B122,B123,B124,B125,B126,B127,B128,B129)</f>
        <v>#NUM!</v>
      </c>
      <c r="C116" s="188" t="s">
        <v>564</v>
      </c>
      <c r="D116" s="212" t="str">
        <f>_xll.qlLibor(D117,D118,D119,D120,D121,D122,D123)</f>
        <v>LIBOR3M#0000</v>
      </c>
      <c r="E116" s="208" t="str">
        <f>_xll.qlIborIndex(E117,E118,E119,E120,E121,E122,E123,E124,E125,E126,E127,E128,E129)</f>
        <v>USLIBOR3M#0000</v>
      </c>
      <c r="F116" s="191" t="s">
        <v>568</v>
      </c>
      <c r="G116" s="204" t="e">
        <f>_xll.qlDiscountingSwapEngine(G117,G118,G119,G120,G121,G122,G123,G124)</f>
        <v>#VALUE!</v>
      </c>
      <c r="H116" s="205" t="str">
        <f>_xll.qlDiscountingSwapEngine(H117,H118,H119,H120,H121,H122,H123,H124)</f>
        <v>USDDFEng#0000</v>
      </c>
    </row>
    <row r="117" spans="1:8" ht="15.75" x14ac:dyDescent="0.25">
      <c r="A117" s="189" t="s">
        <v>367</v>
      </c>
      <c r="B117" s="209" t="s">
        <v>566</v>
      </c>
      <c r="C117" s="189" t="s">
        <v>367</v>
      </c>
      <c r="D117" s="209" t="s">
        <v>567</v>
      </c>
      <c r="E117" s="209" t="s">
        <v>617</v>
      </c>
      <c r="F117" s="192" t="s">
        <v>552</v>
      </c>
      <c r="G117" s="198" t="s">
        <v>580</v>
      </c>
      <c r="H117" s="199" t="s">
        <v>581</v>
      </c>
    </row>
    <row r="118" spans="1:8" x14ac:dyDescent="0.25">
      <c r="A118" s="189" t="s">
        <v>368</v>
      </c>
      <c r="B118" s="209" t="s">
        <v>549</v>
      </c>
      <c r="C118" s="189" t="s">
        <v>371</v>
      </c>
      <c r="D118" s="209" t="s">
        <v>4</v>
      </c>
      <c r="E118" s="209" t="s">
        <v>614</v>
      </c>
      <c r="F118" s="192" t="s">
        <v>569</v>
      </c>
      <c r="G118" s="200" t="e">
        <f>G125</f>
        <v>#NUM!</v>
      </c>
      <c r="H118" s="201" t="str">
        <f>H125</f>
        <v>USDIRSDF#0000</v>
      </c>
    </row>
    <row r="119" spans="1:8" ht="15.75" x14ac:dyDescent="0.25">
      <c r="A119" s="189" t="s">
        <v>369</v>
      </c>
      <c r="B119" s="209" t="s">
        <v>305</v>
      </c>
      <c r="C119" s="189" t="s">
        <v>369</v>
      </c>
      <c r="D119" s="209" t="s">
        <v>305</v>
      </c>
      <c r="E119" s="209" t="s">
        <v>305</v>
      </c>
      <c r="F119" s="192" t="s">
        <v>570</v>
      </c>
      <c r="G119" s="198" t="b">
        <v>1</v>
      </c>
      <c r="H119" s="199" t="b">
        <v>1</v>
      </c>
    </row>
    <row r="120" spans="1:8" x14ac:dyDescent="0.25">
      <c r="A120" s="189" t="s">
        <v>370</v>
      </c>
      <c r="B120" s="209">
        <v>2</v>
      </c>
      <c r="C120" s="189" t="s">
        <v>565</v>
      </c>
      <c r="D120" s="210" t="str">
        <f>B23</f>
        <v>USDZC#0000</v>
      </c>
      <c r="E120" s="209">
        <v>2</v>
      </c>
      <c r="F120" s="192" t="s">
        <v>571</v>
      </c>
      <c r="G120" s="202"/>
      <c r="H120" s="203"/>
    </row>
    <row r="121" spans="1:8" x14ac:dyDescent="0.25">
      <c r="A121" s="189" t="s">
        <v>371</v>
      </c>
      <c r="B121" s="209" t="s">
        <v>0</v>
      </c>
      <c r="C121" s="189" t="s">
        <v>377</v>
      </c>
      <c r="D121" s="209" t="b">
        <v>0</v>
      </c>
      <c r="E121" s="209" t="s">
        <v>615</v>
      </c>
      <c r="F121" s="192" t="s">
        <v>572</v>
      </c>
      <c r="G121" s="202"/>
      <c r="H121" s="203"/>
    </row>
    <row r="122" spans="1:8" x14ac:dyDescent="0.25">
      <c r="A122" s="189" t="s">
        <v>372</v>
      </c>
      <c r="B122" s="209" t="s">
        <v>544</v>
      </c>
      <c r="C122" s="189" t="s">
        <v>366</v>
      </c>
      <c r="D122" s="132">
        <f>$B$4</f>
        <v>2</v>
      </c>
      <c r="E122" s="209" t="s">
        <v>605</v>
      </c>
      <c r="F122" s="192" t="s">
        <v>452</v>
      </c>
      <c r="G122" s="194" t="b">
        <v>0</v>
      </c>
      <c r="H122" s="195" t="b">
        <v>0</v>
      </c>
    </row>
    <row r="123" spans="1:8" ht="15.75" thickBot="1" x14ac:dyDescent="0.3">
      <c r="A123" s="189" t="s">
        <v>373</v>
      </c>
      <c r="B123" s="209" t="s">
        <v>550</v>
      </c>
      <c r="C123" s="190" t="s">
        <v>378</v>
      </c>
      <c r="D123" s="211" t="b">
        <v>1</v>
      </c>
      <c r="E123" s="209" t="s">
        <v>550</v>
      </c>
      <c r="F123" s="192" t="s">
        <v>453</v>
      </c>
      <c r="G123" s="132">
        <f>$B$4</f>
        <v>2</v>
      </c>
      <c r="H123" s="132">
        <f>$B$4</f>
        <v>2</v>
      </c>
    </row>
    <row r="124" spans="1:8" ht="15.75" thickBot="1" x14ac:dyDescent="0.3">
      <c r="A124" s="189" t="s">
        <v>374</v>
      </c>
      <c r="B124" s="209" t="b">
        <v>0</v>
      </c>
      <c r="E124" s="209" t="b">
        <v>0</v>
      </c>
      <c r="F124" s="193" t="s">
        <v>562</v>
      </c>
      <c r="G124" s="196" t="b">
        <v>1</v>
      </c>
      <c r="H124" s="197" t="b">
        <v>1</v>
      </c>
    </row>
    <row r="125" spans="1:8" x14ac:dyDescent="0.25">
      <c r="A125" s="189" t="s">
        <v>375</v>
      </c>
      <c r="B125" s="209" t="s">
        <v>546</v>
      </c>
      <c r="E125" s="209" t="s">
        <v>616</v>
      </c>
      <c r="F125" s="191" t="s">
        <v>573</v>
      </c>
      <c r="G125" s="204" t="e">
        <f>_xll.qlDiscountCurve(G126,E64:E78,G64:G78,G129,G130,G131,G132)</f>
        <v>#NUM!</v>
      </c>
      <c r="H125" s="205" t="str">
        <f>_xll.qlDiscountCurve(H126,E2:E28,G2:G28,H129,H130,H131,H132)</f>
        <v>USDIRSDF#0000</v>
      </c>
    </row>
    <row r="126" spans="1:8" x14ac:dyDescent="0.25">
      <c r="A126" s="189" t="s">
        <v>376</v>
      </c>
      <c r="B126" s="210" t="str">
        <f>B82</f>
        <v>TWDZC#0000</v>
      </c>
      <c r="E126" s="210" t="str">
        <f>B23</f>
        <v>USDZC#0000</v>
      </c>
      <c r="F126" s="192" t="s">
        <v>367</v>
      </c>
      <c r="G126" s="202" t="s">
        <v>576</v>
      </c>
      <c r="H126" s="203" t="s">
        <v>577</v>
      </c>
    </row>
    <row r="127" spans="1:8" x14ac:dyDescent="0.25">
      <c r="A127" s="189" t="s">
        <v>377</v>
      </c>
      <c r="B127" s="209" t="b">
        <v>0</v>
      </c>
      <c r="E127" s="209" t="b">
        <v>0</v>
      </c>
      <c r="F127" s="192" t="s">
        <v>574</v>
      </c>
      <c r="G127" s="206"/>
      <c r="H127" s="207"/>
    </row>
    <row r="128" spans="1:8" x14ac:dyDescent="0.25">
      <c r="A128" s="189" t="s">
        <v>366</v>
      </c>
      <c r="B128" s="132">
        <f>$B$4</f>
        <v>2</v>
      </c>
      <c r="E128" s="132">
        <f>$B$4</f>
        <v>2</v>
      </c>
      <c r="F128" s="192" t="s">
        <v>575</v>
      </c>
      <c r="G128" s="206"/>
      <c r="H128" s="207"/>
    </row>
    <row r="129" spans="1:8" ht="15.75" thickBot="1" x14ac:dyDescent="0.3">
      <c r="A129" s="190" t="s">
        <v>378</v>
      </c>
      <c r="B129" s="211" t="b">
        <v>1</v>
      </c>
      <c r="E129" s="211" t="b">
        <v>1</v>
      </c>
      <c r="F129" s="192" t="s">
        <v>375</v>
      </c>
      <c r="G129" s="202" t="s">
        <v>578</v>
      </c>
      <c r="H129" s="203" t="s">
        <v>579</v>
      </c>
    </row>
    <row r="130" spans="1:8" x14ac:dyDescent="0.25">
      <c r="F130" s="192" t="s">
        <v>377</v>
      </c>
      <c r="G130" s="194" t="b">
        <v>0</v>
      </c>
      <c r="H130" s="195" t="b">
        <v>0</v>
      </c>
    </row>
    <row r="131" spans="1:8" x14ac:dyDescent="0.25">
      <c r="F131" s="192" t="s">
        <v>366</v>
      </c>
      <c r="G131" s="132">
        <f>$B$4</f>
        <v>2</v>
      </c>
      <c r="H131" s="132">
        <f>$B$4</f>
        <v>2</v>
      </c>
    </row>
    <row r="132" spans="1:8" ht="15.75" thickBot="1" x14ac:dyDescent="0.3">
      <c r="F132" s="193" t="s">
        <v>378</v>
      </c>
      <c r="G132" s="196" t="b">
        <v>1</v>
      </c>
      <c r="H132" s="197" t="b">
        <v>1</v>
      </c>
    </row>
  </sheetData>
  <phoneticPr fontId="5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7"/>
  </sheetPr>
  <dimension ref="A1:X217"/>
  <sheetViews>
    <sheetView showGridLines="0" topLeftCell="A13" zoomScale="75" zoomScaleNormal="75" workbookViewId="0">
      <selection activeCell="O21" activeCellId="1" sqref="O18 O21"/>
    </sheetView>
  </sheetViews>
  <sheetFormatPr defaultRowHeight="15.75" x14ac:dyDescent="0.25"/>
  <cols>
    <col min="1" max="1" width="7.875" style="21" customWidth="1"/>
    <col min="2" max="2" width="13.25" style="21" customWidth="1"/>
    <col min="3" max="3" width="13.75" customWidth="1"/>
    <col min="4" max="4" width="12.625" style="4" customWidth="1"/>
    <col min="5" max="5" width="10.75" style="39" customWidth="1"/>
    <col min="6" max="6" width="6.625" style="23" customWidth="1"/>
    <col min="7" max="7" width="9.75" style="4" customWidth="1"/>
    <col min="8" max="8" width="8" style="21" customWidth="1"/>
    <col min="9" max="9" width="14" style="4" customWidth="1"/>
    <col min="10" max="10" width="11" style="20" customWidth="1"/>
    <col min="11" max="11" width="9.625" style="54" customWidth="1"/>
    <col min="12" max="12" width="9.75" style="54" customWidth="1"/>
    <col min="13" max="13" width="14.75" customWidth="1"/>
    <col min="14" max="14" width="5.875" customWidth="1"/>
    <col min="15" max="15" width="14.125" customWidth="1"/>
    <col min="16" max="16" width="11.25" customWidth="1"/>
    <col min="17" max="17" width="12.875" customWidth="1"/>
    <col min="18" max="18" width="20" customWidth="1"/>
    <col min="19" max="19" width="15.75" customWidth="1"/>
    <col min="20" max="20" width="13.375" customWidth="1"/>
    <col min="21" max="21" width="11" customWidth="1"/>
    <col min="22" max="22" width="14.875" customWidth="1"/>
    <col min="23" max="23" width="10.25" customWidth="1"/>
    <col min="24" max="24" width="11" customWidth="1"/>
  </cols>
  <sheetData>
    <row r="1" spans="1:24" ht="23.25" customHeight="1" x14ac:dyDescent="0.25">
      <c r="A1" s="22" t="s">
        <v>230</v>
      </c>
      <c r="B1" s="27">
        <f>'Refinitiv-MktData'!A1</f>
        <v>44544</v>
      </c>
      <c r="C1" s="163" t="s">
        <v>453</v>
      </c>
      <c r="D1" s="76">
        <v>2</v>
      </c>
      <c r="E1" s="76"/>
      <c r="F1" s="241" t="s">
        <v>216</v>
      </c>
      <c r="G1" s="241"/>
      <c r="H1" s="86">
        <v>5.3515625</v>
      </c>
      <c r="I1" s="32"/>
      <c r="J1" s="11" t="s">
        <v>218</v>
      </c>
      <c r="K1" s="87" t="s">
        <v>231</v>
      </c>
      <c r="L1" s="70"/>
      <c r="M1" s="87" t="s">
        <v>231</v>
      </c>
      <c r="O1" t="s">
        <v>171</v>
      </c>
      <c r="P1" s="68"/>
      <c r="Q1" s="91"/>
      <c r="R1" s="69"/>
      <c r="W1" s="96"/>
    </row>
    <row r="2" spans="1:24" ht="18.75" x14ac:dyDescent="0.25">
      <c r="A2" s="22" t="s">
        <v>219</v>
      </c>
      <c r="B2" s="28" t="s">
        <v>317</v>
      </c>
      <c r="C2" s="2" t="s">
        <v>157</v>
      </c>
      <c r="D2" s="3">
        <f>E2</f>
        <v>27.684542919999998</v>
      </c>
      <c r="E2" s="77">
        <f>VLOOKUP(A2,FXRate!B:E,4,FALSE)</f>
        <v>27.684542919999998</v>
      </c>
      <c r="F2" s="23">
        <f>VLOOKUP(B2,'Refinitiv-MktData'!$A:$F,3,FALSE)-$B$1</f>
        <v>2</v>
      </c>
      <c r="G2" s="24">
        <v>0</v>
      </c>
      <c r="H2" s="26"/>
      <c r="I2" s="100">
        <f>B1</f>
        <v>44544</v>
      </c>
      <c r="J2" s="31"/>
      <c r="K2" s="71"/>
      <c r="L2" s="72"/>
      <c r="N2" s="12"/>
      <c r="O2" s="18" t="s">
        <v>444</v>
      </c>
      <c r="P2" s="162" t="s">
        <v>445</v>
      </c>
      <c r="Q2" s="165" t="s">
        <v>454</v>
      </c>
      <c r="R2" s="163" t="s">
        <v>446</v>
      </c>
      <c r="S2" s="164" t="str">
        <f>_xll.qlInterpolation(S4,S5,ZeroCurve!D2:D28,ZeroCurve!G2:G28,S8,S9)</f>
        <v>obj_00000#0001</v>
      </c>
      <c r="T2" s="1" t="s">
        <v>312</v>
      </c>
      <c r="U2" s="1"/>
      <c r="V2" s="102"/>
      <c r="W2" s="102"/>
      <c r="X2" s="102"/>
    </row>
    <row r="3" spans="1:24" ht="17.25" x14ac:dyDescent="0.25">
      <c r="A3" s="22" t="s">
        <v>219</v>
      </c>
      <c r="B3" s="28" t="s">
        <v>20</v>
      </c>
      <c r="C3" s="2">
        <f>$O$3</f>
        <v>7</v>
      </c>
      <c r="D3" s="3">
        <f t="shared" ref="D3:D66" si="0">E3</f>
        <v>27.684450612307689</v>
      </c>
      <c r="E3" s="78">
        <f>$D$2+(LineInterpo($F$3:$G$9,C3)/H3)</f>
        <v>27.684450612307689</v>
      </c>
      <c r="F3" s="23">
        <f>I3-$I$2</f>
        <v>9</v>
      </c>
      <c r="G3" s="25">
        <f>VLOOKUP(B3,'Refinitiv-MktData'!$A:$F,6,FALSE)</f>
        <v>-2.9999999999999992E-4</v>
      </c>
      <c r="H3" s="26">
        <v>1</v>
      </c>
      <c r="I3" s="99">
        <f>VLOOKUP(B3,'Refinitiv-MktData'!$A:$F,3,FALSE)</f>
        <v>44553</v>
      </c>
      <c r="J3" s="20">
        <f>(LineInterpo($F$2:$G$9,C3))/H3</f>
        <v>-2.1428571428571422E-4</v>
      </c>
      <c r="K3" s="97">
        <f>(ROUNDDOWN((1+J3/$E$2),10)*ROUNDDOWN((1+P3*O3/360),10)-1)*ROUNDDOWN(365/O3,10)</f>
        <v>5.606064652541521E-4</v>
      </c>
      <c r="L3" s="98"/>
      <c r="M3" s="97">
        <f>(ROUNDDOWN((1+(G3/H3)/$E$2),10)*ROUNDDOWN((1+LineInterpo($O$3:$P$9,F3)*F3/360),10)-1)*ROUNDDOWN(365/F3,10)</f>
        <v>6.3379464726182196E-4</v>
      </c>
      <c r="N3" s="84"/>
      <c r="O3" s="103">
        <v>7</v>
      </c>
      <c r="P3" s="104">
        <f>-LN(Q3)/(O3/360)</f>
        <v>9.5100844194202848E-4</v>
      </c>
      <c r="Q3" s="105">
        <f>_xll.qlInterpolationInterpolate($S$2,O3,TRUE,$D$1)</f>
        <v>0.99998150834015731</v>
      </c>
      <c r="R3" s="163" t="s">
        <v>447</v>
      </c>
      <c r="S3" s="164"/>
      <c r="T3" s="1" t="s">
        <v>303</v>
      </c>
      <c r="U3" s="1"/>
      <c r="V3" s="102"/>
      <c r="W3" s="102"/>
      <c r="X3" s="9"/>
    </row>
    <row r="4" spans="1:24" ht="17.25" x14ac:dyDescent="0.25">
      <c r="A4" s="22" t="s">
        <v>219</v>
      </c>
      <c r="B4" s="28" t="s">
        <v>21</v>
      </c>
      <c r="C4" s="2">
        <f>$O$4</f>
        <v>30</v>
      </c>
      <c r="D4" s="3">
        <f t="shared" si="0"/>
        <v>27.68206215076923</v>
      </c>
      <c r="E4" s="78">
        <f t="shared" ref="E4:E9" si="1">$D$2+(LineInterpo($F$3:$G$9,C4)/H4)</f>
        <v>27.68206215076923</v>
      </c>
      <c r="F4" s="23">
        <f>I4-$I$2</f>
        <v>35</v>
      </c>
      <c r="G4" s="25">
        <f>VLOOKUP(B4,'Refinitiv-MktData'!$A:$F,6,FALSE)</f>
        <v>-3.0000000000000001E-3</v>
      </c>
      <c r="H4" s="26">
        <v>1</v>
      </c>
      <c r="I4" s="99">
        <f>VLOOKUP(B4,'Refinitiv-MktData'!$A:$F,3,FALSE)</f>
        <v>44579</v>
      </c>
      <c r="J4" s="20">
        <f>(LineInterpo($F$2:$G$9,C4))/H4</f>
        <v>-2.4807692307692308E-3</v>
      </c>
      <c r="K4" s="97">
        <f>(ROUNDDOWN((1+J4/$E$2),10)*ROUNDDOWN((1+P4*O4/360),10)-1)*ROUNDDOWN(365/O4,10)</f>
        <v>1.1280709529564901E-3</v>
      </c>
      <c r="L4" s="98"/>
      <c r="M4" s="97">
        <f t="shared" ref="M4:M9" si="2">(ROUNDDOWN((1+(G4/H4)/$E$2),10)*ROUNDDOWN((1+LineInterpo($O$3:$P$9,F4)*F4/360),10)-1)*ROUNDDOWN(365/F4,10)</f>
        <v>1.147871054418703E-3</v>
      </c>
      <c r="N4" s="84"/>
      <c r="O4" s="95">
        <v>30</v>
      </c>
      <c r="P4" s="104">
        <f>-LN(Q4)/(O4/360)</f>
        <v>2.1881170576738113E-3</v>
      </c>
      <c r="Q4" s="105">
        <f>_xll.qlInterpolationInterpolate($S$2,O4,TRUE,$D$1)</f>
        <v>0.999817673535351</v>
      </c>
      <c r="R4" s="163" t="s">
        <v>448</v>
      </c>
      <c r="S4" s="164"/>
      <c r="T4" s="1" t="s">
        <v>304</v>
      </c>
      <c r="U4" s="1"/>
      <c r="V4" s="102"/>
      <c r="W4" s="102"/>
      <c r="X4" s="9"/>
    </row>
    <row r="5" spans="1:24" ht="17.25" x14ac:dyDescent="0.25">
      <c r="A5" s="22" t="s">
        <v>219</v>
      </c>
      <c r="B5" s="28" t="s">
        <v>22</v>
      </c>
      <c r="C5" s="2">
        <f>$O$5</f>
        <v>60</v>
      </c>
      <c r="D5" s="3">
        <f>E5</f>
        <v>27.678956713103446</v>
      </c>
      <c r="E5" s="78">
        <f t="shared" si="1"/>
        <v>27.678956713103446</v>
      </c>
      <c r="F5" s="23">
        <f t="shared" ref="F5:F9" si="3">I5-$I$2</f>
        <v>64</v>
      </c>
      <c r="G5" s="25">
        <f>VLOOKUP(B5,'Refinitiv-MktData'!$A:$F,6,FALSE)</f>
        <v>-6.0000000000000001E-3</v>
      </c>
      <c r="H5" s="26">
        <v>1</v>
      </c>
      <c r="I5" s="99">
        <f>VLOOKUP(B5,'Refinitiv-MktData'!$A:$F,3,FALSE)</f>
        <v>44608</v>
      </c>
      <c r="J5" s="20">
        <f>(LineInterpo($F$2:$G$9,C5))/H5</f>
        <v>-5.5862068965517242E-3</v>
      </c>
      <c r="K5" s="97">
        <f>(ROUNDDOWN((1+J5/$E$2),10)*ROUNDDOWN((1+P5*O5/360),10)-1)*ROUNDDOWN(365/O5,10)</f>
        <v>1.3486307980426055E-3</v>
      </c>
      <c r="L5" s="98"/>
      <c r="M5" s="97">
        <f t="shared" si="2"/>
        <v>1.3330886366242321E-3</v>
      </c>
      <c r="N5" s="84"/>
      <c r="O5" s="95">
        <v>60</v>
      </c>
      <c r="P5" s="104">
        <f t="shared" ref="P5:P9" si="4">-LN(Q5)/(O5/360)</f>
        <v>2.5413545239577687E-3</v>
      </c>
      <c r="Q5" s="105">
        <f>_xll.qlInterpolationInterpolate($S$2,O5,TRUE,$D$1)</f>
        <v>0.9995765306011607</v>
      </c>
      <c r="R5" s="163" t="s">
        <v>449</v>
      </c>
      <c r="S5" s="164" t="s">
        <v>436</v>
      </c>
      <c r="T5" s="1" t="s">
        <v>305</v>
      </c>
      <c r="U5" s="1"/>
      <c r="V5" s="102"/>
      <c r="W5" s="102"/>
      <c r="X5" s="9"/>
    </row>
    <row r="6" spans="1:24" ht="17.25" x14ac:dyDescent="0.25">
      <c r="A6" s="22" t="s">
        <v>219</v>
      </c>
      <c r="B6" s="28" t="s">
        <v>23</v>
      </c>
      <c r="C6" s="2">
        <f>$O$6</f>
        <v>90</v>
      </c>
      <c r="D6" s="3">
        <f t="shared" si="0"/>
        <v>27.675757205714284</v>
      </c>
      <c r="E6" s="78">
        <f t="shared" si="1"/>
        <v>27.675757205714284</v>
      </c>
      <c r="F6" s="23">
        <f t="shared" si="3"/>
        <v>92</v>
      </c>
      <c r="G6" s="25">
        <f>VLOOKUP(B6,'Refinitiv-MktData'!$A:$F,6,FALSE)</f>
        <v>-9.0000000000000011E-3</v>
      </c>
      <c r="H6" s="26">
        <v>1</v>
      </c>
      <c r="I6" s="99">
        <f>VLOOKUP(B6,'Refinitiv-MktData'!$A:$F,3,FALSE)</f>
        <v>44636</v>
      </c>
      <c r="J6" s="20">
        <f t="shared" ref="J6:J9" si="5">(LineInterpo($F$2:$G$9,C6))/H6</f>
        <v>-8.7857142857142873E-3</v>
      </c>
      <c r="K6" s="97">
        <f>(ROUNDDOWN((1+J6/$E$2),10)*ROUNDDOWN((1+P6*O6/360),10)-1)*ROUNDDOWN(365/O6,10)</f>
        <v>1.2364556362076788E-3</v>
      </c>
      <c r="L6" s="98"/>
      <c r="M6" s="97">
        <f t="shared" si="2"/>
        <v>1.2606320429633547E-3</v>
      </c>
      <c r="N6" s="84"/>
      <c r="O6" s="95">
        <v>90</v>
      </c>
      <c r="P6" s="104">
        <f t="shared" si="4"/>
        <v>2.4897118229364468E-3</v>
      </c>
      <c r="Q6" s="105">
        <f>_xll.qlInterpolationInterpolate($S$2,O6,TRUE,$D$1)</f>
        <v>0.99937776571236236</v>
      </c>
      <c r="R6" s="163" t="s">
        <v>450</v>
      </c>
      <c r="S6" s="164"/>
      <c r="T6" s="1" t="s">
        <v>253</v>
      </c>
      <c r="U6" s="1"/>
      <c r="V6" s="102"/>
      <c r="W6" s="102"/>
      <c r="X6" s="9"/>
    </row>
    <row r="7" spans="1:24" ht="17.25" x14ac:dyDescent="0.25">
      <c r="A7" s="22" t="s">
        <v>219</v>
      </c>
      <c r="B7" s="28" t="s">
        <v>24</v>
      </c>
      <c r="C7" s="2">
        <f>$O$7</f>
        <v>180</v>
      </c>
      <c r="D7" s="3">
        <f t="shared" si="0"/>
        <v>27.652586398260869</v>
      </c>
      <c r="E7" s="78">
        <f t="shared" si="1"/>
        <v>27.652586398260869</v>
      </c>
      <c r="F7" s="23">
        <f t="shared" si="3"/>
        <v>184</v>
      </c>
      <c r="G7" s="25">
        <f>VLOOKUP(B7,'Refinitiv-MktData'!$A:$F,6,FALSE)</f>
        <v>-3.3000000000000002E-2</v>
      </c>
      <c r="H7" s="26">
        <v>1</v>
      </c>
      <c r="I7" s="99">
        <f>VLOOKUP(B7,'Refinitiv-MktData'!$A:$F,3,FALSE)</f>
        <v>44728</v>
      </c>
      <c r="J7" s="20">
        <f t="shared" si="5"/>
        <v>-3.1956521739130439E-2</v>
      </c>
      <c r="K7" s="97">
        <f>(ROUNDDOWN((1+J7/$E$2),10)*ROUNDDOWN((1+P7*O7/360),10)-1)*ROUNDDOWN(365/O7,10)</f>
        <v>1.3913475409807208E-3</v>
      </c>
      <c r="L7" s="98"/>
      <c r="M7" s="97">
        <f t="shared" si="2"/>
        <v>1.4141117349999799E-3</v>
      </c>
      <c r="N7" s="84"/>
      <c r="O7" s="95">
        <v>180</v>
      </c>
      <c r="P7" s="104">
        <f t="shared" si="4"/>
        <v>3.6851602366985521E-3</v>
      </c>
      <c r="Q7" s="105">
        <f>_xll.qlInterpolationInterpolate($S$2,O7,TRUE,$D$1)</f>
        <v>0.99815911639025268</v>
      </c>
      <c r="R7" s="163" t="s">
        <v>451</v>
      </c>
      <c r="S7" s="164"/>
      <c r="T7" s="1" t="s">
        <v>306</v>
      </c>
      <c r="U7" s="1"/>
      <c r="V7" s="102"/>
      <c r="W7" s="102"/>
      <c r="X7" s="9"/>
    </row>
    <row r="8" spans="1:24" ht="17.25" x14ac:dyDescent="0.25">
      <c r="A8" s="22" t="s">
        <v>219</v>
      </c>
      <c r="B8" s="28" t="s">
        <v>25</v>
      </c>
      <c r="C8" s="2">
        <v>270</v>
      </c>
      <c r="D8" s="3">
        <f t="shared" si="0"/>
        <v>27.617890746086953</v>
      </c>
      <c r="E8" s="78">
        <f t="shared" si="1"/>
        <v>27.617890746086953</v>
      </c>
      <c r="F8" s="23">
        <f t="shared" si="3"/>
        <v>276</v>
      </c>
      <c r="G8" s="25">
        <f>VLOOKUP(B8,'Refinitiv-MktData'!$A:$F,6,FALSE)</f>
        <v>-6.9000000000000006E-2</v>
      </c>
      <c r="H8" s="26">
        <v>1</v>
      </c>
      <c r="I8" s="99">
        <f>VLOOKUP(B8,'Refinitiv-MktData'!$A:$F,3,FALSE)</f>
        <v>44820</v>
      </c>
      <c r="J8" s="20">
        <f t="shared" si="5"/>
        <v>-6.6652173913043483E-2</v>
      </c>
      <c r="K8" s="97">
        <f t="shared" ref="K8" si="6">(ROUNDDOWN((1+J8/$E$2),10)*ROUNDDOWN((1+P8*O8/360),10)-1)*ROUNDDOWN(365/O8,10)</f>
        <v>1.5241681838674386E-3</v>
      </c>
      <c r="L8" s="98"/>
      <c r="M8" s="97">
        <f t="shared" si="2"/>
        <v>1.5171264862874701E-3</v>
      </c>
      <c r="N8" s="84"/>
      <c r="O8" s="95">
        <v>270</v>
      </c>
      <c r="P8" s="104">
        <f t="shared" si="4"/>
        <v>4.7247432192559858E-3</v>
      </c>
      <c r="Q8" s="105">
        <f>_xll.qlInterpolationInterpolate($S$2,O8,TRUE,$D$1)</f>
        <v>0.99646271357574134</v>
      </c>
      <c r="R8" s="163" t="s">
        <v>452</v>
      </c>
      <c r="S8" s="164" t="b">
        <v>0</v>
      </c>
      <c r="T8" s="1" t="s">
        <v>307</v>
      </c>
      <c r="U8" s="1"/>
      <c r="V8" s="102"/>
      <c r="W8" s="102"/>
      <c r="X8" s="9"/>
    </row>
    <row r="9" spans="1:24" ht="17.25" x14ac:dyDescent="0.25">
      <c r="A9" s="22" t="s">
        <v>219</v>
      </c>
      <c r="B9" s="28" t="s">
        <v>26</v>
      </c>
      <c r="C9" s="2">
        <f>$O$9</f>
        <v>365</v>
      </c>
      <c r="D9" s="3">
        <f t="shared" si="0"/>
        <v>27.571531930989011</v>
      </c>
      <c r="E9" s="78">
        <f t="shared" si="1"/>
        <v>27.571531930989011</v>
      </c>
      <c r="F9" s="23">
        <f t="shared" si="3"/>
        <v>367</v>
      </c>
      <c r="G9" s="25">
        <f>VLOOKUP(B9,'Refinitiv-MktData'!$A:$F,6,FALSE)</f>
        <v>-0.114</v>
      </c>
      <c r="H9" s="26">
        <v>1</v>
      </c>
      <c r="I9" s="99">
        <f>VLOOKUP(B9,'Refinitiv-MktData'!$A:$F,3,FALSE)</f>
        <v>44911</v>
      </c>
      <c r="J9" s="20">
        <f t="shared" si="5"/>
        <v>-0.11301098901098902</v>
      </c>
      <c r="K9" s="97">
        <f>(ROUNDDOWN((1+J9/$E$2),10)*ROUNDDOWN((1+P9*O9/360),10)-1)*ROUNDDOWN(365/O9,10)</f>
        <v>1.2382735120293198E-3</v>
      </c>
      <c r="L9" s="98"/>
      <c r="M9" s="97">
        <f t="shared" si="2"/>
        <v>1.2363681095287047E-3</v>
      </c>
      <c r="N9" s="84"/>
      <c r="O9" s="95">
        <v>365</v>
      </c>
      <c r="P9" s="104">
        <f t="shared" si="4"/>
        <v>5.2689973767414177E-3</v>
      </c>
      <c r="Q9" s="105">
        <f>_xll.qlInterpolationInterpolate($S$2,O9,TRUE,$D$1)</f>
        <v>0.99467206616042392</v>
      </c>
      <c r="R9" s="163" t="s">
        <v>453</v>
      </c>
      <c r="S9" s="76">
        <f>D1</f>
        <v>2</v>
      </c>
      <c r="T9" s="1"/>
      <c r="U9" s="1"/>
      <c r="V9" s="102"/>
      <c r="W9" s="102"/>
      <c r="X9" s="9"/>
    </row>
    <row r="10" spans="1:24" ht="17.25" x14ac:dyDescent="0.25">
      <c r="A10" s="22" t="s">
        <v>219</v>
      </c>
      <c r="B10" s="28" t="s">
        <v>317</v>
      </c>
      <c r="C10" s="2" t="s">
        <v>157</v>
      </c>
      <c r="D10" s="3">
        <f t="shared" si="0"/>
        <v>27.684542919999998</v>
      </c>
      <c r="E10" s="77">
        <f>VLOOKUP(A10,FXRate!B:E,4,FALSE)</f>
        <v>27.684542919999998</v>
      </c>
      <c r="F10" s="23">
        <f>VLOOKUP(B10,'Refinitiv-MktData'!$A:$F,3,FALSE)-$B$1</f>
        <v>2</v>
      </c>
      <c r="G10" s="24">
        <v>0</v>
      </c>
      <c r="H10" s="26"/>
      <c r="K10" s="97"/>
      <c r="L10" s="98"/>
      <c r="O10" s="105"/>
      <c r="P10" s="105"/>
      <c r="Q10" s="105"/>
      <c r="S10" s="101"/>
      <c r="T10" s="1"/>
      <c r="U10" s="1"/>
      <c r="V10" s="102"/>
      <c r="W10" s="102"/>
      <c r="X10" s="9"/>
    </row>
    <row r="11" spans="1:24" ht="17.25" x14ac:dyDescent="0.25">
      <c r="A11" s="22" t="s">
        <v>219</v>
      </c>
      <c r="B11" s="28" t="s">
        <v>27</v>
      </c>
      <c r="C11" s="2">
        <f>$O$3</f>
        <v>7</v>
      </c>
      <c r="D11" s="3">
        <f t="shared" si="0"/>
        <v>27.693965996923076</v>
      </c>
      <c r="E11" s="78">
        <f t="shared" ref="E11:E17" si="7">$D$2+(LineInterpo($F$11:$G$17,C11)/H3)</f>
        <v>27.693965996923076</v>
      </c>
      <c r="F11" s="23">
        <f>F3</f>
        <v>9</v>
      </c>
      <c r="G11" s="25">
        <f>VLOOKUP(B11,'Refinitiv-MktData'!$A:$F,6,FALSE)</f>
        <v>4.9999999999999992E-3</v>
      </c>
      <c r="H11" s="26">
        <v>1</v>
      </c>
      <c r="I11" s="99">
        <f>VLOOKUP(B11,'Refinitiv-MktData'!$A:$F,3,FALSE)</f>
        <v>44553</v>
      </c>
      <c r="J11" s="20">
        <f t="shared" ref="J11:J17" si="8">(LineInterpo($F$10:$G$17,C11))/H11</f>
        <v>3.5714285714285709E-3</v>
      </c>
      <c r="K11" s="97">
        <f>(ROUNDDOWN((1+J11/$E$10),10)*ROUNDDOWN((1+P3*O3/360),10)-1)*ROUNDDOWN(365/O3,10)</f>
        <v>7.690997673713341E-3</v>
      </c>
      <c r="L11" s="98"/>
      <c r="M11" s="97">
        <f>(ROUNDDOWN((1+(G11/H11)/$E$2),10)*ROUNDDOWN((1+LineInterpo($O$3:$P$9,F11)*F11/360),10)-1)*ROUNDDOWN(365/F11,10)</f>
        <v>8.3980570635867422E-3</v>
      </c>
      <c r="N11" s="8"/>
      <c r="O11" s="105"/>
      <c r="P11" s="105"/>
      <c r="Q11" s="105"/>
      <c r="S11" s="101"/>
      <c r="T11" s="1"/>
      <c r="U11" s="1"/>
      <c r="V11" s="102"/>
      <c r="W11" s="102"/>
      <c r="X11" s="9"/>
    </row>
    <row r="12" spans="1:24" ht="17.25" x14ac:dyDescent="0.25">
      <c r="A12" s="22" t="s">
        <v>219</v>
      </c>
      <c r="B12" s="28" t="s">
        <v>28</v>
      </c>
      <c r="C12" s="2">
        <f>O4</f>
        <v>30</v>
      </c>
      <c r="D12" s="3">
        <f t="shared" si="0"/>
        <v>27.643100612307691</v>
      </c>
      <c r="E12" s="78">
        <f t="shared" si="7"/>
        <v>27.643100612307691</v>
      </c>
      <c r="F12" s="23">
        <f t="shared" ref="F12:F17" si="9">F4</f>
        <v>35</v>
      </c>
      <c r="G12" s="25">
        <f>VLOOKUP(B12,'Refinitiv-MktData'!$A:$F,6,FALSE)</f>
        <v>-5.2499999999999998E-2</v>
      </c>
      <c r="H12" s="26">
        <v>1</v>
      </c>
      <c r="I12" s="99">
        <f>VLOOKUP(B12,'Refinitiv-MktData'!$A:$F,3,FALSE)</f>
        <v>44579</v>
      </c>
      <c r="J12" s="20">
        <f t="shared" si="8"/>
        <v>-4.1442307692307688E-2</v>
      </c>
      <c r="K12" s="97">
        <f t="shared" ref="K12:K16" si="10">(ROUNDDOWN((1+J12/$E$10),10)*ROUNDDOWN((1+P4*O4/360),10)-1)*ROUNDDOWN(365/O4,10)</f>
        <v>-1.599767695455883E-2</v>
      </c>
      <c r="L12" s="98"/>
      <c r="M12" s="97">
        <f t="shared" ref="M12:M17" si="11">(ROUNDDOWN((1+(G12/H12)/$E$2),10)*ROUNDDOWN((1+LineInterpo($O$3:$P$9,F12)*F12/360),10)-1)*ROUNDDOWN(365/F12,10)</f>
        <v>-1.7502501637076742E-2</v>
      </c>
      <c r="N12" s="5"/>
      <c r="O12" s="105"/>
      <c r="P12" s="105"/>
      <c r="Q12" s="105"/>
      <c r="S12" s="101"/>
      <c r="T12" s="1"/>
      <c r="U12" s="1"/>
      <c r="V12" s="102"/>
      <c r="W12" s="102"/>
      <c r="X12" s="9"/>
    </row>
    <row r="13" spans="1:24" ht="18" thickBot="1" x14ac:dyDescent="0.3">
      <c r="A13" s="22" t="s">
        <v>219</v>
      </c>
      <c r="B13" s="28" t="s">
        <v>29</v>
      </c>
      <c r="C13" s="2">
        <f>$O$5</f>
        <v>60</v>
      </c>
      <c r="D13" s="3">
        <f t="shared" si="0"/>
        <v>27.576439471724136</v>
      </c>
      <c r="E13" s="78">
        <f t="shared" si="7"/>
        <v>27.576439471724136</v>
      </c>
      <c r="F13" s="23">
        <f t="shared" si="9"/>
        <v>64</v>
      </c>
      <c r="G13" s="25">
        <f>VLOOKUP(B13,'Refinitiv-MktData'!$A:$F,6,FALSE)</f>
        <v>-0.11700000000000001</v>
      </c>
      <c r="H13" s="26">
        <v>1</v>
      </c>
      <c r="I13" s="99">
        <f>VLOOKUP(B13,'Refinitiv-MktData'!$A:$F,3,FALSE)</f>
        <v>44608</v>
      </c>
      <c r="J13" s="20">
        <f t="shared" si="8"/>
        <v>-0.10810344827586207</v>
      </c>
      <c r="K13" s="97">
        <f t="shared" si="10"/>
        <v>-2.1187796950594848E-2</v>
      </c>
      <c r="L13" s="98"/>
      <c r="M13" s="97">
        <f t="shared" si="11"/>
        <v>-2.1543651649025684E-2</v>
      </c>
      <c r="N13" s="5"/>
      <c r="O13" s="105"/>
      <c r="P13" s="105"/>
      <c r="Q13" s="105"/>
      <c r="X13" s="9"/>
    </row>
    <row r="14" spans="1:24" ht="17.25" x14ac:dyDescent="0.25">
      <c r="A14" s="22" t="s">
        <v>219</v>
      </c>
      <c r="B14" s="28" t="s">
        <v>30</v>
      </c>
      <c r="C14" s="2">
        <f>$O$6</f>
        <v>90</v>
      </c>
      <c r="D14" s="3">
        <f t="shared" si="0"/>
        <v>27.50440006285714</v>
      </c>
      <c r="E14" s="78">
        <f t="shared" si="7"/>
        <v>27.50440006285714</v>
      </c>
      <c r="F14" s="23">
        <f t="shared" si="9"/>
        <v>92</v>
      </c>
      <c r="G14" s="25">
        <f>VLOOKUP(B14,'Refinitiv-MktData'!$A:$F,6,FALSE)</f>
        <v>-0.185</v>
      </c>
      <c r="H14" s="26">
        <v>1</v>
      </c>
      <c r="I14" s="99">
        <f>VLOOKUP(B14,'Refinitiv-MktData'!$A:$F,3,FALSE)</f>
        <v>44636</v>
      </c>
      <c r="J14" s="20">
        <f t="shared" si="8"/>
        <v>-0.18014285714285713</v>
      </c>
      <c r="K14" s="97">
        <f t="shared" si="10"/>
        <v>-2.3881566863028818E-2</v>
      </c>
      <c r="L14" s="98"/>
      <c r="M14" s="97">
        <f t="shared" si="11"/>
        <v>-2.3977634856060553E-2</v>
      </c>
      <c r="N14" s="5"/>
      <c r="O14" s="242" t="s">
        <v>260</v>
      </c>
      <c r="P14" s="243"/>
      <c r="Q14" s="243"/>
      <c r="R14" s="243"/>
      <c r="S14" s="243"/>
      <c r="T14" s="243"/>
      <c r="U14" s="243"/>
      <c r="V14" s="243"/>
      <c r="W14" s="244"/>
      <c r="X14" s="9"/>
    </row>
    <row r="15" spans="1:24" ht="18" thickBot="1" x14ac:dyDescent="0.3">
      <c r="A15" s="22" t="s">
        <v>219</v>
      </c>
      <c r="B15" s="28" t="s">
        <v>31</v>
      </c>
      <c r="C15" s="2">
        <f>$O$7</f>
        <v>180</v>
      </c>
      <c r="D15" s="3">
        <f t="shared" si="0"/>
        <v>27.325455963478259</v>
      </c>
      <c r="E15" s="78">
        <f t="shared" si="7"/>
        <v>27.325455963478259</v>
      </c>
      <c r="F15" s="23">
        <f t="shared" si="9"/>
        <v>184</v>
      </c>
      <c r="G15" s="25">
        <f>VLOOKUP(B15,'Refinitiv-MktData'!$A:$F,6,FALSE)</f>
        <v>-0.36699999999999999</v>
      </c>
      <c r="H15" s="26">
        <v>1</v>
      </c>
      <c r="I15" s="99">
        <f>VLOOKUP(B15,'Refinitiv-MktData'!$A:$F,3,FALSE)</f>
        <v>44728</v>
      </c>
      <c r="J15" s="20">
        <f t="shared" si="8"/>
        <v>-0.35908695652173911</v>
      </c>
      <c r="K15" s="97">
        <f t="shared" si="10"/>
        <v>-2.2613747950065759E-2</v>
      </c>
      <c r="L15" s="98"/>
      <c r="M15" s="97">
        <f t="shared" si="11"/>
        <v>-2.2563814810150844E-2</v>
      </c>
      <c r="N15" s="5"/>
      <c r="O15" s="238" t="s">
        <v>261</v>
      </c>
      <c r="P15" s="239"/>
      <c r="Q15" s="239"/>
      <c r="R15" s="239"/>
      <c r="S15" s="239"/>
      <c r="T15" s="239"/>
      <c r="U15" s="239"/>
      <c r="V15" s="239"/>
      <c r="W15" s="240"/>
      <c r="X15" s="9"/>
    </row>
    <row r="16" spans="1:24" ht="17.25" x14ac:dyDescent="0.25">
      <c r="A16" s="22" t="s">
        <v>219</v>
      </c>
      <c r="B16" s="28" t="s">
        <v>32</v>
      </c>
      <c r="C16" s="2">
        <v>270</v>
      </c>
      <c r="D16" s="3">
        <f t="shared" si="0"/>
        <v>27.171859859890709</v>
      </c>
      <c r="E16" s="78">
        <f t="shared" si="7"/>
        <v>27.171859859890709</v>
      </c>
      <c r="F16" s="23">
        <f>(F15+F17)/2</f>
        <v>275.5</v>
      </c>
      <c r="G16" s="25">
        <f>VLOOKUP(B16,'Refinitiv-MktData'!$A:$F,6,FALSE)</f>
        <v>-0.52200000000000002</v>
      </c>
      <c r="H16" s="26">
        <v>1</v>
      </c>
      <c r="I16" s="99">
        <f>VLOOKUP(B16,'Refinitiv-MktData'!$A:$F,3,FALSE)</f>
        <v>44820</v>
      </c>
      <c r="J16" s="20">
        <f t="shared" si="8"/>
        <v>-0.51268306010928966</v>
      </c>
      <c r="K16" s="97">
        <f t="shared" si="10"/>
        <v>-2.0332950156480605E-2</v>
      </c>
      <c r="L16" s="98"/>
      <c r="M16" s="97">
        <f t="shared" si="11"/>
        <v>-2.0249303198049455E-2</v>
      </c>
      <c r="N16" s="5"/>
      <c r="X16" s="9"/>
    </row>
    <row r="17" spans="1:24" ht="17.25" x14ac:dyDescent="0.25">
      <c r="A17" s="22" t="s">
        <v>219</v>
      </c>
      <c r="B17" s="28" t="s">
        <v>33</v>
      </c>
      <c r="C17" s="2">
        <f>$O$9</f>
        <v>365</v>
      </c>
      <c r="D17" s="3">
        <f t="shared" si="0"/>
        <v>27.025603029289616</v>
      </c>
      <c r="E17" s="78">
        <f t="shared" si="7"/>
        <v>27.025603029289616</v>
      </c>
      <c r="F17" s="23">
        <f t="shared" si="9"/>
        <v>367</v>
      </c>
      <c r="G17" s="25">
        <f>VLOOKUP(B17,'Refinitiv-MktData'!$A:$F,6,FALSE)</f>
        <v>-0.66200000000000003</v>
      </c>
      <c r="H17" s="26">
        <v>1</v>
      </c>
      <c r="I17" s="99">
        <f>VLOOKUP(B17,'Refinitiv-MktData'!$A:$F,3,FALSE)</f>
        <v>44911</v>
      </c>
      <c r="J17" s="20">
        <f t="shared" si="8"/>
        <v>-0.6589398907103825</v>
      </c>
      <c r="K17" s="97">
        <f>(ROUNDDOWN((1+J17/$E$10),10)*ROUNDDOWN((1+P9*O9/360),10)-1)*ROUNDDOWN(365/O9,10)</f>
        <v>-1.8586700749567808E-2</v>
      </c>
      <c r="L17" s="98"/>
      <c r="M17" s="97">
        <f t="shared" si="11"/>
        <v>-1.855617485519271E-2</v>
      </c>
      <c r="O17" s="14"/>
      <c r="P17" s="15" t="s">
        <v>223</v>
      </c>
      <c r="Q17" s="15" t="s">
        <v>222</v>
      </c>
      <c r="R17" s="15" t="s">
        <v>224</v>
      </c>
      <c r="S17" s="15" t="s">
        <v>225</v>
      </c>
      <c r="T17" s="15" t="s">
        <v>227</v>
      </c>
      <c r="U17" s="15" t="s">
        <v>262</v>
      </c>
      <c r="V17" s="15" t="s">
        <v>232</v>
      </c>
      <c r="W17" s="15" t="s">
        <v>262</v>
      </c>
      <c r="X17" s="9"/>
    </row>
    <row r="18" spans="1:24" ht="17.25" x14ac:dyDescent="0.25">
      <c r="A18" s="22" t="s">
        <v>17</v>
      </c>
      <c r="B18" s="28" t="s">
        <v>527</v>
      </c>
      <c r="C18" s="2" t="s">
        <v>157</v>
      </c>
      <c r="D18" s="3">
        <f>E18</f>
        <v>1188.2451246165019</v>
      </c>
      <c r="E18" s="77">
        <f>VLOOKUP(A18,FXRate!B:E,4,FALSE)</f>
        <v>1188.2451246165019</v>
      </c>
      <c r="F18" s="23">
        <f>VLOOKUP(B18,'Refinitiv-MktData'!$A:$F,3,FALSE)-$B$1</f>
        <v>2</v>
      </c>
      <c r="G18" s="24">
        <v>0</v>
      </c>
      <c r="H18" s="26"/>
      <c r="K18" s="71"/>
      <c r="L18" s="98"/>
      <c r="O18" s="81" t="s">
        <v>6</v>
      </c>
      <c r="P18" s="82">
        <f>VLOOKUP(O18,$A$2:$D$185,4,FALSE)</f>
        <v>0.72414499953752531</v>
      </c>
      <c r="Q18" s="82">
        <f>ROUNDDOWN(1/P18,10)</f>
        <v>1.3809389012</v>
      </c>
      <c r="R18" s="14">
        <f>MATCH(O18,$A:$A,0)</f>
        <v>26</v>
      </c>
      <c r="S18" s="14">
        <v>365</v>
      </c>
      <c r="T18" s="29">
        <f>P18</f>
        <v>0.72414499953752531</v>
      </c>
      <c r="U18">
        <f>Q18*$Q$38</f>
        <v>38.230662290703847</v>
      </c>
      <c r="W18" s="82">
        <f>$Q$38/Q18</f>
        <v>20.047623326109203</v>
      </c>
      <c r="X18" s="9"/>
    </row>
    <row r="19" spans="1:24" ht="17.25" x14ac:dyDescent="0.25">
      <c r="A19" s="22" t="s">
        <v>17</v>
      </c>
      <c r="B19" s="28" t="s">
        <v>134</v>
      </c>
      <c r="C19" s="2">
        <f>$O$3</f>
        <v>7</v>
      </c>
      <c r="D19" s="3">
        <f t="shared" si="0"/>
        <v>1188.4297400011174</v>
      </c>
      <c r="E19" s="78">
        <f t="shared" ref="E19:E25" si="12">$D$18+(LineInterpo($F$19:$G$25,C19)/H19)</f>
        <v>1188.4297400011174</v>
      </c>
      <c r="F19" s="23">
        <f>I19-$I$2</f>
        <v>9</v>
      </c>
      <c r="G19" s="25">
        <f>VLOOKUP(B19,'Refinitiv-MktData'!$A:$F,6,FALSE)</f>
        <v>15</v>
      </c>
      <c r="H19" s="26">
        <v>100</v>
      </c>
      <c r="I19" s="99">
        <f>VLOOKUP(B19,'Refinitiv-MktData'!$A:$F,3,FALSE)</f>
        <v>44553</v>
      </c>
      <c r="J19" s="20">
        <f>(LineInterpo(F18:G25,C19))/H19</f>
        <v>0.10714285714285714</v>
      </c>
      <c r="K19" s="97">
        <f t="shared" ref="K19:K25" si="13">((1+J19/$E$18)*(1+P3*O3/360)-1)*360/O3</f>
        <v>5.5883562931808529E-3</v>
      </c>
      <c r="L19" s="98"/>
      <c r="M19" s="97">
        <f>(ROUNDDOWN((1+(G19/H19)/$E$18),10)*ROUNDDOWN((1+LineInterpo($O$3:$P$9,F19)*F19/360),10)-1)*ROUNDDOWN(365/F19,10)</f>
        <v>6.1930093763154477E-3</v>
      </c>
      <c r="N19" s="8"/>
      <c r="O19" s="15" t="s">
        <v>7</v>
      </c>
      <c r="P19" s="30">
        <f>ROUNDDOWN(1/VLOOKUP(O19,$A$2:$D$299,4,FALSE),10)</f>
        <v>0.78149024820000002</v>
      </c>
      <c r="Q19" s="80">
        <f>1/P19</f>
        <v>1.2796064983578384</v>
      </c>
      <c r="R19" s="14">
        <f t="shared" ref="R19:R42" si="14">MATCH(O19,$A:$A,0)</f>
        <v>58</v>
      </c>
      <c r="S19" s="14">
        <v>360</v>
      </c>
      <c r="T19" s="29">
        <f t="shared" ref="T19:T42" si="15">P19</f>
        <v>0.78149024820000002</v>
      </c>
      <c r="U19">
        <f>Q19/$Q$38</f>
        <v>4.622097253701854E-2</v>
      </c>
      <c r="W19" s="82">
        <f t="shared" ref="W19:W43" si="16">$Q$38/Q19</f>
        <v>21.635200323816132</v>
      </c>
      <c r="X19" s="9"/>
    </row>
    <row r="20" spans="1:24" ht="17.25" x14ac:dyDescent="0.25">
      <c r="A20" s="22" t="s">
        <v>17</v>
      </c>
      <c r="B20" s="28" t="s">
        <v>135</v>
      </c>
      <c r="C20" s="2">
        <f>$O$4</f>
        <v>30</v>
      </c>
      <c r="D20" s="3">
        <f t="shared" si="0"/>
        <v>1188.0316630780403</v>
      </c>
      <c r="E20" s="78">
        <f t="shared" si="12"/>
        <v>1188.0316630780403</v>
      </c>
      <c r="F20" s="23">
        <f t="shared" ref="F20:F25" si="17">I20-$I$2</f>
        <v>35</v>
      </c>
      <c r="G20" s="25">
        <f>VLOOKUP(B20,'Refinitiv-MktData'!$A:$F,6,FALSE)</f>
        <v>-30</v>
      </c>
      <c r="H20" s="26">
        <v>100</v>
      </c>
      <c r="I20" s="99">
        <f>VLOOKUP(B20,'Refinitiv-MktData'!$A:$F,3,FALSE)</f>
        <v>44579</v>
      </c>
      <c r="J20" s="20">
        <f t="shared" ref="J20:J25" si="18">(LineInterpo($F$19:$G$25,C20))/H20</f>
        <v>-0.21346153846153848</v>
      </c>
      <c r="K20" s="97">
        <f t="shared" si="13"/>
        <v>3.1991619164450924E-5</v>
      </c>
      <c r="L20" s="98"/>
      <c r="M20" s="97">
        <f t="shared" ref="M20:M25" si="19">(ROUNDDOWN((1+(G20/H20)/$E$18),10)*ROUNDDOWN((1+LineInterpo($O$3:$P$9,F20)*F20/360),10)-1)*ROUNDDOWN(365/F20,10)</f>
        <v>-3.5531242668241698E-4</v>
      </c>
      <c r="N20" s="8"/>
      <c r="O20" s="15" t="s">
        <v>12</v>
      </c>
      <c r="P20" s="30">
        <f>ROUNDDOWN(1/VLOOKUP(O20,$A$2:$D$299,4,FALSE),10)</f>
        <v>1.0901674203</v>
      </c>
      <c r="Q20" s="80">
        <f>1/P20</f>
        <v>0.91729029998421063</v>
      </c>
      <c r="R20" s="14">
        <f t="shared" si="14"/>
        <v>122</v>
      </c>
      <c r="S20" s="14">
        <v>360</v>
      </c>
      <c r="T20" s="29">
        <f t="shared" si="15"/>
        <v>1.0901674203</v>
      </c>
      <c r="U20">
        <f t="shared" ref="U20:U21" si="20">Q20/$Q$38</f>
        <v>3.3133662433298461E-2</v>
      </c>
      <c r="W20" s="82">
        <f t="shared" si="16"/>
        <v>30.180786745597622</v>
      </c>
      <c r="X20" s="9"/>
    </row>
    <row r="21" spans="1:24" ht="17.25" x14ac:dyDescent="0.25">
      <c r="A21" s="22" t="s">
        <v>17</v>
      </c>
      <c r="B21" s="28" t="s">
        <v>136</v>
      </c>
      <c r="C21" s="2">
        <f>$O$5</f>
        <v>60</v>
      </c>
      <c r="D21" s="3">
        <f t="shared" si="0"/>
        <v>1188.4192625475364</v>
      </c>
      <c r="E21" s="78">
        <f t="shared" si="12"/>
        <v>1188.4192625475364</v>
      </c>
      <c r="F21" s="23">
        <f t="shared" si="17"/>
        <v>64</v>
      </c>
      <c r="G21" s="25">
        <f>VLOOKUP(B21,'Refinitiv-MktData'!$A:$F,6,FALSE)</f>
        <v>25</v>
      </c>
      <c r="H21" s="26">
        <v>100</v>
      </c>
      <c r="I21" s="99">
        <f>VLOOKUP(B21,'Refinitiv-MktData'!$A:$F,3,FALSE)</f>
        <v>44608</v>
      </c>
      <c r="J21" s="20">
        <f t="shared" si="18"/>
        <v>0.17413793103448277</v>
      </c>
      <c r="K21" s="97">
        <f t="shared" si="13"/>
        <v>3.4210300309469588E-3</v>
      </c>
      <c r="L21" s="98"/>
      <c r="M21" s="97">
        <f t="shared" si="19"/>
        <v>3.7701146435762702E-3</v>
      </c>
      <c r="N21" s="8"/>
      <c r="O21" s="15" t="s">
        <v>3</v>
      </c>
      <c r="P21" s="30">
        <f>ROUNDDOWN(1/VLOOKUP(O21,$A$2:$D$299,4,FALSE),10)</f>
        <v>0.15687824829999999</v>
      </c>
      <c r="Q21" s="80">
        <f>1/P21</f>
        <v>6.3743700024473053</v>
      </c>
      <c r="R21" s="14">
        <f t="shared" si="14"/>
        <v>82</v>
      </c>
      <c r="S21" s="14">
        <v>365</v>
      </c>
      <c r="T21" s="29">
        <f t="shared" si="15"/>
        <v>0.15687824829999999</v>
      </c>
      <c r="U21">
        <f t="shared" si="20"/>
        <v>0.23025014424514073</v>
      </c>
      <c r="W21" s="82">
        <f>$Q$38/Q21</f>
        <v>4.343102599472549</v>
      </c>
      <c r="X21" s="9"/>
    </row>
    <row r="22" spans="1:24" ht="17.25" x14ac:dyDescent="0.25">
      <c r="A22" s="22" t="s">
        <v>17</v>
      </c>
      <c r="B22" s="28" t="s">
        <v>137</v>
      </c>
      <c r="C22" s="2">
        <f>$O$6</f>
        <v>90</v>
      </c>
      <c r="D22" s="3">
        <f t="shared" si="0"/>
        <v>1188.9129817593591</v>
      </c>
      <c r="E22" s="78">
        <f t="shared" si="12"/>
        <v>1188.9129817593591</v>
      </c>
      <c r="F22" s="23">
        <f t="shared" si="17"/>
        <v>92</v>
      </c>
      <c r="G22" s="25">
        <f>VLOOKUP(B22,'Refinitiv-MktData'!$A:$F,6,FALSE)</f>
        <v>70</v>
      </c>
      <c r="H22" s="26">
        <v>100</v>
      </c>
      <c r="I22" s="99">
        <f>VLOOKUP(B22,'Refinitiv-MktData'!$A:$F,3,FALSE)</f>
        <v>44636</v>
      </c>
      <c r="J22" s="20">
        <f>(LineInterpo($F$19:$G$25,C22))/H22</f>
        <v>0.66785714285714293</v>
      </c>
      <c r="K22" s="97">
        <f t="shared" si="13"/>
        <v>4.7393245399387496E-3</v>
      </c>
      <c r="L22" s="98"/>
      <c r="M22" s="97">
        <f t="shared" si="19"/>
        <v>4.889934447912323E-3</v>
      </c>
      <c r="N22" s="8"/>
      <c r="O22" s="81" t="s">
        <v>5</v>
      </c>
      <c r="P22" s="82">
        <f t="shared" ref="P22:P32" si="21">VLOOKUP(O22,$A$2:$D$185,4,FALSE)</f>
        <v>1.132609229656012</v>
      </c>
      <c r="Q22" s="82">
        <f>ROUNDDOWN(1/P22,10)</f>
        <v>0.88291705009999999</v>
      </c>
      <c r="R22" s="14">
        <f t="shared" si="14"/>
        <v>34</v>
      </c>
      <c r="S22" s="14">
        <v>360</v>
      </c>
      <c r="T22" s="29">
        <f t="shared" si="15"/>
        <v>1.132609229656012</v>
      </c>
      <c r="U22">
        <f>Q22*$Q$38</f>
        <v>24.443154975028776</v>
      </c>
      <c r="W22" s="82">
        <f t="shared" si="16"/>
        <v>31.355768839771702</v>
      </c>
      <c r="X22" s="9"/>
    </row>
    <row r="23" spans="1:24" ht="17.25" x14ac:dyDescent="0.25">
      <c r="A23" s="22" t="s">
        <v>17</v>
      </c>
      <c r="B23" s="28" t="s">
        <v>138</v>
      </c>
      <c r="C23" s="2">
        <f>$O$7</f>
        <v>180</v>
      </c>
      <c r="D23" s="3">
        <f t="shared" si="0"/>
        <v>1189.9972985295453</v>
      </c>
      <c r="E23" s="78">
        <f t="shared" si="12"/>
        <v>1189.9972985295453</v>
      </c>
      <c r="F23" s="23">
        <f t="shared" si="17"/>
        <v>184</v>
      </c>
      <c r="G23" s="25">
        <f>VLOOKUP(B23,'Refinitiv-MktData'!$A:$F,6,FALSE)</f>
        <v>180</v>
      </c>
      <c r="H23" s="26">
        <v>100</v>
      </c>
      <c r="I23" s="99">
        <f>VLOOKUP(B23,'Refinitiv-MktData'!$A:$F,3,FALSE)</f>
        <v>44728</v>
      </c>
      <c r="J23" s="20">
        <f>(LineInterpo($F$19:$G$25,C23))/H23</f>
        <v>1.7521739130434781</v>
      </c>
      <c r="K23" s="97">
        <f t="shared" si="13"/>
        <v>6.6397735525765E-3</v>
      </c>
      <c r="L23" s="98"/>
      <c r="M23" s="97">
        <f t="shared" si="19"/>
        <v>6.7938985618564056E-3</v>
      </c>
      <c r="O23" s="81" t="s">
        <v>15</v>
      </c>
      <c r="P23" s="82">
        <f>VLOOKUP(O23,$A$2:$D$185,4,FALSE)</f>
        <v>1.3439017497060415</v>
      </c>
      <c r="Q23" s="82">
        <f>ROUNDDOWN(1/P23,10)</f>
        <v>0.74410201499999995</v>
      </c>
      <c r="R23" s="14">
        <f t="shared" si="14"/>
        <v>50</v>
      </c>
      <c r="S23" s="14">
        <v>365</v>
      </c>
      <c r="T23" s="29">
        <f t="shared" si="15"/>
        <v>1.3439017497060415</v>
      </c>
      <c r="U23">
        <f>Q23*$Q$38</f>
        <v>20.600124176802534</v>
      </c>
      <c r="W23" s="82">
        <f t="shared" si="16"/>
        <v>37.205305683292273</v>
      </c>
      <c r="X23" s="9"/>
    </row>
    <row r="24" spans="1:24" ht="17.25" x14ac:dyDescent="0.25">
      <c r="A24" s="22" t="s">
        <v>17</v>
      </c>
      <c r="B24" s="28" t="s">
        <v>158</v>
      </c>
      <c r="C24" s="2">
        <v>270</v>
      </c>
      <c r="D24" s="3">
        <f t="shared" si="0"/>
        <v>1191.2603420078062</v>
      </c>
      <c r="E24" s="78">
        <f t="shared" si="12"/>
        <v>1191.2603420078062</v>
      </c>
      <c r="F24" s="23">
        <f t="shared" si="17"/>
        <v>276</v>
      </c>
      <c r="G24" s="25">
        <f>VLOOKUP(B24,'Refinitiv-MktData'!$A:$F,6,FALSE)</f>
        <v>310</v>
      </c>
      <c r="H24" s="26">
        <v>100</v>
      </c>
      <c r="I24" s="99">
        <f>VLOOKUP(B24,'Refinitiv-MktData'!$A:$F,3,FALSE)</f>
        <v>44820</v>
      </c>
      <c r="J24" s="20">
        <f>(LineInterpo($F$19:$G$25,C24))/H24</f>
        <v>3.0152173913043483</v>
      </c>
      <c r="K24" s="97">
        <f t="shared" si="13"/>
        <v>8.1201166985274877E-3</v>
      </c>
      <c r="L24" s="98"/>
      <c r="M24" s="97">
        <f t="shared" si="19"/>
        <v>8.2879659195887745E-3</v>
      </c>
      <c r="O24" s="15" t="s">
        <v>1</v>
      </c>
      <c r="P24" s="30">
        <f t="shared" ref="P24:P31" si="22">ROUNDDOWN(1/VLOOKUP(O24,$A$2:$D$299,4,FALSE),10)</f>
        <v>0.12821910080000001</v>
      </c>
      <c r="Q24" s="80">
        <f t="shared" ref="Q24:Q31" si="23">1/P24</f>
        <v>7.799149999966307</v>
      </c>
      <c r="R24" s="14">
        <f t="shared" si="14"/>
        <v>114</v>
      </c>
      <c r="S24" s="14">
        <v>365</v>
      </c>
      <c r="T24" s="29">
        <f t="shared" si="15"/>
        <v>0.12821910080000001</v>
      </c>
      <c r="U24">
        <f>Q24/$Q$38</f>
        <v>0.281714963485378</v>
      </c>
      <c r="W24" s="82">
        <f t="shared" si="16"/>
        <v>3.5496872002395556</v>
      </c>
      <c r="X24" s="9"/>
    </row>
    <row r="25" spans="1:24" ht="17.25" x14ac:dyDescent="0.25">
      <c r="A25" s="22" t="s">
        <v>17</v>
      </c>
      <c r="B25" s="28" t="s">
        <v>139</v>
      </c>
      <c r="C25" s="2">
        <f>$O$9</f>
        <v>365</v>
      </c>
      <c r="D25" s="3">
        <f t="shared" si="0"/>
        <v>1192.2253443967218</v>
      </c>
      <c r="E25" s="78">
        <f t="shared" si="12"/>
        <v>1192.2253443967218</v>
      </c>
      <c r="F25" s="23">
        <f t="shared" si="17"/>
        <v>367</v>
      </c>
      <c r="G25" s="25">
        <f>VLOOKUP(B25,'Refinitiv-MktData'!$A:$F,6,FALSE)</f>
        <v>400</v>
      </c>
      <c r="H25" s="26">
        <v>100</v>
      </c>
      <c r="I25" s="99">
        <f>VLOOKUP(B25,'Refinitiv-MktData'!$A:$F,3,FALSE)</f>
        <v>44911</v>
      </c>
      <c r="J25" s="20">
        <f t="shared" si="18"/>
        <v>3.9802197802197803</v>
      </c>
      <c r="K25" s="97">
        <f t="shared" si="13"/>
        <v>8.5904231561582684E-3</v>
      </c>
      <c r="L25" s="98"/>
      <c r="M25" s="97">
        <f t="shared" si="19"/>
        <v>8.7197811570961029E-3</v>
      </c>
      <c r="O25" s="15" t="s">
        <v>9</v>
      </c>
      <c r="P25" s="30">
        <f t="shared" si="22"/>
        <v>7.0302400000000006E-5</v>
      </c>
      <c r="Q25" s="80">
        <f t="shared" si="23"/>
        <v>14224.265458931699</v>
      </c>
      <c r="R25" s="14">
        <f t="shared" si="14"/>
        <v>146</v>
      </c>
      <c r="S25" s="14">
        <v>360</v>
      </c>
      <c r="T25" s="29">
        <f t="shared" si="15"/>
        <v>7.0302400000000006E-5</v>
      </c>
      <c r="U25">
        <f t="shared" ref="U25:U31" si="24">Q25/$Q$38</f>
        <v>513.79809650879622</v>
      </c>
      <c r="W25" s="82">
        <f t="shared" si="16"/>
        <v>1.9462898107153262E-3</v>
      </c>
      <c r="X25" s="9"/>
    </row>
    <row r="26" spans="1:24" ht="17.25" x14ac:dyDescent="0.25">
      <c r="A26" s="22" t="s">
        <v>6</v>
      </c>
      <c r="B26" s="28" t="str">
        <f>A26&amp;"="</f>
        <v>AUD=</v>
      </c>
      <c r="C26" s="2" t="s">
        <v>157</v>
      </c>
      <c r="D26" s="3">
        <f t="shared" si="0"/>
        <v>0.72414499953752531</v>
      </c>
      <c r="E26" s="77">
        <f>VLOOKUP(A26,FXRate!B:E,4,FALSE)</f>
        <v>0.72414499953752531</v>
      </c>
      <c r="F26" s="23">
        <f>VLOOKUP(B26,'Refinitiv-MktData'!$A:$F,3,FALSE)-$B$1</f>
        <v>2</v>
      </c>
      <c r="G26" s="24">
        <v>0</v>
      </c>
      <c r="H26" s="26"/>
      <c r="K26" s="75"/>
      <c r="L26" s="74"/>
      <c r="O26" s="15" t="s">
        <v>172</v>
      </c>
      <c r="P26" s="30">
        <f t="shared" si="22"/>
        <v>1.3392411099999999E-2</v>
      </c>
      <c r="Q26" s="80">
        <f t="shared" si="23"/>
        <v>74.669153487977979</v>
      </c>
      <c r="R26" s="14">
        <f t="shared" si="14"/>
        <v>138</v>
      </c>
      <c r="S26" s="14">
        <v>365</v>
      </c>
      <c r="T26" s="29">
        <f t="shared" si="15"/>
        <v>1.3392411099999999E-2</v>
      </c>
      <c r="U26">
        <f t="shared" si="24"/>
        <v>2.6971423614676824</v>
      </c>
      <c r="W26" s="82">
        <f t="shared" si="16"/>
        <v>0.37076278000240148</v>
      </c>
      <c r="X26" s="9"/>
    </row>
    <row r="27" spans="1:24" ht="17.25" x14ac:dyDescent="0.25">
      <c r="A27" s="22" t="s">
        <v>6</v>
      </c>
      <c r="B27" s="28" t="s">
        <v>34</v>
      </c>
      <c r="C27" s="2">
        <f>$O$3</f>
        <v>7</v>
      </c>
      <c r="D27" s="3">
        <f t="shared" si="0"/>
        <v>0.7241313841529099</v>
      </c>
      <c r="E27" s="78">
        <f t="shared" ref="E27:E33" si="25">$D$26+(LineInterpo($F$27:$G$33,C27)/H27)</f>
        <v>0.7241313841529099</v>
      </c>
      <c r="F27" s="23">
        <f>I27-$I$2</f>
        <v>9</v>
      </c>
      <c r="G27" s="25">
        <f>VLOOKUP(B27,'Refinitiv-MktData'!$A:$F,6,FALSE)</f>
        <v>5.5E-2</v>
      </c>
      <c r="H27" s="26">
        <v>10000</v>
      </c>
      <c r="I27" s="99">
        <f>VLOOKUP(B27,'Refinitiv-MktData'!$A:$F,3,FALSE)</f>
        <v>44553</v>
      </c>
      <c r="J27" s="20">
        <f>(LineInterpo($F$26:$G$33,C27))/H27</f>
        <v>3.9285714285714288E-6</v>
      </c>
      <c r="K27" s="71">
        <f t="shared" ref="K27:K33" si="26">($E$26/($E$26+J27)*(1+P3*O3/360)-1)*365/O3</f>
        <v>6.8133208965529392E-4</v>
      </c>
      <c r="L27" s="73"/>
      <c r="O27" s="16" t="s">
        <v>2</v>
      </c>
      <c r="P27" s="30">
        <f t="shared" si="22"/>
        <v>8.7072594999999999E-3</v>
      </c>
      <c r="Q27" s="80">
        <f t="shared" si="23"/>
        <v>114.84669774686283</v>
      </c>
      <c r="R27" s="14">
        <f t="shared" si="14"/>
        <v>106</v>
      </c>
      <c r="S27" s="14">
        <v>360</v>
      </c>
      <c r="T27" s="29">
        <f t="shared" si="15"/>
        <v>8.7072594999999999E-3</v>
      </c>
      <c r="U27">
        <f t="shared" si="24"/>
        <v>4.1484050521292035</v>
      </c>
      <c r="W27" s="82">
        <f t="shared" si="16"/>
        <v>0.24105649940975307</v>
      </c>
      <c r="X27" s="9"/>
    </row>
    <row r="28" spans="1:24" ht="17.25" x14ac:dyDescent="0.25">
      <c r="A28" s="22" t="s">
        <v>6</v>
      </c>
      <c r="B28" s="28" t="s">
        <v>35</v>
      </c>
      <c r="C28" s="2">
        <f>$O$4</f>
        <v>30</v>
      </c>
      <c r="D28" s="3">
        <f t="shared" si="0"/>
        <v>0.72435121107598688</v>
      </c>
      <c r="E28" s="78">
        <f t="shared" si="25"/>
        <v>0.72435121107598688</v>
      </c>
      <c r="F28" s="23">
        <f t="shared" ref="F28:F33" si="27">I28-$I$2</f>
        <v>35</v>
      </c>
      <c r="G28" s="25">
        <f>VLOOKUP(B28,'Refinitiv-MktData'!$A:$F,6,FALSE)</f>
        <v>2.54</v>
      </c>
      <c r="H28" s="26">
        <v>10000</v>
      </c>
      <c r="I28" s="99">
        <f>VLOOKUP(B28,'Refinitiv-MktData'!$A:$F,3,FALSE)</f>
        <v>44579</v>
      </c>
      <c r="J28" s="20">
        <f>(LineInterpo($F$26:$G$33,C28))/H28</f>
        <v>2.0621153846153847E-4</v>
      </c>
      <c r="K28" s="71">
        <f t="shared" si="26"/>
        <v>-1.2457850177102214E-3</v>
      </c>
      <c r="L28" s="73"/>
      <c r="O28" s="16" t="s">
        <v>17</v>
      </c>
      <c r="P28" s="30">
        <f t="shared" si="22"/>
        <v>8.4157709999999996E-4</v>
      </c>
      <c r="Q28" s="80">
        <f t="shared" si="23"/>
        <v>1188.2452600005395</v>
      </c>
      <c r="R28" s="14">
        <f t="shared" si="14"/>
        <v>18</v>
      </c>
      <c r="S28" s="14">
        <v>360</v>
      </c>
      <c r="T28" s="29">
        <f t="shared" si="15"/>
        <v>8.4157709999999996E-4</v>
      </c>
      <c r="U28">
        <f t="shared" si="24"/>
        <v>42.920891383570208</v>
      </c>
      <c r="W28" s="82">
        <f t="shared" si="16"/>
        <v>2.3298677351859295E-2</v>
      </c>
      <c r="X28" s="9"/>
    </row>
    <row r="29" spans="1:24" ht="17.25" x14ac:dyDescent="0.25">
      <c r="A29" s="22" t="s">
        <v>6</v>
      </c>
      <c r="B29" s="28" t="s">
        <v>36</v>
      </c>
      <c r="C29" s="2">
        <f>$O$5</f>
        <v>60</v>
      </c>
      <c r="D29" s="3">
        <f t="shared" si="0"/>
        <v>0.72442443057200812</v>
      </c>
      <c r="E29" s="78">
        <f t="shared" si="25"/>
        <v>0.72442443057200812</v>
      </c>
      <c r="F29" s="23">
        <f t="shared" si="27"/>
        <v>64</v>
      </c>
      <c r="G29" s="25">
        <f>VLOOKUP(B29,'Refinitiv-MktData'!$A:$F,6,FALSE)</f>
        <v>2.835</v>
      </c>
      <c r="H29" s="26">
        <v>10000</v>
      </c>
      <c r="I29" s="99">
        <f>VLOOKUP(B29,'Refinitiv-MktData'!$A:$F,3,FALSE)</f>
        <v>44608</v>
      </c>
      <c r="J29" s="20">
        <f>(LineInterpo($F$26:$G$33,C29))/H29</f>
        <v>2.7943103448275862E-4</v>
      </c>
      <c r="K29" s="71">
        <f t="shared" si="26"/>
        <v>2.2914314692501492E-4</v>
      </c>
      <c r="L29" s="73"/>
      <c r="O29" s="16" t="s">
        <v>10</v>
      </c>
      <c r="P29" s="30">
        <f t="shared" si="22"/>
        <v>4.8352513999999999E-2</v>
      </c>
      <c r="Q29" s="80">
        <f t="shared" si="23"/>
        <v>20.681447918095841</v>
      </c>
      <c r="R29" s="14">
        <f t="shared" si="14"/>
        <v>178</v>
      </c>
      <c r="S29" s="14">
        <v>360</v>
      </c>
      <c r="T29" s="29">
        <f t="shared" si="15"/>
        <v>4.8352513999999999E-2</v>
      </c>
      <c r="U29">
        <f t="shared" si="24"/>
        <v>0.74703952932002671</v>
      </c>
      <c r="W29" s="82">
        <f t="shared" si="16"/>
        <v>1.3386172494917692</v>
      </c>
    </row>
    <row r="30" spans="1:24" ht="17.25" x14ac:dyDescent="0.25">
      <c r="A30" s="22" t="s">
        <v>6</v>
      </c>
      <c r="B30" s="28" t="s">
        <v>37</v>
      </c>
      <c r="C30" s="2">
        <f>$O$6</f>
        <v>90</v>
      </c>
      <c r="D30" s="3">
        <f t="shared" si="0"/>
        <v>0.7244401066803825</v>
      </c>
      <c r="E30" s="78">
        <f t="shared" si="25"/>
        <v>0.7244401066803825</v>
      </c>
      <c r="F30" s="23">
        <f t="shared" si="27"/>
        <v>92</v>
      </c>
      <c r="G30" s="25">
        <f>VLOOKUP(B30,'Refinitiv-MktData'!$A:$F,6,FALSE)</f>
        <v>2.96</v>
      </c>
      <c r="H30" s="26">
        <v>10000</v>
      </c>
      <c r="I30" s="99">
        <f>VLOOKUP(B30,'Refinitiv-MktData'!$A:$F,3,FALSE)</f>
        <v>44636</v>
      </c>
      <c r="J30" s="20">
        <f>(LineInterpo($F$26:$G$33,C30))/H30</f>
        <v>2.9510714285714286E-4</v>
      </c>
      <c r="K30" s="71">
        <f t="shared" si="26"/>
        <v>8.7119611116272104E-4</v>
      </c>
      <c r="L30" s="73"/>
      <c r="O30" s="16" t="s">
        <v>11</v>
      </c>
      <c r="P30" s="30">
        <f>ROUNDDOWN(1/VLOOKUP(O30,$A$2:$D$299,4,FALSE),10)</f>
        <v>0.2391143205</v>
      </c>
      <c r="Q30" s="80">
        <f t="shared" si="23"/>
        <v>4.1821000009909488</v>
      </c>
      <c r="R30" s="14">
        <f t="shared" si="14"/>
        <v>74</v>
      </c>
      <c r="S30" s="14">
        <v>365</v>
      </c>
      <c r="T30" s="29">
        <f t="shared" si="15"/>
        <v>0.2391143205</v>
      </c>
      <c r="U30">
        <f t="shared" si="24"/>
        <v>0.1510626349123243</v>
      </c>
      <c r="W30" s="82">
        <f t="shared" si="16"/>
        <v>6.6197706704930237</v>
      </c>
    </row>
    <row r="31" spans="1:24" ht="17.25" x14ac:dyDescent="0.25">
      <c r="A31" s="22" t="s">
        <v>6</v>
      </c>
      <c r="B31" s="28" t="s">
        <v>38</v>
      </c>
      <c r="C31" s="2">
        <f>$O$7</f>
        <v>180</v>
      </c>
      <c r="D31" s="3">
        <f t="shared" si="0"/>
        <v>0.72452517345056877</v>
      </c>
      <c r="E31" s="78">
        <f t="shared" si="25"/>
        <v>0.72452517345056877</v>
      </c>
      <c r="F31" s="23">
        <f t="shared" si="27"/>
        <v>184</v>
      </c>
      <c r="G31" s="25">
        <f>VLOOKUP(B31,'Refinitiv-MktData'!$A:$F,6,FALSE)</f>
        <v>3.84</v>
      </c>
      <c r="H31" s="26">
        <v>10000</v>
      </c>
      <c r="I31" s="99">
        <f>VLOOKUP(B31,'Refinitiv-MktData'!$A:$F,3,FALSE)</f>
        <v>44728</v>
      </c>
      <c r="J31" s="20">
        <f>(LineInterpo($F$26:$G$33,C31))/H31</f>
        <v>3.8017391304347826E-4</v>
      </c>
      <c r="K31" s="71">
        <f t="shared" si="26"/>
        <v>2.6703639448383523E-3</v>
      </c>
      <c r="L31" s="73"/>
      <c r="O31" s="16" t="s">
        <v>13</v>
      </c>
      <c r="P31" s="30">
        <f t="shared" si="22"/>
        <v>0.1098273514</v>
      </c>
      <c r="Q31" s="80">
        <f t="shared" si="23"/>
        <v>9.1052000002979234</v>
      </c>
      <c r="R31" s="14">
        <f t="shared" si="14"/>
        <v>130</v>
      </c>
      <c r="S31" s="14">
        <v>360</v>
      </c>
      <c r="T31" s="29">
        <f t="shared" si="15"/>
        <v>0.1098273514</v>
      </c>
      <c r="U31">
        <f t="shared" si="24"/>
        <v>0.3288911080851214</v>
      </c>
      <c r="V31" s="15" t="s">
        <v>233</v>
      </c>
      <c r="W31" s="82">
        <f t="shared" si="16"/>
        <v>3.0405200244610651</v>
      </c>
    </row>
    <row r="32" spans="1:24" ht="17.25" x14ac:dyDescent="0.25">
      <c r="A32" s="22" t="s">
        <v>6</v>
      </c>
      <c r="B32" s="28" t="s">
        <v>39</v>
      </c>
      <c r="C32" s="2">
        <v>270</v>
      </c>
      <c r="D32" s="3">
        <f t="shared" si="0"/>
        <v>0.7244458038853514</v>
      </c>
      <c r="E32" s="78">
        <f t="shared" si="25"/>
        <v>0.7244458038853514</v>
      </c>
      <c r="F32" s="23">
        <f t="shared" si="27"/>
        <v>276</v>
      </c>
      <c r="G32" s="25">
        <f>VLOOKUP(B32,'Refinitiv-MktData'!$A:$F,6,FALSE)</f>
        <v>2.95</v>
      </c>
      <c r="H32" s="26">
        <v>10000</v>
      </c>
      <c r="I32" s="99">
        <f>VLOOKUP(B32,'Refinitiv-MktData'!$A:$F,3,FALSE)</f>
        <v>44820</v>
      </c>
      <c r="J32" s="20">
        <f t="shared" ref="J32:J33" si="28">(LineInterpo($F$26:$G$33,C32))/H32</f>
        <v>3.00804347826087E-4</v>
      </c>
      <c r="K32" s="71">
        <f t="shared" si="26"/>
        <v>4.2270597444971948E-3</v>
      </c>
      <c r="L32" s="73"/>
      <c r="O32" s="83" t="s">
        <v>19</v>
      </c>
      <c r="P32" s="82">
        <f t="shared" si="21"/>
        <v>0.68083249936495605</v>
      </c>
      <c r="Q32" s="82">
        <f>ROUNDDOWN(1/P32,10)</f>
        <v>1.4687900488000001</v>
      </c>
      <c r="R32" s="14">
        <f t="shared" si="14"/>
        <v>66</v>
      </c>
      <c r="S32" s="14">
        <v>360</v>
      </c>
      <c r="T32" s="29">
        <f t="shared" si="15"/>
        <v>0.68083249936495605</v>
      </c>
      <c r="U32">
        <f>Q32*$Q$38</f>
        <v>40.6627811576775</v>
      </c>
      <c r="W32" s="82">
        <f t="shared" si="16"/>
        <v>18.848536555818153</v>
      </c>
    </row>
    <row r="33" spans="1:23" ht="17.25" x14ac:dyDescent="0.25">
      <c r="A33" s="22" t="s">
        <v>6</v>
      </c>
      <c r="B33" s="28" t="s">
        <v>40</v>
      </c>
      <c r="C33" s="2">
        <f>$O$9</f>
        <v>365</v>
      </c>
      <c r="D33" s="3">
        <f t="shared" si="0"/>
        <v>0.72405857096609672</v>
      </c>
      <c r="E33" s="78">
        <f t="shared" si="25"/>
        <v>0.72405857096609672</v>
      </c>
      <c r="F33" s="23">
        <f t="shared" si="27"/>
        <v>367</v>
      </c>
      <c r="G33" s="25">
        <f>VLOOKUP(B33,'Refinitiv-MktData'!$A:$F,6,FALSE)</f>
        <v>-0.95</v>
      </c>
      <c r="H33" s="26">
        <v>10000</v>
      </c>
      <c r="I33" s="99">
        <f>VLOOKUP(B33,'Refinitiv-MktData'!$A:$F,3,FALSE)</f>
        <v>44911</v>
      </c>
      <c r="J33" s="20">
        <f t="shared" si="28"/>
        <v>-8.6428571428571419E-5</v>
      </c>
      <c r="K33" s="71">
        <f t="shared" si="26"/>
        <v>5.4621823978695527E-3</v>
      </c>
      <c r="L33" s="73"/>
      <c r="O33" s="16" t="s">
        <v>170</v>
      </c>
      <c r="P33" s="30">
        <f t="shared" ref="P33:P41" si="29">ROUNDDOWN(1/VLOOKUP(O33,$A$2:$D$299,4,FALSE),10)</f>
        <v>1.9817677299999999E-2</v>
      </c>
      <c r="Q33" s="80">
        <f t="shared" ref="Q33:Q43" si="30">1/P33</f>
        <v>50.460000173683319</v>
      </c>
      <c r="R33" s="14">
        <f t="shared" si="14"/>
        <v>154</v>
      </c>
      <c r="S33" s="14">
        <v>360</v>
      </c>
      <c r="T33" s="29">
        <f t="shared" si="15"/>
        <v>1.9817677299999999E-2</v>
      </c>
      <c r="U33">
        <f>Q33/$Q$38</f>
        <v>1.8226777413516568</v>
      </c>
      <c r="W33" s="82">
        <f t="shared" si="16"/>
        <v>0.54864333793774345</v>
      </c>
    </row>
    <row r="34" spans="1:23" ht="17.25" x14ac:dyDescent="0.25">
      <c r="A34" s="22" t="s">
        <v>5</v>
      </c>
      <c r="B34" s="28" t="str">
        <f>A34&amp;"="</f>
        <v>EUR=</v>
      </c>
      <c r="C34" s="2" t="s">
        <v>157</v>
      </c>
      <c r="D34" s="3">
        <f t="shared" si="0"/>
        <v>1.132609229656012</v>
      </c>
      <c r="E34" s="77">
        <f>VLOOKUP(A34,FXRate!B:E,4,FALSE)</f>
        <v>1.132609229656012</v>
      </c>
      <c r="F34" s="23">
        <f>VLOOKUP(B34,'Refinitiv-MktData'!$A:$F,3,FALSE)-$B$1</f>
        <v>2</v>
      </c>
      <c r="G34" s="24">
        <v>0</v>
      </c>
      <c r="H34" s="26"/>
      <c r="K34" s="75"/>
      <c r="L34" s="74"/>
      <c r="O34" s="15" t="s">
        <v>18</v>
      </c>
      <c r="P34" s="30">
        <f t="shared" si="29"/>
        <v>1.3604063099999999E-2</v>
      </c>
      <c r="Q34" s="80">
        <f t="shared" si="30"/>
        <v>73.507450873261533</v>
      </c>
      <c r="R34" s="14">
        <f t="shared" si="14"/>
        <v>98</v>
      </c>
      <c r="S34" s="14">
        <v>360</v>
      </c>
      <c r="T34" s="29">
        <f t="shared" si="15"/>
        <v>1.3604063099999999E-2</v>
      </c>
      <c r="U34">
        <f t="shared" ref="U34:U39" si="31">Q34/$Q$38</f>
        <v>2.6551802233260742</v>
      </c>
      <c r="W34" s="82">
        <f t="shared" si="16"/>
        <v>0.37662226888211997</v>
      </c>
    </row>
    <row r="35" spans="1:23" ht="17.25" x14ac:dyDescent="0.25">
      <c r="A35" s="22" t="s">
        <v>5</v>
      </c>
      <c r="B35" s="28" t="s">
        <v>67</v>
      </c>
      <c r="C35" s="2">
        <f>$O$3</f>
        <v>7</v>
      </c>
      <c r="D35" s="3">
        <f t="shared" si="0"/>
        <v>1.1326623835021659</v>
      </c>
      <c r="E35" s="78">
        <f>$D$34+(LineInterpo($F$35:$G$41,C35)/H35)</f>
        <v>1.1326623835021659</v>
      </c>
      <c r="F35" s="23">
        <f>I35-$I$2</f>
        <v>9</v>
      </c>
      <c r="G35" s="25">
        <f>VLOOKUP(B35,'Refinitiv-MktData'!$A:$F,6,FALSE)</f>
        <v>1.4350000000000001</v>
      </c>
      <c r="H35" s="26">
        <v>10000</v>
      </c>
      <c r="I35" s="99">
        <f>VLOOKUP(B35,'Refinitiv-MktData'!$A:$F,3,FALSE)</f>
        <v>44553</v>
      </c>
      <c r="J35" s="20">
        <f>(LineInterpo($F$34:$G$41,C35))/H35</f>
        <v>1.0250000000000001E-4</v>
      </c>
      <c r="K35" s="71">
        <f t="shared" ref="K35:K41" si="32">($E$34/($E$34+J35)*(1+P3*O3/360)-1)*360/O3</f>
        <v>-3.7028906144349299E-3</v>
      </c>
      <c r="L35" s="73"/>
      <c r="O35" s="15" t="s">
        <v>8</v>
      </c>
      <c r="P35" s="30">
        <f t="shared" si="29"/>
        <v>0.110329306</v>
      </c>
      <c r="Q35" s="80">
        <f t="shared" si="30"/>
        <v>9.0637749502385159</v>
      </c>
      <c r="R35" s="14">
        <f t="shared" si="14"/>
        <v>170</v>
      </c>
      <c r="S35" s="14">
        <v>360</v>
      </c>
      <c r="T35" s="29">
        <f t="shared" si="15"/>
        <v>0.110329306</v>
      </c>
      <c r="U35">
        <f t="shared" si="31"/>
        <v>0.32739478393891103</v>
      </c>
      <c r="W35" s="82">
        <f t="shared" si="16"/>
        <v>3.0544164081324858</v>
      </c>
    </row>
    <row r="36" spans="1:23" ht="17.25" x14ac:dyDescent="0.25">
      <c r="A36" s="22" t="s">
        <v>5</v>
      </c>
      <c r="B36" s="28" t="s">
        <v>68</v>
      </c>
      <c r="C36" s="2">
        <f>$O$4</f>
        <v>30</v>
      </c>
      <c r="D36" s="3">
        <f t="shared" si="0"/>
        <v>1.1337013642713967</v>
      </c>
      <c r="E36" s="78">
        <f t="shared" ref="E36:E41" si="33">$D$34+(LineInterpo($F$35:$G$41,C36)/H36)</f>
        <v>1.1337013642713967</v>
      </c>
      <c r="F36" s="23">
        <f t="shared" ref="F36:F41" si="34">I36-$I$2</f>
        <v>35</v>
      </c>
      <c r="G36" s="25">
        <f>VLOOKUP(B36,'Refinitiv-MktData'!$A:$F,6,FALSE)</f>
        <v>13.18</v>
      </c>
      <c r="H36" s="26">
        <v>10000</v>
      </c>
      <c r="I36" s="99">
        <f>VLOOKUP(B36,'Refinitiv-MktData'!$A:$F,3,FALSE)</f>
        <v>44579</v>
      </c>
      <c r="J36" s="20">
        <f>(LineInterpo($F$34:$G$41,C36))/H36</f>
        <v>1.0921346153846153E-3</v>
      </c>
      <c r="K36" s="71">
        <f t="shared" si="32"/>
        <v>-9.3740151899326385E-3</v>
      </c>
      <c r="L36" s="73"/>
      <c r="O36" s="15" t="s">
        <v>16</v>
      </c>
      <c r="P36" s="30">
        <f>ROUNDDOWN(1/VLOOKUP(O36,$A$2:$D$299,4,FALSE),10)</f>
        <v>0.73842809350000005</v>
      </c>
      <c r="Q36" s="80">
        <f t="shared" si="30"/>
        <v>1.3542279997233067</v>
      </c>
      <c r="R36" s="14">
        <f t="shared" si="14"/>
        <v>42</v>
      </c>
      <c r="S36" s="14">
        <v>365</v>
      </c>
      <c r="T36" s="29">
        <f t="shared" si="15"/>
        <v>0.73842809350000005</v>
      </c>
      <c r="U36">
        <f t="shared" si="31"/>
        <v>4.8916393644765896E-2</v>
      </c>
      <c r="W36" s="82">
        <f t="shared" si="16"/>
        <v>20.443044253467793</v>
      </c>
    </row>
    <row r="37" spans="1:23" ht="17.25" x14ac:dyDescent="0.25">
      <c r="A37" s="22" t="s">
        <v>5</v>
      </c>
      <c r="B37" s="28" t="s">
        <v>69</v>
      </c>
      <c r="C37" s="2">
        <f>$O$5</f>
        <v>60</v>
      </c>
      <c r="D37" s="3">
        <f t="shared" si="0"/>
        <v>1.1345384365525637</v>
      </c>
      <c r="E37" s="78">
        <f t="shared" si="33"/>
        <v>1.1345384365525637</v>
      </c>
      <c r="F37" s="23">
        <f t="shared" si="34"/>
        <v>64</v>
      </c>
      <c r="G37" s="25">
        <f>VLOOKUP(B37,'Refinitiv-MktData'!$A:$F,6,FALSE)</f>
        <v>20.27</v>
      </c>
      <c r="H37" s="26">
        <v>10000</v>
      </c>
      <c r="I37" s="99">
        <f>VLOOKUP(B37,'Refinitiv-MktData'!$A:$F,3,FALSE)</f>
        <v>44608</v>
      </c>
      <c r="J37" s="20">
        <f>(LineInterpo($F$35:$G$41,C37))/H37</f>
        <v>1.9292068965517241E-3</v>
      </c>
      <c r="K37" s="71">
        <f t="shared" si="32"/>
        <v>-7.6655664624938336E-3</v>
      </c>
      <c r="L37" s="73"/>
      <c r="O37" s="15" t="s">
        <v>14</v>
      </c>
      <c r="P37" s="30">
        <f t="shared" si="29"/>
        <v>6.9526040900000002E-2</v>
      </c>
      <c r="Q37" s="80">
        <f t="shared" si="30"/>
        <v>14.383100016270307</v>
      </c>
      <c r="R37" s="14">
        <f t="shared" si="14"/>
        <v>162</v>
      </c>
      <c r="S37" s="14">
        <v>360</v>
      </c>
      <c r="T37" s="29">
        <f t="shared" si="15"/>
        <v>6.9526040900000002E-2</v>
      </c>
      <c r="U37">
        <f>Q37/$Q$38</f>
        <v>0.51953539756353373</v>
      </c>
      <c r="W37" s="82">
        <f t="shared" si="16"/>
        <v>1.9247966638841207</v>
      </c>
    </row>
    <row r="38" spans="1:23" ht="17.25" x14ac:dyDescent="0.25">
      <c r="A38" s="22" t="s">
        <v>5</v>
      </c>
      <c r="B38" s="28" t="s">
        <v>70</v>
      </c>
      <c r="C38" s="2">
        <f>$O$6</f>
        <v>90</v>
      </c>
      <c r="D38" s="3">
        <f t="shared" si="0"/>
        <v>1.1352463010845835</v>
      </c>
      <c r="E38" s="78">
        <f t="shared" si="33"/>
        <v>1.1352463010845835</v>
      </c>
      <c r="F38" s="23">
        <f t="shared" si="34"/>
        <v>92</v>
      </c>
      <c r="G38" s="25">
        <f>VLOOKUP(B38,'Refinitiv-MktData'!$A:$F,6,FALSE)</f>
        <v>26.84</v>
      </c>
      <c r="H38" s="26">
        <v>10000</v>
      </c>
      <c r="I38" s="99">
        <f>VLOOKUP(B38,'Refinitiv-MktData'!$A:$F,3,FALSE)</f>
        <v>44636</v>
      </c>
      <c r="J38" s="20">
        <f>(LineInterpo($F$35:$G$41,C38))/H38</f>
        <v>2.6370714285714287E-3</v>
      </c>
      <c r="K38" s="71">
        <f t="shared" si="32"/>
        <v>-6.8076990139154248E-3</v>
      </c>
      <c r="L38" s="73"/>
      <c r="O38" s="15" t="s">
        <v>0</v>
      </c>
      <c r="P38" s="30">
        <f t="shared" si="29"/>
        <v>3.6121239300000003E-2</v>
      </c>
      <c r="Q38" s="80">
        <f>1/P38</f>
        <v>27.68454292762873</v>
      </c>
      <c r="R38" s="14">
        <f t="shared" si="14"/>
        <v>2</v>
      </c>
      <c r="S38" s="14">
        <v>365</v>
      </c>
      <c r="T38" s="29">
        <f t="shared" si="15"/>
        <v>3.6121239300000003E-2</v>
      </c>
      <c r="U38">
        <f>Q38/$Q$38</f>
        <v>1</v>
      </c>
      <c r="W38" s="82">
        <f t="shared" si="16"/>
        <v>1</v>
      </c>
    </row>
    <row r="39" spans="1:23" ht="17.25" x14ac:dyDescent="0.25">
      <c r="A39" s="22" t="s">
        <v>5</v>
      </c>
      <c r="B39" s="28" t="s">
        <v>71</v>
      </c>
      <c r="C39" s="2">
        <f>$O$7</f>
        <v>180</v>
      </c>
      <c r="D39" s="3">
        <f t="shared" si="0"/>
        <v>1.1377027079168816</v>
      </c>
      <c r="E39" s="78">
        <f t="shared" si="33"/>
        <v>1.1377027079168816</v>
      </c>
      <c r="F39" s="23">
        <f t="shared" si="34"/>
        <v>184</v>
      </c>
      <c r="G39" s="25">
        <f>VLOOKUP(B39,'Refinitiv-MktData'!$A:$F,6,FALSE)</f>
        <v>52.03</v>
      </c>
      <c r="H39" s="26">
        <v>10000</v>
      </c>
      <c r="I39" s="99">
        <f>VLOOKUP(B39,'Refinitiv-MktData'!$A:$F,3,FALSE)</f>
        <v>44728</v>
      </c>
      <c r="J39" s="20">
        <f>(LineInterpo($F$35:$G$41,C39))/H39</f>
        <v>5.0934782608695658E-3</v>
      </c>
      <c r="K39" s="71">
        <f t="shared" si="32"/>
        <v>-5.2853087041544455E-3</v>
      </c>
      <c r="L39" s="73"/>
      <c r="O39" s="15" t="s">
        <v>160</v>
      </c>
      <c r="P39" s="30">
        <f t="shared" si="29"/>
        <v>6.4240227600000005E-2</v>
      </c>
      <c r="Q39" s="80">
        <f t="shared" si="30"/>
        <v>15.566570003870906</v>
      </c>
      <c r="R39" s="14">
        <f t="shared" si="14"/>
        <v>90</v>
      </c>
      <c r="S39" s="14">
        <v>365</v>
      </c>
      <c r="T39" s="29">
        <f t="shared" si="15"/>
        <v>6.4240227600000005E-2</v>
      </c>
      <c r="U39">
        <f t="shared" si="31"/>
        <v>0.562283800190023</v>
      </c>
      <c r="W39" s="82">
        <f t="shared" si="16"/>
        <v>1.7784613386728401</v>
      </c>
    </row>
    <row r="40" spans="1:23" ht="17.25" x14ac:dyDescent="0.25">
      <c r="A40" s="22" t="s">
        <v>5</v>
      </c>
      <c r="B40" s="28" t="s">
        <v>72</v>
      </c>
      <c r="C40" s="2">
        <v>270</v>
      </c>
      <c r="D40" s="3">
        <f t="shared" si="0"/>
        <v>1.1407053818299251</v>
      </c>
      <c r="E40" s="78">
        <f t="shared" si="33"/>
        <v>1.1407053818299251</v>
      </c>
      <c r="F40" s="23">
        <f t="shared" si="34"/>
        <v>276</v>
      </c>
      <c r="G40" s="25">
        <f>VLOOKUP(B40,'Refinitiv-MktData'!$A:$F,6,FALSE)</f>
        <v>82.98</v>
      </c>
      <c r="H40" s="26">
        <v>10000</v>
      </c>
      <c r="I40" s="99">
        <f>VLOOKUP(B40,'Refinitiv-MktData'!$A:$F,3,FALSE)</f>
        <v>44820</v>
      </c>
      <c r="J40" s="20">
        <f>(LineInterpo($F$35:$G$41,C40))/H40</f>
        <v>8.0961521739130425E-3</v>
      </c>
      <c r="K40" s="71">
        <f t="shared" si="32"/>
        <v>-4.7721189660741752E-3</v>
      </c>
      <c r="L40" s="73"/>
      <c r="O40" s="15" t="s">
        <v>270</v>
      </c>
      <c r="P40" s="30">
        <f t="shared" si="29"/>
        <v>0.24659696189999999</v>
      </c>
      <c r="Q40" s="80">
        <f t="shared" si="30"/>
        <v>4.0552000004181723</v>
      </c>
      <c r="R40" s="14">
        <f t="shared" si="14"/>
        <v>186</v>
      </c>
      <c r="S40" s="14">
        <v>360</v>
      </c>
      <c r="T40" s="29">
        <f t="shared" si="15"/>
        <v>0.24659696189999999</v>
      </c>
      <c r="U40">
        <f>Q40/$Q$38</f>
        <v>0.14647884962446492</v>
      </c>
      <c r="W40" s="82">
        <f t="shared" si="16"/>
        <v>6.8269241775433764</v>
      </c>
    </row>
    <row r="41" spans="1:23" ht="17.25" x14ac:dyDescent="0.25">
      <c r="A41" s="22" t="s">
        <v>5</v>
      </c>
      <c r="B41" s="28" t="s">
        <v>73</v>
      </c>
      <c r="C41" s="2">
        <f>$O$9</f>
        <v>365</v>
      </c>
      <c r="D41" s="3">
        <f t="shared" si="0"/>
        <v>1.1443616032823856</v>
      </c>
      <c r="E41" s="78">
        <f t="shared" si="33"/>
        <v>1.1443616032823856</v>
      </c>
      <c r="F41" s="23">
        <f t="shared" si="34"/>
        <v>367</v>
      </c>
      <c r="G41" s="25">
        <f>VLOOKUP(B41,'Refinitiv-MktData'!$A:$F,6,FALSE)</f>
        <v>118.3</v>
      </c>
      <c r="H41" s="26">
        <v>10000</v>
      </c>
      <c r="I41" s="99">
        <f>VLOOKUP(B41,'Refinitiv-MktData'!$A:$F,3,FALSE)</f>
        <v>44911</v>
      </c>
      <c r="J41" s="20">
        <f>(LineInterpo($F$35:$G$41,C41))/H41</f>
        <v>1.1752373626373627E-2</v>
      </c>
      <c r="K41" s="71">
        <f t="shared" si="32"/>
        <v>-4.9142396343718189E-3</v>
      </c>
      <c r="L41" s="73"/>
      <c r="O41" s="15" t="s">
        <v>279</v>
      </c>
      <c r="P41" s="30">
        <f t="shared" si="29"/>
        <v>0.17785980840000001</v>
      </c>
      <c r="Q41" s="80">
        <f t="shared" si="30"/>
        <v>5.6224056969129173</v>
      </c>
      <c r="R41" s="14">
        <f t="shared" si="14"/>
        <v>194</v>
      </c>
      <c r="S41" s="14">
        <v>360</v>
      </c>
      <c r="T41" s="29">
        <f t="shared" si="15"/>
        <v>0.17785980840000001</v>
      </c>
      <c r="U41">
        <f>Q41/$Q$38</f>
        <v>0.20308826161987478</v>
      </c>
      <c r="W41" s="82">
        <f t="shared" si="16"/>
        <v>4.9239675007496215</v>
      </c>
    </row>
    <row r="42" spans="1:23" ht="17.25" x14ac:dyDescent="0.25">
      <c r="A42" s="22" t="s">
        <v>16</v>
      </c>
      <c r="B42" s="28" t="str">
        <f>A42&amp;"="</f>
        <v>SGD=</v>
      </c>
      <c r="C42" s="2" t="s">
        <v>157</v>
      </c>
      <c r="D42" s="3">
        <f t="shared" si="0"/>
        <v>1.354227999579857</v>
      </c>
      <c r="E42" s="77">
        <f>VLOOKUP(A42,FXRate!B:E,4,FALSE)</f>
        <v>1.354227999579857</v>
      </c>
      <c r="F42" s="23">
        <f>VLOOKUP(B42,'Refinitiv-MktData'!$A:$F,3,FALSE)-$B$1</f>
        <v>2</v>
      </c>
      <c r="G42" s="24">
        <v>0</v>
      </c>
      <c r="H42" s="26"/>
      <c r="K42" s="75"/>
      <c r="L42" s="72"/>
      <c r="O42" s="15" t="s">
        <v>280</v>
      </c>
      <c r="P42" s="30">
        <f>ROUNDDOWN(1/VLOOKUP(O42,$A$2:$D$299,4,FALSE),10)</f>
        <v>2.4962550000000002E-4</v>
      </c>
      <c r="Q42" s="80">
        <f t="shared" si="30"/>
        <v>4006.0009894822442</v>
      </c>
      <c r="R42" s="14">
        <f t="shared" si="14"/>
        <v>202</v>
      </c>
      <c r="S42" s="14">
        <v>360</v>
      </c>
      <c r="T42" s="29">
        <f t="shared" si="15"/>
        <v>2.4962550000000002E-4</v>
      </c>
      <c r="U42">
        <f>Q42/$Q$38</f>
        <v>144.70172037712493</v>
      </c>
      <c r="W42" s="82">
        <f t="shared" si="16"/>
        <v>6.9107678705807862E-3</v>
      </c>
    </row>
    <row r="43" spans="1:23" ht="17.25" x14ac:dyDescent="0.25">
      <c r="A43" s="22" t="s">
        <v>16</v>
      </c>
      <c r="B43" s="28" t="s">
        <v>121</v>
      </c>
      <c r="C43" s="2">
        <f>$O$3</f>
        <v>7</v>
      </c>
      <c r="D43" s="3">
        <f t="shared" si="0"/>
        <v>1.3542864611183185</v>
      </c>
      <c r="E43" s="78">
        <f t="shared" ref="E43:E49" si="35">$D$42+(LineInterpo($F$43:$G$49,C43)/H43)</f>
        <v>1.3542864611183185</v>
      </c>
      <c r="F43" s="23">
        <f>I43-$I$2</f>
        <v>9</v>
      </c>
      <c r="G43" s="25">
        <f>VLOOKUP(B43,'Refinitiv-MktData'!$A:$F,6,FALSE)</f>
        <v>0.75</v>
      </c>
      <c r="H43" s="26">
        <v>10000</v>
      </c>
      <c r="I43" s="99">
        <f>VLOOKUP(B43,'Refinitiv-MktData'!$A:$F,3,FALSE)</f>
        <v>44553</v>
      </c>
      <c r="J43" s="20">
        <f>(LineInterpo(F42:G49,C43))/H43</f>
        <v>5.3571428571428569E-5</v>
      </c>
      <c r="K43" s="71">
        <f t="shared" ref="K43:K49" si="36">((1+J43/$E$42)*(1+P3*O3/360)-1)*365/O3</f>
        <v>3.0269559602997503E-3</v>
      </c>
      <c r="L43" s="73"/>
      <c r="O43" s="15" t="s">
        <v>296</v>
      </c>
      <c r="P43" s="30">
        <f>ROUNDDOWN(1/VLOOKUP(O43,$A$2:$D$2000,4,FALSE),10)</f>
        <v>1.1858878999999999E-3</v>
      </c>
      <c r="Q43" s="80">
        <f t="shared" si="30"/>
        <v>843.25002388505698</v>
      </c>
      <c r="R43" s="14">
        <f>MATCH(O43,$A:$A,0)</f>
        <v>210</v>
      </c>
      <c r="S43" s="14">
        <v>360</v>
      </c>
      <c r="T43" s="29">
        <f>P43</f>
        <v>1.1858878999999999E-3</v>
      </c>
      <c r="U43">
        <f>Q43/$Q$38</f>
        <v>30.45923590248286</v>
      </c>
      <c r="W43" s="82">
        <f t="shared" si="16"/>
        <v>3.2830764474905481E-2</v>
      </c>
    </row>
    <row r="44" spans="1:23" ht="17.25" x14ac:dyDescent="0.25">
      <c r="A44" s="22" t="s">
        <v>16</v>
      </c>
      <c r="B44" s="28" t="s">
        <v>122</v>
      </c>
      <c r="C44" s="2">
        <f>$O$4</f>
        <v>30</v>
      </c>
      <c r="D44" s="3">
        <f t="shared" si="0"/>
        <v>1.3544766534260109</v>
      </c>
      <c r="E44" s="78">
        <f t="shared" si="35"/>
        <v>1.3544766534260109</v>
      </c>
      <c r="F44" s="23">
        <f t="shared" ref="F44:F49" si="37">I44-$I$2</f>
        <v>35</v>
      </c>
      <c r="G44" s="25">
        <f>VLOOKUP(B44,'Refinitiv-MktData'!$A:$F,6,FALSE)</f>
        <v>2.9</v>
      </c>
      <c r="H44" s="26">
        <v>10000</v>
      </c>
      <c r="I44" s="99">
        <f>VLOOKUP(B44,'Refinitiv-MktData'!$A:$F,3,FALSE)</f>
        <v>44579</v>
      </c>
      <c r="J44" s="20">
        <f t="shared" ref="J44:J49" si="38">(LineInterpo($F$43:$G$49,C44))/H44</f>
        <v>2.4865384615384615E-4</v>
      </c>
      <c r="K44" s="71">
        <f t="shared" si="36"/>
        <v>4.4528729103420943E-3</v>
      </c>
      <c r="L44" s="73"/>
      <c r="O44" s="8"/>
    </row>
    <row r="45" spans="1:23" ht="17.25" x14ac:dyDescent="0.25">
      <c r="A45" s="22" t="s">
        <v>16</v>
      </c>
      <c r="B45" s="28" t="s">
        <v>123</v>
      </c>
      <c r="C45" s="2">
        <f>$O$5</f>
        <v>60</v>
      </c>
      <c r="D45" s="3">
        <f t="shared" si="0"/>
        <v>1.3547119650970982</v>
      </c>
      <c r="E45" s="78">
        <f t="shared" si="35"/>
        <v>1.3547119650970982</v>
      </c>
      <c r="F45" s="23">
        <f t="shared" si="37"/>
        <v>64</v>
      </c>
      <c r="G45" s="25">
        <f>VLOOKUP(B45,'Refinitiv-MktData'!$A:$F,6,FALSE)</f>
        <v>5.15</v>
      </c>
      <c r="H45" s="26">
        <v>10000</v>
      </c>
      <c r="I45" s="99">
        <f>VLOOKUP(B45,'Refinitiv-MktData'!$A:$F,3,FALSE)</f>
        <v>44608</v>
      </c>
      <c r="J45" s="20">
        <f t="shared" si="38"/>
        <v>4.8396551724137933E-4</v>
      </c>
      <c r="K45" s="71">
        <f t="shared" si="36"/>
        <v>4.7515954920451797E-3</v>
      </c>
      <c r="L45" s="73"/>
      <c r="O45" s="19" t="s">
        <v>229</v>
      </c>
      <c r="P45" s="19" t="s">
        <v>202</v>
      </c>
    </row>
    <row r="46" spans="1:23" ht="17.25" x14ac:dyDescent="0.25">
      <c r="A46" s="22" t="s">
        <v>16</v>
      </c>
      <c r="B46" s="28" t="s">
        <v>124</v>
      </c>
      <c r="C46" s="2">
        <f>$O$6</f>
        <v>90</v>
      </c>
      <c r="D46" s="3">
        <f t="shared" si="0"/>
        <v>1.3548776424369997</v>
      </c>
      <c r="E46" s="78">
        <f t="shared" si="35"/>
        <v>1.3548776424369997</v>
      </c>
      <c r="F46" s="23">
        <f t="shared" si="37"/>
        <v>92</v>
      </c>
      <c r="G46" s="25">
        <f>VLOOKUP(B46,'Refinitiv-MktData'!$A:$F,6,FALSE)</f>
        <v>6.6</v>
      </c>
      <c r="H46" s="26">
        <v>10000</v>
      </c>
      <c r="I46" s="99">
        <f>VLOOKUP(B46,'Refinitiv-MktData'!$A:$F,3,FALSE)</f>
        <v>44636</v>
      </c>
      <c r="J46" s="20">
        <f t="shared" si="38"/>
        <v>6.496428571428571E-4</v>
      </c>
      <c r="K46" s="71">
        <f t="shared" si="36"/>
        <v>4.4710110465820841E-3</v>
      </c>
      <c r="L46" s="73"/>
      <c r="O46" s="19" t="s">
        <v>201</v>
      </c>
      <c r="P46" s="19" t="s">
        <v>203</v>
      </c>
    </row>
    <row r="47" spans="1:23" ht="17.25" x14ac:dyDescent="0.25">
      <c r="A47" s="22" t="s">
        <v>16</v>
      </c>
      <c r="B47" s="28" t="s">
        <v>125</v>
      </c>
      <c r="C47" s="2">
        <f>$O$7</f>
        <v>180</v>
      </c>
      <c r="D47" s="3">
        <f t="shared" si="0"/>
        <v>1.3552313908842049</v>
      </c>
      <c r="E47" s="78">
        <f t="shared" si="35"/>
        <v>1.3552313908842049</v>
      </c>
      <c r="F47" s="23">
        <f t="shared" si="37"/>
        <v>184</v>
      </c>
      <c r="G47" s="25">
        <f>VLOOKUP(B47,'Refinitiv-MktData'!$A:$F,6,FALSE)</f>
        <v>10.190000000000001</v>
      </c>
      <c r="H47" s="26">
        <v>10000</v>
      </c>
      <c r="I47" s="99">
        <f>VLOOKUP(B47,'Refinitiv-MktData'!$A:$F,3,FALSE)</f>
        <v>44728</v>
      </c>
      <c r="J47" s="20">
        <f t="shared" si="38"/>
        <v>1.0033913043478262E-3</v>
      </c>
      <c r="K47" s="71">
        <f t="shared" si="36"/>
        <v>5.2415575046143702E-3</v>
      </c>
      <c r="L47" s="73"/>
      <c r="O47" s="8"/>
    </row>
    <row r="48" spans="1:23" ht="17.25" x14ac:dyDescent="0.25">
      <c r="A48" s="22" t="s">
        <v>16</v>
      </c>
      <c r="B48" s="28" t="s">
        <v>126</v>
      </c>
      <c r="C48" s="2">
        <v>270</v>
      </c>
      <c r="D48" s="3">
        <f t="shared" si="0"/>
        <v>1.3552750430581177</v>
      </c>
      <c r="E48" s="78">
        <f t="shared" si="35"/>
        <v>1.3552750430581177</v>
      </c>
      <c r="F48" s="23">
        <f t="shared" si="37"/>
        <v>276</v>
      </c>
      <c r="G48" s="25">
        <f>VLOOKUP(B48,'Refinitiv-MktData'!$A:$F,6,FALSE)</f>
        <v>10.49</v>
      </c>
      <c r="H48" s="26">
        <v>10000</v>
      </c>
      <c r="I48" s="99">
        <f>VLOOKUP(B48,'Refinitiv-MktData'!$A:$F,3,FALSE)</f>
        <v>44820</v>
      </c>
      <c r="J48" s="20">
        <f t="shared" si="38"/>
        <v>1.0470434782608696E-3</v>
      </c>
      <c r="K48" s="71">
        <f t="shared" si="36"/>
        <v>5.8392747223318187E-3</v>
      </c>
      <c r="L48" s="73"/>
      <c r="O48" s="8"/>
    </row>
    <row r="49" spans="1:16" ht="17.25" x14ac:dyDescent="0.25">
      <c r="A49" s="22" t="s">
        <v>16</v>
      </c>
      <c r="B49" s="28" t="s">
        <v>127</v>
      </c>
      <c r="C49" s="2">
        <f>$O$9</f>
        <v>365</v>
      </c>
      <c r="D49" s="3">
        <f t="shared" si="0"/>
        <v>1.355276999579857</v>
      </c>
      <c r="E49" s="78">
        <f t="shared" si="35"/>
        <v>1.355276999579857</v>
      </c>
      <c r="F49" s="23">
        <f t="shared" si="37"/>
        <v>367</v>
      </c>
      <c r="G49" s="25">
        <f>VLOOKUP(B49,'Refinitiv-MktData'!$A:$F,6,FALSE)</f>
        <v>10.49</v>
      </c>
      <c r="H49" s="26">
        <v>10000</v>
      </c>
      <c r="I49" s="99">
        <f>VLOOKUP(B49,'Refinitiv-MktData'!$A:$F,3,FALSE)</f>
        <v>44911</v>
      </c>
      <c r="J49" s="20">
        <f t="shared" si="38"/>
        <v>1.049E-3</v>
      </c>
      <c r="K49" s="71">
        <f t="shared" si="36"/>
        <v>6.1209270761635182E-3</v>
      </c>
      <c r="L49" s="73"/>
      <c r="O49" s="8"/>
    </row>
    <row r="50" spans="1:16" ht="17.25" x14ac:dyDescent="0.25">
      <c r="A50" s="22" t="s">
        <v>15</v>
      </c>
      <c r="B50" s="28" t="str">
        <f>A50&amp;"="</f>
        <v>GBP=</v>
      </c>
      <c r="C50" s="2" t="s">
        <v>157</v>
      </c>
      <c r="D50" s="3">
        <f t="shared" si="0"/>
        <v>1.3439017497060415</v>
      </c>
      <c r="E50" s="77">
        <f>VLOOKUP(A50,FXRate!B:E,4,FALSE)</f>
        <v>1.3439017497060415</v>
      </c>
      <c r="F50" s="23">
        <f>VLOOKUP(B50,'Refinitiv-MktData'!$A:$F,3,FALSE)-$B$1</f>
        <v>2</v>
      </c>
      <c r="G50" s="24">
        <v>0</v>
      </c>
      <c r="H50" s="26"/>
      <c r="K50" s="75"/>
      <c r="L50" s="74"/>
    </row>
    <row r="51" spans="1:16" ht="17.25" x14ac:dyDescent="0.25">
      <c r="A51" s="22" t="s">
        <v>15</v>
      </c>
      <c r="B51" s="28" t="s">
        <v>74</v>
      </c>
      <c r="C51" s="2">
        <f>$O$3</f>
        <v>7</v>
      </c>
      <c r="D51" s="3">
        <f t="shared" si="0"/>
        <v>1.3438556727829645</v>
      </c>
      <c r="E51" s="78">
        <f>$D$50+(LineInterpo($F$51:$G$57,C51)/H51)</f>
        <v>1.3438556727829645</v>
      </c>
      <c r="F51" s="23">
        <f>I51-$I$2</f>
        <v>9</v>
      </c>
      <c r="G51" s="25">
        <f>VLOOKUP(B51,'Refinitiv-MktData'!$A:$F,6,FALSE)</f>
        <v>0.09</v>
      </c>
      <c r="H51" s="26">
        <v>10000</v>
      </c>
      <c r="I51" s="99">
        <f>VLOOKUP(B51,'Refinitiv-MktData'!$A:$F,3,FALSE)</f>
        <v>44553</v>
      </c>
      <c r="J51" s="20">
        <f>(LineInterpo(F50:G57,C51))/H51</f>
        <v>6.4285714285714278E-6</v>
      </c>
      <c r="K51" s="71">
        <f t="shared" ref="K51:K57" si="39">($E$50/($E$50+J51)*(1+P3*O3/360)-1)*365/O3</f>
        <v>7.1478744072983602E-4</v>
      </c>
      <c r="L51" s="73"/>
      <c r="P51" s="10"/>
    </row>
    <row r="52" spans="1:16" ht="17.25" x14ac:dyDescent="0.25">
      <c r="A52" s="22" t="s">
        <v>15</v>
      </c>
      <c r="B52" s="28" t="s">
        <v>75</v>
      </c>
      <c r="C52" s="2">
        <f>$O$4</f>
        <v>30</v>
      </c>
      <c r="D52" s="3">
        <f t="shared" si="0"/>
        <v>1.3444890573983492</v>
      </c>
      <c r="E52" s="78">
        <f>$D$50+(LineInterpo($F$51:$G$57,C52)/H52)</f>
        <v>1.3444890573983492</v>
      </c>
      <c r="F52" s="23">
        <f t="shared" ref="F52:F57" si="40">I52-$I$2</f>
        <v>35</v>
      </c>
      <c r="G52" s="25">
        <f>VLOOKUP(B52,'Refinitiv-MktData'!$A:$F,6,FALSE)</f>
        <v>7.25</v>
      </c>
      <c r="H52" s="26">
        <v>10000</v>
      </c>
      <c r="I52" s="99">
        <f>VLOOKUP(B52,'Refinitiv-MktData'!$A:$F,3,FALSE)</f>
        <v>44579</v>
      </c>
      <c r="J52" s="20">
        <f>(LineInterpo($F$51:$G$57,C52))/H52</f>
        <v>5.8730769230769231E-4</v>
      </c>
      <c r="K52" s="71">
        <f t="shared" si="39"/>
        <v>-3.0971770963290992E-3</v>
      </c>
      <c r="L52" s="73"/>
      <c r="P52" s="10"/>
    </row>
    <row r="53" spans="1:16" ht="17.25" x14ac:dyDescent="0.25">
      <c r="A53" s="22" t="s">
        <v>15</v>
      </c>
      <c r="B53" s="28" t="s">
        <v>76</v>
      </c>
      <c r="C53" s="2">
        <f>$O$5</f>
        <v>60</v>
      </c>
      <c r="D53" s="3">
        <f>E53</f>
        <v>1.3446060600508691</v>
      </c>
      <c r="E53" s="78">
        <f>$D$50+(LineInterpo($F$51:$G$57,C53)/H53)</f>
        <v>1.3446060600508691</v>
      </c>
      <c r="F53" s="23">
        <f t="shared" si="40"/>
        <v>64</v>
      </c>
      <c r="G53" s="25">
        <f>VLOOKUP(B53,'Refinitiv-MktData'!$A:$F,6,FALSE)</f>
        <v>7.01</v>
      </c>
      <c r="H53" s="26">
        <v>10000</v>
      </c>
      <c r="I53" s="99">
        <f>VLOOKUP(B53,'Refinitiv-MktData'!$A:$F,3,FALSE)</f>
        <v>44608</v>
      </c>
      <c r="J53" s="20">
        <f>(LineInterpo($F$51:$G$57,C53))/H53</f>
        <v>7.0431034482758617E-4</v>
      </c>
      <c r="K53" s="71">
        <f t="shared" si="39"/>
        <v>-6.1117429176243043E-4</v>
      </c>
      <c r="L53" s="73"/>
      <c r="P53" s="10"/>
    </row>
    <row r="54" spans="1:16" ht="17.25" x14ac:dyDescent="0.25">
      <c r="A54" s="22" t="s">
        <v>15</v>
      </c>
      <c r="B54" s="28" t="s">
        <v>77</v>
      </c>
      <c r="C54" s="2">
        <f>$O$6</f>
        <v>90</v>
      </c>
      <c r="D54" s="3">
        <f t="shared" si="0"/>
        <v>1.34447692827747</v>
      </c>
      <c r="E54" s="78">
        <f>$D$50+(LineInterpo($F$51:$G$57,C54)/H54)</f>
        <v>1.34447692827747</v>
      </c>
      <c r="F54" s="23">
        <f t="shared" si="40"/>
        <v>92</v>
      </c>
      <c r="G54" s="25">
        <f>VLOOKUP(B54,'Refinitiv-MktData'!$A:$F,6,FALSE)</f>
        <v>5.6549999999999994</v>
      </c>
      <c r="H54" s="26">
        <v>10000</v>
      </c>
      <c r="I54" s="99">
        <f>VLOOKUP(B54,'Refinitiv-MktData'!$A:$F,3,FALSE)</f>
        <v>44636</v>
      </c>
      <c r="J54" s="20">
        <f>(LineInterpo($F$51:$G$57,C54))/H54</f>
        <v>5.7517857142857143E-4</v>
      </c>
      <c r="K54" s="71">
        <f t="shared" si="39"/>
        <v>7.88210362923499E-4</v>
      </c>
      <c r="L54" s="73"/>
      <c r="P54" s="10"/>
    </row>
    <row r="55" spans="1:16" ht="17.25" x14ac:dyDescent="0.25">
      <c r="A55" s="22" t="s">
        <v>15</v>
      </c>
      <c r="B55" s="28" t="s">
        <v>78</v>
      </c>
      <c r="C55" s="2">
        <f>$O$7</f>
        <v>180</v>
      </c>
      <c r="D55" s="3">
        <f t="shared" si="0"/>
        <v>1.3439014670973459</v>
      </c>
      <c r="E55" s="78">
        <f>$D$50+(LineInterpo($F$51:$G$57,C55)/H55)</f>
        <v>1.3439014670973459</v>
      </c>
      <c r="F55" s="23">
        <f t="shared" si="40"/>
        <v>184</v>
      </c>
      <c r="G55" s="25">
        <f>VLOOKUP(B55,'Refinitiv-MktData'!$A:$F,6,FALSE)</f>
        <v>-0.25999999999999995</v>
      </c>
      <c r="H55" s="26">
        <v>10000</v>
      </c>
      <c r="I55" s="99">
        <f>VLOOKUP(B55,'Refinitiv-MktData'!$A:$F,3,FALSE)</f>
        <v>44728</v>
      </c>
      <c r="J55" s="20">
        <f>(LineInterpo($F$51:$G$57,C55))/H55</f>
        <v>-2.8260869565217227E-7</v>
      </c>
      <c r="K55" s="71">
        <f t="shared" si="39"/>
        <v>3.7367702243481021E-3</v>
      </c>
      <c r="L55" s="73"/>
      <c r="P55" s="10"/>
    </row>
    <row r="56" spans="1:16" ht="17.25" x14ac:dyDescent="0.25">
      <c r="A56" s="22" t="s">
        <v>15</v>
      </c>
      <c r="B56" s="28" t="s">
        <v>79</v>
      </c>
      <c r="C56" s="2">
        <v>270</v>
      </c>
      <c r="D56" s="3">
        <f t="shared" si="0"/>
        <v>1.3428974997060414</v>
      </c>
      <c r="E56" s="78">
        <f t="shared" ref="E56" si="41">$D$50+(LineInterpo($F$51:$G$57,C56)/H56)</f>
        <v>1.3428974997060414</v>
      </c>
      <c r="F56" s="23">
        <f t="shared" si="40"/>
        <v>276</v>
      </c>
      <c r="G56" s="25">
        <f>VLOOKUP(B56,'Refinitiv-MktData'!$A:$F,6,FALSE)</f>
        <v>-10.725000000000001</v>
      </c>
      <c r="H56" s="26">
        <v>10000</v>
      </c>
      <c r="I56" s="99">
        <f>VLOOKUP(B56,'Refinitiv-MktData'!$A:$F,3,FALSE)</f>
        <v>44820</v>
      </c>
      <c r="J56" s="20">
        <f t="shared" ref="J56" si="42">(LineInterpo($F$51:$G$57,C56))/H56</f>
        <v>-1.0042500000000002E-3</v>
      </c>
      <c r="K56" s="71">
        <f t="shared" si="39"/>
        <v>5.8048932719233625E-3</v>
      </c>
      <c r="L56" s="73"/>
      <c r="P56" s="10"/>
    </row>
    <row r="57" spans="1:16" ht="17.25" x14ac:dyDescent="0.25">
      <c r="A57" s="22" t="s">
        <v>15</v>
      </c>
      <c r="B57" s="28" t="s">
        <v>80</v>
      </c>
      <c r="C57" s="2">
        <f>$O$9</f>
        <v>365</v>
      </c>
      <c r="D57" s="3">
        <f t="shared" si="0"/>
        <v>1.3418830134423052</v>
      </c>
      <c r="E57" s="78">
        <f>$D$50+(LineInterpo($F$51:$G$57,C57)/H57)</f>
        <v>1.3418830134423052</v>
      </c>
      <c r="F57" s="23">
        <f t="shared" si="40"/>
        <v>367</v>
      </c>
      <c r="G57" s="25">
        <f>VLOOKUP(B57,'Refinitiv-MktData'!$A:$F,6,FALSE)</f>
        <v>-20.400000000000002</v>
      </c>
      <c r="H57" s="26">
        <v>10000</v>
      </c>
      <c r="I57" s="99">
        <f>VLOOKUP(B57,'Refinitiv-MktData'!$A:$F,3,FALSE)</f>
        <v>44911</v>
      </c>
      <c r="J57" s="20">
        <f>(LineInterpo($F$51:$G$57,C57))/H57</f>
        <v>-2.0187362637362639E-3</v>
      </c>
      <c r="K57" s="71">
        <f t="shared" si="39"/>
        <v>6.8546202560770828E-3</v>
      </c>
      <c r="L57" s="73"/>
      <c r="P57" s="10"/>
    </row>
    <row r="58" spans="1:16" ht="17.25" x14ac:dyDescent="0.25">
      <c r="A58" s="22" t="s">
        <v>7</v>
      </c>
      <c r="B58" s="28" t="str">
        <f>A58&amp;"="</f>
        <v>CAD=</v>
      </c>
      <c r="C58" s="2" t="s">
        <v>157</v>
      </c>
      <c r="D58" s="3">
        <f t="shared" si="0"/>
        <v>1.2796064982309348</v>
      </c>
      <c r="E58" s="77">
        <f>VLOOKUP(A58,FXRate!B:E,4,FALSE)</f>
        <v>1.2796064982309348</v>
      </c>
      <c r="F58" s="23">
        <f>VLOOKUP(B58,'Refinitiv-MktData'!$A:$F,3,FALSE)-$B$1</f>
        <v>1</v>
      </c>
      <c r="G58" s="24">
        <v>0</v>
      </c>
      <c r="H58" s="26"/>
      <c r="K58" s="75"/>
      <c r="L58" s="72"/>
      <c r="P58" s="10"/>
    </row>
    <row r="59" spans="1:16" ht="17.25" x14ac:dyDescent="0.25">
      <c r="A59" s="22" t="s">
        <v>7</v>
      </c>
      <c r="B59" s="28" t="s">
        <v>41</v>
      </c>
      <c r="C59" s="2">
        <f>$O$3</f>
        <v>7</v>
      </c>
      <c r="D59" s="3">
        <f t="shared" si="0"/>
        <v>1.2796471648976013</v>
      </c>
      <c r="E59" s="78">
        <f>$D$58+(LineInterpo($F$59:$G$65,C59)/H59)</f>
        <v>1.2796471648976013</v>
      </c>
      <c r="F59" s="23">
        <f>I59-$I$2</f>
        <v>8</v>
      </c>
      <c r="G59" s="25">
        <f>VLOOKUP(B59,'Refinitiv-MktData'!$A:$F,6,FALSE)</f>
        <v>0.24000000000000002</v>
      </c>
      <c r="H59" s="26">
        <v>10000</v>
      </c>
      <c r="I59" s="99">
        <f>VLOOKUP(B59,'Refinitiv-MktData'!$A:$F,3,FALSE)</f>
        <v>44552</v>
      </c>
      <c r="J59" s="20">
        <f>(LineInterpo(F58:G65,C59))/H59</f>
        <v>2.0571428571428573E-5</v>
      </c>
      <c r="K59" s="71">
        <f t="shared" ref="K59:K65" si="43">((1+J59/$E$58)*(1+P3*O3/360)-1)*360/O3</f>
        <v>1.7778085158186891E-3</v>
      </c>
      <c r="L59" s="73"/>
      <c r="P59" s="10"/>
    </row>
    <row r="60" spans="1:16" ht="17.25" x14ac:dyDescent="0.25">
      <c r="A60" s="22" t="s">
        <v>7</v>
      </c>
      <c r="B60" s="28" t="s">
        <v>42</v>
      </c>
      <c r="C60" s="2">
        <f>$O$4</f>
        <v>30</v>
      </c>
      <c r="D60" s="3">
        <f t="shared" si="0"/>
        <v>1.2792638315642682</v>
      </c>
      <c r="E60" s="78">
        <f>$D$58+(LineInterpo($F$59:$G$65,C60)/H60)</f>
        <v>1.2792638315642682</v>
      </c>
      <c r="F60" s="23">
        <f t="shared" ref="F60:F65" si="44">I60-$I$2</f>
        <v>35</v>
      </c>
      <c r="G60" s="25">
        <f>VLOOKUP(B60,'Refinitiv-MktData'!$A:$F,6,FALSE)</f>
        <v>-4.26</v>
      </c>
      <c r="H60" s="26">
        <v>10000</v>
      </c>
      <c r="I60" s="99">
        <f>VLOOKUP(B60,'Refinitiv-MktData'!$A:$F,3,FALSE)</f>
        <v>44579</v>
      </c>
      <c r="J60" s="20">
        <f t="shared" ref="J60" si="45">(LineInterpo($F$59:$G$65,C60))/H60</f>
        <v>-3.4266666666666663E-4</v>
      </c>
      <c r="K60" s="71">
        <f t="shared" si="43"/>
        <v>-1.0259568005501762E-3</v>
      </c>
      <c r="L60" s="73"/>
      <c r="P60" s="10"/>
    </row>
    <row r="61" spans="1:16" ht="17.25" x14ac:dyDescent="0.25">
      <c r="A61" s="22" t="s">
        <v>7</v>
      </c>
      <c r="B61" s="28" t="s">
        <v>43</v>
      </c>
      <c r="C61" s="2">
        <f>$O$5</f>
        <v>60</v>
      </c>
      <c r="D61" s="3">
        <f t="shared" si="0"/>
        <v>1.2792635339452205</v>
      </c>
      <c r="E61" s="78">
        <f>$D$58+(LineInterpo($F$59:$G$65,C61)/H61)</f>
        <v>1.2792635339452205</v>
      </c>
      <c r="F61" s="23">
        <f t="shared" si="44"/>
        <v>63</v>
      </c>
      <c r="G61" s="25">
        <f>VLOOKUP(B61,'Refinitiv-MktData'!$A:$F,6,FALSE)</f>
        <v>-3.33</v>
      </c>
      <c r="H61" s="26">
        <v>10000</v>
      </c>
      <c r="I61" s="99">
        <f>VLOOKUP(B61,'Refinitiv-MktData'!$A:$F,3,FALSE)</f>
        <v>44607</v>
      </c>
      <c r="J61" s="20">
        <f>(LineInterpo($F$59:$G$65,C61))/H61</f>
        <v>-3.4296428571428569E-4</v>
      </c>
      <c r="K61" s="71">
        <f t="shared" si="43"/>
        <v>9.3253391311343137E-4</v>
      </c>
      <c r="L61" s="73"/>
      <c r="P61" s="10"/>
    </row>
    <row r="62" spans="1:16" ht="17.25" x14ac:dyDescent="0.25">
      <c r="A62" s="22" t="s">
        <v>7</v>
      </c>
      <c r="B62" s="28" t="s">
        <v>44</v>
      </c>
      <c r="C62" s="2">
        <f>$O$6</f>
        <v>90</v>
      </c>
      <c r="D62" s="3">
        <f t="shared" si="0"/>
        <v>1.2793747482309348</v>
      </c>
      <c r="E62" s="78">
        <f>$D$58+(LineInterpo($F$59:$G$65,C62)/H62)</f>
        <v>1.2793747482309348</v>
      </c>
      <c r="F62" s="23">
        <f t="shared" si="44"/>
        <v>91</v>
      </c>
      <c r="G62" s="25">
        <f>VLOOKUP(B62,'Refinitiv-MktData'!$A:$F,6,FALSE)</f>
        <v>-2.2800000000000002</v>
      </c>
      <c r="H62" s="26">
        <v>10000</v>
      </c>
      <c r="I62" s="99">
        <f>VLOOKUP(B62,'Refinitiv-MktData'!$A:$F,3,FALSE)</f>
        <v>44635</v>
      </c>
      <c r="J62" s="20">
        <f>(LineInterpo($F$59:$G$65,C62))/H62</f>
        <v>-2.3175000000000002E-4</v>
      </c>
      <c r="K62" s="71">
        <f t="shared" si="43"/>
        <v>1.7648194501660441E-3</v>
      </c>
      <c r="L62" s="73"/>
      <c r="P62" s="10"/>
    </row>
    <row r="63" spans="1:16" ht="17.25" x14ac:dyDescent="0.25">
      <c r="A63" s="22" t="s">
        <v>7</v>
      </c>
      <c r="B63" s="28" t="s">
        <v>45</v>
      </c>
      <c r="C63" s="2">
        <f>$O$7</f>
        <v>180</v>
      </c>
      <c r="D63" s="3">
        <f t="shared" si="0"/>
        <v>1.2801891721439782</v>
      </c>
      <c r="E63" s="78">
        <f>$D$58+(LineInterpo($F$59:$G$65,C63)/H63)</f>
        <v>1.2801891721439782</v>
      </c>
      <c r="F63" s="23">
        <f t="shared" si="44"/>
        <v>183</v>
      </c>
      <c r="G63" s="25">
        <f>VLOOKUP(B63,'Refinitiv-MktData'!$A:$F,6,FALSE)</f>
        <v>6.1</v>
      </c>
      <c r="H63" s="26">
        <v>10000</v>
      </c>
      <c r="I63" s="99">
        <f>VLOOKUP(B63,'Refinitiv-MktData'!$A:$F,3,FALSE)</f>
        <v>44727</v>
      </c>
      <c r="J63" s="20">
        <f>(LineInterpo($F$59:$G$65,C63))/H63</f>
        <v>5.8267391304347819E-4</v>
      </c>
      <c r="K63" s="71">
        <f t="shared" si="43"/>
        <v>4.5975462510208231E-3</v>
      </c>
      <c r="L63" s="73"/>
      <c r="P63" s="10"/>
    </row>
    <row r="64" spans="1:16" ht="17.25" x14ac:dyDescent="0.25">
      <c r="A64" s="22" t="s">
        <v>7</v>
      </c>
      <c r="B64" s="28" t="s">
        <v>46</v>
      </c>
      <c r="C64" s="2">
        <v>270</v>
      </c>
      <c r="D64" s="3">
        <f t="shared" si="0"/>
        <v>1.2818066123613696</v>
      </c>
      <c r="E64" s="78">
        <f t="shared" ref="E64" si="46">$D$58+(LineInterpo($F$59:$G$65,C64)/H64)</f>
        <v>1.2818066123613696</v>
      </c>
      <c r="F64" s="23">
        <f t="shared" si="44"/>
        <v>275</v>
      </c>
      <c r="G64" s="25">
        <f>VLOOKUP(B64,'Refinitiv-MktData'!$A:$F,6,FALSE)</f>
        <v>22.914999999999999</v>
      </c>
      <c r="H64" s="26">
        <v>10000</v>
      </c>
      <c r="I64" s="99">
        <f>VLOOKUP(B64,'Refinitiv-MktData'!$A:$F,3,FALSE)</f>
        <v>44819</v>
      </c>
      <c r="J64" s="20">
        <f>(LineInterpo($F$59:$G$65,C64))/H64</f>
        <v>2.2001141304347827E-3</v>
      </c>
      <c r="K64" s="71">
        <f t="shared" si="43"/>
        <v>7.0253571076941412E-3</v>
      </c>
      <c r="L64" s="73"/>
      <c r="P64" s="10"/>
    </row>
    <row r="65" spans="1:23" ht="17.25" x14ac:dyDescent="0.25">
      <c r="A65" s="22" t="s">
        <v>7</v>
      </c>
      <c r="B65" s="28" t="s">
        <v>47</v>
      </c>
      <c r="C65" s="2">
        <f>$O$9</f>
        <v>365</v>
      </c>
      <c r="D65" s="3">
        <f t="shared" si="0"/>
        <v>1.2838844268023633</v>
      </c>
      <c r="E65" s="78">
        <f>$D$58+(LineInterpo($F$59:$G$65,C65)/H65)</f>
        <v>1.2838844268023633</v>
      </c>
      <c r="F65" s="23">
        <f t="shared" si="44"/>
        <v>366</v>
      </c>
      <c r="G65" s="25">
        <f>VLOOKUP(B65,'Refinitiv-MktData'!$A:$F,6,FALSE)</f>
        <v>43</v>
      </c>
      <c r="H65" s="26">
        <v>10000</v>
      </c>
      <c r="I65" s="99">
        <f>VLOOKUP(B65,'Refinitiv-MktData'!$A:$F,3,FALSE)</f>
        <v>44910</v>
      </c>
      <c r="J65" s="20">
        <f>(LineInterpo($F$59:$G$65,C65))/H65</f>
        <v>4.2779285714285714E-3</v>
      </c>
      <c r="K65" s="71">
        <f t="shared" si="43"/>
        <v>8.5839752316220503E-3</v>
      </c>
      <c r="L65" s="73"/>
      <c r="P65" s="10"/>
    </row>
    <row r="66" spans="1:23" ht="17.25" x14ac:dyDescent="0.25">
      <c r="A66" s="22" t="s">
        <v>19</v>
      </c>
      <c r="B66" s="28" t="str">
        <f>A66&amp;"="</f>
        <v>NZD=</v>
      </c>
      <c r="C66" s="2" t="s">
        <v>157</v>
      </c>
      <c r="D66" s="3">
        <f t="shared" si="0"/>
        <v>0.68083249936495605</v>
      </c>
      <c r="E66" s="77">
        <f>VLOOKUP(A66,FXRate!B:E,4,FALSE)</f>
        <v>0.68083249936495605</v>
      </c>
      <c r="F66" s="23">
        <f>VLOOKUP(B66,'Refinitiv-MktData'!$A:$F,3,FALSE)-$B$1</f>
        <v>2</v>
      </c>
      <c r="G66" s="24">
        <v>0</v>
      </c>
      <c r="H66" s="26"/>
      <c r="K66" s="75"/>
      <c r="L66" s="72"/>
      <c r="P66" s="10"/>
    </row>
    <row r="67" spans="1:23" ht="17.25" x14ac:dyDescent="0.25">
      <c r="A67" s="22" t="s">
        <v>19</v>
      </c>
      <c r="B67" s="28" t="s">
        <v>101</v>
      </c>
      <c r="C67" s="2">
        <f>$O$3</f>
        <v>7</v>
      </c>
      <c r="D67" s="3">
        <f t="shared" ref="D67:D130" si="47">E67</f>
        <v>0.68076103782649455</v>
      </c>
      <c r="E67" s="78">
        <f t="shared" ref="E67:E73" si="48">$D$66+(LineInterpo($F$67:$G$73,C67)/H67)</f>
        <v>0.68076103782649455</v>
      </c>
      <c r="F67" s="23">
        <f>I67-$I$2</f>
        <v>9</v>
      </c>
      <c r="G67" s="25">
        <f>VLOOKUP(B67,'Refinitiv-MktData'!$A:$F,6,FALSE)</f>
        <v>-0.88</v>
      </c>
      <c r="H67" s="26">
        <v>10000</v>
      </c>
      <c r="I67" s="99">
        <f>VLOOKUP(B67,'Refinitiv-MktData'!$A:$F,3,FALSE)</f>
        <v>44553</v>
      </c>
      <c r="J67" s="20">
        <f>(LineInterpo(F66:G73,C67))/H67</f>
        <v>-6.2857142857142861E-5</v>
      </c>
      <c r="K67" s="71">
        <f t="shared" ref="K67:K73" si="49">($E$66/($E$66+J67)*(1+P3*O3/360)-1)*360/O3</f>
        <v>5.6996233013593767E-3</v>
      </c>
      <c r="L67" s="73"/>
      <c r="P67" s="10"/>
    </row>
    <row r="68" spans="1:23" ht="17.25" x14ac:dyDescent="0.25">
      <c r="A68" s="22" t="s">
        <v>19</v>
      </c>
      <c r="B68" s="28" t="s">
        <v>102</v>
      </c>
      <c r="C68" s="2">
        <f>$O$4</f>
        <v>30</v>
      </c>
      <c r="D68" s="3">
        <f t="shared" si="47"/>
        <v>0.6805708455188022</v>
      </c>
      <c r="E68" s="78">
        <f t="shared" si="48"/>
        <v>0.6805708455188022</v>
      </c>
      <c r="F68" s="23">
        <f t="shared" ref="F68:F73" si="50">I68-$I$2</f>
        <v>35</v>
      </c>
      <c r="G68" s="25">
        <f>VLOOKUP(B68,'Refinitiv-MktData'!$A:$F,6,FALSE)</f>
        <v>-3.0300000000000002</v>
      </c>
      <c r="H68" s="26">
        <v>10000</v>
      </c>
      <c r="I68" s="99">
        <f>VLOOKUP(B68,'Refinitiv-MktData'!$A:$F,3,FALSE)</f>
        <v>44579</v>
      </c>
      <c r="J68" s="20">
        <f t="shared" ref="J68:J73" si="51">(LineInterpo($F$67:$G$73,C68))/H68</f>
        <v>-2.6165384615384619E-4</v>
      </c>
      <c r="K68" s="71">
        <f t="shared" si="49"/>
        <v>6.8025061455543323E-3</v>
      </c>
      <c r="L68" s="73"/>
    </row>
    <row r="69" spans="1:23" ht="17.25" x14ac:dyDescent="0.25">
      <c r="A69" s="22" t="s">
        <v>19</v>
      </c>
      <c r="B69" s="28" t="s">
        <v>103</v>
      </c>
      <c r="C69" s="2">
        <f>$O$5</f>
        <v>60</v>
      </c>
      <c r="D69" s="3">
        <f t="shared" si="47"/>
        <v>0.68022949936495603</v>
      </c>
      <c r="E69" s="78">
        <f t="shared" si="48"/>
        <v>0.68022949936495603</v>
      </c>
      <c r="F69" s="23">
        <f t="shared" si="50"/>
        <v>64</v>
      </c>
      <c r="G69" s="25">
        <f>VLOOKUP(B69,'Refinitiv-MktData'!$A:$F,6,FALSE)</f>
        <v>-6.51</v>
      </c>
      <c r="H69" s="26">
        <v>10000</v>
      </c>
      <c r="I69" s="99">
        <f>VLOOKUP(B69,'Refinitiv-MktData'!$A:$F,3,FALSE)</f>
        <v>44608</v>
      </c>
      <c r="J69" s="20">
        <f t="shared" si="51"/>
        <v>-6.0300000000000002E-4</v>
      </c>
      <c r="K69" s="71">
        <f t="shared" si="49"/>
        <v>7.8624004947025483E-3</v>
      </c>
      <c r="L69" s="73"/>
    </row>
    <row r="70" spans="1:23" ht="17.25" x14ac:dyDescent="0.25">
      <c r="A70" s="22" t="s">
        <v>19</v>
      </c>
      <c r="B70" s="28" t="s">
        <v>104</v>
      </c>
      <c r="C70" s="2">
        <f>$O$6</f>
        <v>90</v>
      </c>
      <c r="D70" s="3">
        <f t="shared" si="47"/>
        <v>0.67976457079352748</v>
      </c>
      <c r="E70" s="78">
        <f t="shared" si="48"/>
        <v>0.67976457079352748</v>
      </c>
      <c r="F70" s="23">
        <f t="shared" si="50"/>
        <v>92</v>
      </c>
      <c r="G70" s="25">
        <f>VLOOKUP(B70,'Refinitiv-MktData'!$A:$F,6,FALSE)</f>
        <v>-11</v>
      </c>
      <c r="H70" s="26">
        <v>10000</v>
      </c>
      <c r="I70" s="99">
        <f>VLOOKUP(B70,'Refinitiv-MktData'!$A:$F,3,FALSE)</f>
        <v>44636</v>
      </c>
      <c r="J70" s="20">
        <f t="shared" si="51"/>
        <v>-1.0679285714285715E-3</v>
      </c>
      <c r="K70" s="71">
        <f t="shared" si="49"/>
        <v>8.7777316812163164E-3</v>
      </c>
      <c r="L70" s="73"/>
    </row>
    <row r="71" spans="1:23" ht="17.25" x14ac:dyDescent="0.25">
      <c r="A71" s="22" t="s">
        <v>19</v>
      </c>
      <c r="B71" s="28" t="s">
        <v>105</v>
      </c>
      <c r="C71" s="2">
        <f>$O$7</f>
        <v>180</v>
      </c>
      <c r="D71" s="3">
        <f t="shared" si="47"/>
        <v>0.67795145588669514</v>
      </c>
      <c r="E71" s="78">
        <f t="shared" si="48"/>
        <v>0.67795145588669514</v>
      </c>
      <c r="F71" s="23">
        <f t="shared" si="50"/>
        <v>184</v>
      </c>
      <c r="G71" s="25">
        <f>VLOOKUP(B71,'Refinitiv-MktData'!$A:$F,6,FALSE)</f>
        <v>-29.62</v>
      </c>
      <c r="H71" s="26">
        <v>10000</v>
      </c>
      <c r="I71" s="99">
        <f>VLOOKUP(B71,'Refinitiv-MktData'!$A:$F,3,FALSE)</f>
        <v>44728</v>
      </c>
      <c r="J71" s="20">
        <f t="shared" si="51"/>
        <v>-2.8810434782608695E-3</v>
      </c>
      <c r="K71" s="71">
        <f t="shared" si="49"/>
        <v>1.2200082674379775E-2</v>
      </c>
      <c r="L71" s="73"/>
    </row>
    <row r="72" spans="1:23" ht="17.25" x14ac:dyDescent="0.25">
      <c r="A72" s="22" t="s">
        <v>19</v>
      </c>
      <c r="B72" s="28" t="s">
        <v>106</v>
      </c>
      <c r="C72" s="2">
        <v>270</v>
      </c>
      <c r="D72" s="3">
        <f t="shared" si="47"/>
        <v>0.67556906458234733</v>
      </c>
      <c r="E72" s="78">
        <f t="shared" si="48"/>
        <v>0.67556906458234733</v>
      </c>
      <c r="F72" s="23">
        <f t="shared" si="50"/>
        <v>276</v>
      </c>
      <c r="G72" s="25">
        <f>VLOOKUP(B72,'Refinitiv-MktData'!$A:$F,6,FALSE)</f>
        <v>-54.239999999999995</v>
      </c>
      <c r="H72" s="26">
        <v>10000</v>
      </c>
      <c r="I72" s="99">
        <f>VLOOKUP(B72,'Refinitiv-MktData'!$A:$F,3,FALSE)</f>
        <v>44820</v>
      </c>
      <c r="J72" s="20">
        <f t="shared" si="51"/>
        <v>-5.2634347826086949E-3</v>
      </c>
      <c r="K72" s="71">
        <f t="shared" si="49"/>
        <v>1.5149704619214907E-2</v>
      </c>
      <c r="L72" s="73"/>
    </row>
    <row r="73" spans="1:23" ht="17.25" x14ac:dyDescent="0.25">
      <c r="A73" s="22" t="s">
        <v>19</v>
      </c>
      <c r="B73" s="28" t="s">
        <v>107</v>
      </c>
      <c r="C73" s="2">
        <f>$O$9</f>
        <v>365</v>
      </c>
      <c r="D73" s="3">
        <f t="shared" si="47"/>
        <v>0.67280011474957147</v>
      </c>
      <c r="E73" s="78">
        <f t="shared" si="48"/>
        <v>0.67280011474957147</v>
      </c>
      <c r="F73" s="23">
        <f t="shared" si="50"/>
        <v>367</v>
      </c>
      <c r="G73" s="25">
        <f>VLOOKUP(B73,'Refinitiv-MktData'!$A:$F,6,FALSE)</f>
        <v>-80.91</v>
      </c>
      <c r="H73" s="26">
        <v>10000</v>
      </c>
      <c r="I73" s="99">
        <f>VLOOKUP(B73,'Refinitiv-MktData'!$A:$F,3,FALSE)</f>
        <v>44911</v>
      </c>
      <c r="J73" s="20">
        <f t="shared" si="51"/>
        <v>-8.0323846153846148E-3</v>
      </c>
      <c r="K73" s="71">
        <f t="shared" si="49"/>
        <v>1.7107096669950656E-2</v>
      </c>
      <c r="L73" s="73"/>
      <c r="W73" s="1"/>
    </row>
    <row r="74" spans="1:23" ht="17.25" x14ac:dyDescent="0.25">
      <c r="A74" s="22" t="s">
        <v>11</v>
      </c>
      <c r="B74" s="28" t="str">
        <f>A74&amp;"="</f>
        <v>MYR=</v>
      </c>
      <c r="C74" s="2" t="s">
        <v>157</v>
      </c>
      <c r="D74" s="3">
        <f t="shared" si="47"/>
        <v>4.1821000001500046</v>
      </c>
      <c r="E74" s="77">
        <f>VLOOKUP(A74,FXRate!B:E,4,FALSE)</f>
        <v>4.1821000001500046</v>
      </c>
      <c r="F74" s="23">
        <f>VLOOKUP(B74,'Refinitiv-MktData'!$A:$F,3,FALSE)-$B$1</f>
        <v>2</v>
      </c>
      <c r="G74" s="24">
        <v>0</v>
      </c>
      <c r="H74" s="26"/>
      <c r="K74" s="75"/>
      <c r="L74" s="72"/>
      <c r="W74" s="1"/>
    </row>
    <row r="75" spans="1:23" ht="17.25" x14ac:dyDescent="0.25">
      <c r="A75" s="22" t="s">
        <v>11</v>
      </c>
      <c r="B75" s="28" t="s">
        <v>88</v>
      </c>
      <c r="C75" s="2">
        <f>$O$3</f>
        <v>7</v>
      </c>
      <c r="D75" s="3">
        <f t="shared" si="47"/>
        <v>4.1831146297796344</v>
      </c>
      <c r="E75" s="78">
        <f>$D$74+(LineInterpo($F$75:$G$81,C75)/H75)</f>
        <v>4.1831146297796344</v>
      </c>
      <c r="F75" s="23">
        <f>I75-$I$2</f>
        <v>9</v>
      </c>
      <c r="G75" s="25">
        <f>VLOOKUP(B75,'Refinitiv-MktData'!$A:$F,6,FALSE)</f>
        <v>13.55</v>
      </c>
      <c r="H75" s="26">
        <v>10000</v>
      </c>
      <c r="I75" s="99">
        <f>VLOOKUP(B75,'Refinitiv-MktData'!$A:$F,3,FALSE)</f>
        <v>44553</v>
      </c>
      <c r="J75" s="20">
        <f>(LineInterpo(F74:G81,C75))/H75</f>
        <v>9.6785714285714292E-4</v>
      </c>
      <c r="K75" s="71">
        <f t="shared" ref="K75:K81" si="52">((1+J75/$E$74)*(1+P3*O3/360)-1)*365/O3</f>
        <v>1.303178341582556E-2</v>
      </c>
      <c r="L75" s="73"/>
    </row>
    <row r="76" spans="1:23" ht="17.25" x14ac:dyDescent="0.25">
      <c r="A76" s="22" t="s">
        <v>11</v>
      </c>
      <c r="B76" s="28" t="s">
        <v>89</v>
      </c>
      <c r="C76" s="2">
        <f>$O$4</f>
        <v>30</v>
      </c>
      <c r="D76" s="3">
        <f t="shared" si="47"/>
        <v>4.1870288890388938</v>
      </c>
      <c r="E76" s="78">
        <f>$D$74+(LineInterpo($F$75:$G$81,C76)/H76)</f>
        <v>4.1870288890388938</v>
      </c>
      <c r="F76" s="23">
        <f t="shared" ref="F76:F81" si="53">I76-$I$2</f>
        <v>36</v>
      </c>
      <c r="G76" s="25">
        <f>VLOOKUP(B76,'Refinitiv-MktData'!$A:$F,6,FALSE)</f>
        <v>59.5</v>
      </c>
      <c r="H76" s="26">
        <v>10000</v>
      </c>
      <c r="I76" s="99">
        <f>VLOOKUP(B76,'Refinitiv-MktData'!$A:$F,3,FALSE)</f>
        <v>44580</v>
      </c>
      <c r="J76" s="20">
        <f>(LineInterpo($F$75:$G$81,C76))/H76</f>
        <v>4.9288888888888889E-3</v>
      </c>
      <c r="K76" s="71">
        <f t="shared" si="52"/>
        <v>1.6560365233186009E-2</v>
      </c>
      <c r="L76" s="73"/>
    </row>
    <row r="77" spans="1:23" ht="17.25" x14ac:dyDescent="0.25">
      <c r="A77" s="22" t="s">
        <v>11</v>
      </c>
      <c r="B77" s="28" t="s">
        <v>159</v>
      </c>
      <c r="C77" s="2">
        <f>$O$5</f>
        <v>60</v>
      </c>
      <c r="D77" s="3">
        <f t="shared" si="47"/>
        <v>4.1926785715785764</v>
      </c>
      <c r="E77" s="78">
        <f>$D$74+(LineInterpo($F$75:$G$81,C77)/H77)</f>
        <v>4.1926785715785764</v>
      </c>
      <c r="F77" s="23">
        <f t="shared" si="53"/>
        <v>64</v>
      </c>
      <c r="G77" s="25">
        <f>VLOOKUP(B77,'Refinitiv-MktData'!$A:$F,6,FALSE)</f>
        <v>113.5</v>
      </c>
      <c r="H77" s="26">
        <v>10000</v>
      </c>
      <c r="I77" s="99">
        <f>VLOOKUP(B77,'Refinitiv-MktData'!$A:$F,3,FALSE)</f>
        <v>44608</v>
      </c>
      <c r="J77" s="20">
        <f>(LineInterpo($F$75:$G$81,C77))/H77</f>
        <v>1.0578571428571429E-2</v>
      </c>
      <c r="K77" s="71">
        <f t="shared" si="52"/>
        <v>1.7970886899467704E-2</v>
      </c>
      <c r="L77" s="73"/>
      <c r="W77" s="85"/>
    </row>
    <row r="78" spans="1:23" ht="17.25" x14ac:dyDescent="0.25">
      <c r="A78" s="22" t="s">
        <v>11</v>
      </c>
      <c r="B78" s="28" t="s">
        <v>90</v>
      </c>
      <c r="C78" s="2">
        <f>$O$6</f>
        <v>90</v>
      </c>
      <c r="D78" s="3">
        <f t="shared" si="47"/>
        <v>4.1980464287214332</v>
      </c>
      <c r="E78" s="78">
        <f>$D$74+(LineInterpo($F$75:$G$81,C78)/H78)</f>
        <v>4.1980464287214332</v>
      </c>
      <c r="F78" s="23">
        <f t="shared" si="53"/>
        <v>92</v>
      </c>
      <c r="G78" s="25">
        <f>VLOOKUP(B78,'Refinitiv-MktData'!$A:$F,6,FALSE)</f>
        <v>163</v>
      </c>
      <c r="H78" s="26">
        <v>10000</v>
      </c>
      <c r="I78" s="99">
        <f>VLOOKUP(B78,'Refinitiv-MktData'!$A:$F,3,FALSE)</f>
        <v>44636</v>
      </c>
      <c r="J78" s="20">
        <f>(LineInterpo($F$75:$G$81,C78))/H78</f>
        <v>1.5946428571428573E-2</v>
      </c>
      <c r="K78" s="71">
        <f t="shared" si="52"/>
        <v>1.799782847008307E-2</v>
      </c>
      <c r="L78" s="73"/>
    </row>
    <row r="79" spans="1:23" ht="17.25" x14ac:dyDescent="0.25">
      <c r="A79" s="22" t="s">
        <v>11</v>
      </c>
      <c r="B79" s="28" t="s">
        <v>91</v>
      </c>
      <c r="C79" s="2">
        <f>$O$7</f>
        <v>180</v>
      </c>
      <c r="D79" s="3">
        <f t="shared" si="47"/>
        <v>4.2119826088456565</v>
      </c>
      <c r="E79" s="78">
        <f>$D$74+(LineInterpo($F$75:$G$81,C79)/H79)</f>
        <v>4.2119826088456565</v>
      </c>
      <c r="F79" s="23">
        <f t="shared" si="53"/>
        <v>184</v>
      </c>
      <c r="G79" s="25">
        <f>VLOOKUP(B79,'Refinitiv-MktData'!$A:$F,6,FALSE)</f>
        <v>305</v>
      </c>
      <c r="H79" s="26">
        <v>10000</v>
      </c>
      <c r="I79" s="99">
        <f>VLOOKUP(B79,'Refinitiv-MktData'!$A:$F,3,FALSE)</f>
        <v>44728</v>
      </c>
      <c r="J79" s="20">
        <f>(LineInterpo($F$75:$G$81,C79))/H79</f>
        <v>2.9882608695652176E-2</v>
      </c>
      <c r="K79" s="71">
        <f t="shared" si="52"/>
        <v>1.8252242094602373E-2</v>
      </c>
      <c r="L79" s="73"/>
      <c r="W79" s="85"/>
    </row>
    <row r="80" spans="1:23" ht="17.25" x14ac:dyDescent="0.25">
      <c r="A80" s="22" t="s">
        <v>11</v>
      </c>
      <c r="B80" s="28" t="s">
        <v>92</v>
      </c>
      <c r="C80" s="2">
        <v>270</v>
      </c>
      <c r="D80" s="3">
        <f t="shared" si="47"/>
        <v>4.2243684212026364</v>
      </c>
      <c r="E80" s="78">
        <f t="shared" ref="E80" si="54">$D$74+(LineInterpo($F$75:$G$81,C80)/H80)</f>
        <v>4.2243684212026364</v>
      </c>
      <c r="F80" s="23">
        <f t="shared" si="53"/>
        <v>279</v>
      </c>
      <c r="G80" s="25">
        <f>VLOOKUP(B80,'Refinitiv-MktData'!$A:$F,6,FALSE)</f>
        <v>435</v>
      </c>
      <c r="H80" s="26">
        <v>10000</v>
      </c>
      <c r="I80" s="99">
        <f>VLOOKUP(B80,'Refinitiv-MktData'!$A:$F,3,FALSE)</f>
        <v>44823</v>
      </c>
      <c r="J80" s="20">
        <f t="shared" ref="J80" si="55">(LineInterpo($F$75:$G$81,C80))/H80</f>
        <v>4.226842105263158E-2</v>
      </c>
      <c r="K80" s="71">
        <f t="shared" si="52"/>
        <v>1.8501926887843911E-2</v>
      </c>
      <c r="L80" s="73"/>
    </row>
    <row r="81" spans="1:12" ht="17.25" x14ac:dyDescent="0.25">
      <c r="A81" s="22" t="s">
        <v>11</v>
      </c>
      <c r="B81" s="28" t="s">
        <v>93</v>
      </c>
      <c r="C81" s="2">
        <f>$O$9</f>
        <v>365</v>
      </c>
      <c r="D81" s="3">
        <f t="shared" si="47"/>
        <v>4.2373272728772777</v>
      </c>
      <c r="E81" s="78">
        <f>$D$74+(LineInterpo($F$75:$G$81,C81)/H81)</f>
        <v>4.2373272728772777</v>
      </c>
      <c r="F81" s="23">
        <f t="shared" si="53"/>
        <v>367</v>
      </c>
      <c r="G81" s="25">
        <f>VLOOKUP(B81,'Refinitiv-MktData'!$A:$F,6,FALSE)</f>
        <v>555</v>
      </c>
      <c r="H81" s="26">
        <v>10000</v>
      </c>
      <c r="I81" s="99">
        <f>VLOOKUP(B81,'Refinitiv-MktData'!$A:$F,3,FALSE)</f>
        <v>44911</v>
      </c>
      <c r="J81" s="20">
        <f>(LineInterpo($F$75:$G$81,C81))/H81</f>
        <v>5.5227272727272722E-2</v>
      </c>
      <c r="K81" s="71">
        <f t="shared" si="52"/>
        <v>1.8618356524038537E-2</v>
      </c>
      <c r="L81" s="73"/>
    </row>
    <row r="82" spans="1:12" ht="17.25" x14ac:dyDescent="0.25">
      <c r="A82" s="22" t="s">
        <v>163</v>
      </c>
      <c r="B82" s="28" t="str">
        <f>A82&amp;"="</f>
        <v>CNH=</v>
      </c>
      <c r="C82" s="2" t="s">
        <v>157</v>
      </c>
      <c r="D82" s="3">
        <f t="shared" si="47"/>
        <v>6.3743699999166488</v>
      </c>
      <c r="E82" s="77">
        <f>VLOOKUP(A82,FXRate!B:E,4,FALSE)</f>
        <v>6.3743699999166488</v>
      </c>
      <c r="F82" s="23">
        <f>VLOOKUP(B82,'Refinitiv-MktData'!$A:$F,3,FALSE)-$B$1</f>
        <v>2</v>
      </c>
      <c r="G82" s="24">
        <v>0</v>
      </c>
      <c r="H82" s="26"/>
      <c r="K82" s="75"/>
      <c r="L82" s="72"/>
    </row>
    <row r="83" spans="1:12" ht="17.25" x14ac:dyDescent="0.25">
      <c r="A83" s="22" t="s">
        <v>163</v>
      </c>
      <c r="B83" s="28" t="s">
        <v>164</v>
      </c>
      <c r="C83" s="2">
        <f>$O$3</f>
        <v>7</v>
      </c>
      <c r="D83" s="3">
        <f t="shared" si="47"/>
        <v>6.3751584614551104</v>
      </c>
      <c r="E83" s="78">
        <f t="shared" ref="E83:E89" si="56">$D$82+(LineInterpo($F$83:$G$89,C83)/H83)</f>
        <v>6.3751584614551104</v>
      </c>
      <c r="F83" s="23">
        <f>I83-$I$2</f>
        <v>9</v>
      </c>
      <c r="G83" s="25">
        <f>VLOOKUP(B83,'Refinitiv-MktData'!$A:$F,6,FALSE)</f>
        <v>17</v>
      </c>
      <c r="H83" s="26">
        <v>10000</v>
      </c>
      <c r="I83" s="99">
        <f>VLOOKUP(B83,'Refinitiv-MktData'!$A:$F,3,FALSE)</f>
        <v>44553</v>
      </c>
      <c r="J83" s="20">
        <f>(LineInterpo(F82:G89,C83))/H83</f>
        <v>1.2142857142857142E-3</v>
      </c>
      <c r="K83" s="71">
        <f t="shared" ref="K83:K89" si="57">((1+J83/$E$82)*(1+P3*O3/360)-1)*365/O3</f>
        <v>1.0897354969884468E-2</v>
      </c>
      <c r="L83" s="73"/>
    </row>
    <row r="84" spans="1:12" ht="17.25" x14ac:dyDescent="0.25">
      <c r="A84" s="22" t="s">
        <v>163</v>
      </c>
      <c r="B84" s="28" t="s">
        <v>165</v>
      </c>
      <c r="C84" s="2">
        <f>$O$4</f>
        <v>30</v>
      </c>
      <c r="D84" s="3">
        <f t="shared" si="47"/>
        <v>6.3856411537628031</v>
      </c>
      <c r="E84" s="78">
        <f t="shared" si="56"/>
        <v>6.3856411537628031</v>
      </c>
      <c r="F84" s="23">
        <f t="shared" ref="F84:F89" si="58">I84-$I$2</f>
        <v>35</v>
      </c>
      <c r="G84" s="25">
        <f>VLOOKUP(B84,'Refinitiv-MktData'!$A:$F,6,FALSE)</f>
        <v>135.5</v>
      </c>
      <c r="H84" s="26">
        <v>10000</v>
      </c>
      <c r="I84" s="99">
        <f>VLOOKUP(B84,'Refinitiv-MktData'!$A:$F,3,FALSE)</f>
        <v>44579</v>
      </c>
      <c r="J84" s="20">
        <f t="shared" ref="J84:J89" si="59">(LineInterpo($F$83:$G$89,C84))/H84</f>
        <v>1.1271153846153847E-2</v>
      </c>
      <c r="K84" s="71">
        <f t="shared" si="57"/>
        <v>2.3735516615894976E-2</v>
      </c>
      <c r="L84" s="73"/>
    </row>
    <row r="85" spans="1:12" ht="17.25" x14ac:dyDescent="0.25">
      <c r="A85" s="22" t="s">
        <v>163</v>
      </c>
      <c r="B85" s="28" t="s">
        <v>166</v>
      </c>
      <c r="C85" s="2">
        <f>$O$5</f>
        <v>60</v>
      </c>
      <c r="D85" s="3">
        <f t="shared" si="47"/>
        <v>6.3995148275028555</v>
      </c>
      <c r="E85" s="78">
        <f t="shared" si="56"/>
        <v>6.3995148275028555</v>
      </c>
      <c r="F85" s="23">
        <f t="shared" si="58"/>
        <v>64</v>
      </c>
      <c r="G85" s="25">
        <f>VLOOKUP(B85,'Refinitiv-MktData'!$A:$F,6,FALSE)</f>
        <v>270</v>
      </c>
      <c r="H85" s="26">
        <v>10000</v>
      </c>
      <c r="I85" s="99">
        <f>VLOOKUP(B85,'Refinitiv-MktData'!$A:$F,3,FALSE)</f>
        <v>44608</v>
      </c>
      <c r="J85" s="20">
        <f t="shared" si="59"/>
        <v>2.5144827586206897E-2</v>
      </c>
      <c r="K85" s="71">
        <f t="shared" si="57"/>
        <v>2.6583597254517904E-2</v>
      </c>
      <c r="L85" s="73"/>
    </row>
    <row r="86" spans="1:12" ht="17.25" x14ac:dyDescent="0.25">
      <c r="A86" s="22" t="s">
        <v>163</v>
      </c>
      <c r="B86" s="28" t="s">
        <v>57</v>
      </c>
      <c r="C86" s="2">
        <f>$O$6</f>
        <v>90</v>
      </c>
      <c r="D86" s="3">
        <f t="shared" si="47"/>
        <v>6.4121414284880771</v>
      </c>
      <c r="E86" s="78">
        <f t="shared" si="56"/>
        <v>6.4121414284880771</v>
      </c>
      <c r="F86" s="23">
        <f t="shared" si="58"/>
        <v>92</v>
      </c>
      <c r="G86" s="25">
        <f>VLOOKUP(B86,'Refinitiv-MktData'!$A:$F,6,FALSE)</f>
        <v>386</v>
      </c>
      <c r="H86" s="26">
        <v>10000</v>
      </c>
      <c r="I86" s="99">
        <f>VLOOKUP(B86,'Refinitiv-MktData'!$A:$F,3,FALSE)</f>
        <v>44636</v>
      </c>
      <c r="J86" s="20">
        <f t="shared" si="59"/>
        <v>3.7771428571428574E-2</v>
      </c>
      <c r="K86" s="71">
        <f t="shared" si="57"/>
        <v>2.6570506398476162E-2</v>
      </c>
      <c r="L86" s="73"/>
    </row>
    <row r="87" spans="1:12" ht="17.25" x14ac:dyDescent="0.25">
      <c r="A87" s="22" t="s">
        <v>163</v>
      </c>
      <c r="B87" s="28" t="s">
        <v>58</v>
      </c>
      <c r="C87" s="2">
        <f>$O$7</f>
        <v>180</v>
      </c>
      <c r="D87" s="3">
        <f t="shared" si="47"/>
        <v>6.4513246086123006</v>
      </c>
      <c r="E87" s="78">
        <f t="shared" si="56"/>
        <v>6.4513246086123006</v>
      </c>
      <c r="F87" s="23">
        <f t="shared" si="58"/>
        <v>184</v>
      </c>
      <c r="G87" s="25">
        <f>VLOOKUP(B87,'Refinitiv-MktData'!$A:$F,6,FALSE)</f>
        <v>786.98</v>
      </c>
      <c r="H87" s="26">
        <v>10000</v>
      </c>
      <c r="I87" s="99">
        <f>VLOOKUP(B87,'Refinitiv-MktData'!$A:$F,3,FALSE)</f>
        <v>44728</v>
      </c>
      <c r="J87" s="20">
        <f t="shared" si="59"/>
        <v>7.6954608695652182E-2</v>
      </c>
      <c r="K87" s="71">
        <f t="shared" si="57"/>
        <v>2.8261805805075649E-2</v>
      </c>
      <c r="L87" s="73"/>
    </row>
    <row r="88" spans="1:12" ht="17.25" x14ac:dyDescent="0.25">
      <c r="A88" s="22" t="s">
        <v>163</v>
      </c>
      <c r="B88" s="28" t="s">
        <v>59</v>
      </c>
      <c r="C88" s="2">
        <v>270</v>
      </c>
      <c r="D88" s="3">
        <f t="shared" si="47"/>
        <v>6.4909285651340403</v>
      </c>
      <c r="E88" s="78">
        <f t="shared" si="56"/>
        <v>6.4909285651340403</v>
      </c>
      <c r="F88" s="23">
        <f t="shared" si="58"/>
        <v>276</v>
      </c>
      <c r="G88" s="25">
        <f>VLOOKUP(B88,'Refinitiv-MktData'!$A:$F,6,FALSE)</f>
        <v>1192</v>
      </c>
      <c r="H88" s="26">
        <v>10000</v>
      </c>
      <c r="I88" s="99">
        <f>VLOOKUP(B88,'Refinitiv-MktData'!$A:$F,3,FALSE)</f>
        <v>44820</v>
      </c>
      <c r="J88" s="20">
        <f t="shared" si="59"/>
        <v>0.11655856521739132</v>
      </c>
      <c r="K88" s="71">
        <f t="shared" si="57"/>
        <v>2.9597250709235388E-2</v>
      </c>
      <c r="L88" s="73"/>
    </row>
    <row r="89" spans="1:12" ht="17.25" x14ac:dyDescent="0.25">
      <c r="A89" s="22" t="s">
        <v>163</v>
      </c>
      <c r="B89" s="28" t="s">
        <v>167</v>
      </c>
      <c r="C89" s="2">
        <f>$O$9</f>
        <v>365</v>
      </c>
      <c r="D89" s="3">
        <f t="shared" si="47"/>
        <v>6.5313705493671979</v>
      </c>
      <c r="E89" s="78">
        <f t="shared" si="56"/>
        <v>6.5313705493671979</v>
      </c>
      <c r="F89" s="23">
        <f t="shared" si="58"/>
        <v>367</v>
      </c>
      <c r="G89" s="25">
        <f>VLOOKUP(B89,'Refinitiv-MktData'!$A:$F,6,FALSE)</f>
        <v>1578.5</v>
      </c>
      <c r="H89" s="26">
        <v>10000</v>
      </c>
      <c r="I89" s="99">
        <f>VLOOKUP(B89,'Refinitiv-MktData'!$A:$F,3,FALSE)</f>
        <v>44911</v>
      </c>
      <c r="J89" s="20">
        <f t="shared" si="59"/>
        <v>0.15700054945054945</v>
      </c>
      <c r="K89" s="71">
        <f t="shared" si="57"/>
        <v>3.0103726773246239E-2</v>
      </c>
      <c r="L89" s="73"/>
    </row>
    <row r="90" spans="1:12" ht="17.25" x14ac:dyDescent="0.25">
      <c r="A90" s="22" t="s">
        <v>160</v>
      </c>
      <c r="B90" s="28" t="str">
        <f>A90&amp;"="</f>
        <v>ZAR=</v>
      </c>
      <c r="C90" s="2" t="s">
        <v>157</v>
      </c>
      <c r="D90" s="3">
        <f t="shared" si="47"/>
        <v>15.566569987964989</v>
      </c>
      <c r="E90" s="77">
        <f>VLOOKUP(A90,FXRate!B:E,4,FALSE)</f>
        <v>15.566569987964989</v>
      </c>
      <c r="F90" s="23">
        <f>VLOOKUP(B90,'Refinitiv-MktData'!$A:$F,3,FALSE)-$B$1</f>
        <v>3</v>
      </c>
      <c r="G90" s="24">
        <v>0</v>
      </c>
      <c r="H90" s="26"/>
      <c r="K90" s="75"/>
      <c r="L90" s="72"/>
    </row>
    <row r="91" spans="1:12" ht="17.25" x14ac:dyDescent="0.25">
      <c r="A91" s="22" t="s">
        <v>160</v>
      </c>
      <c r="B91" s="28" t="s">
        <v>128</v>
      </c>
      <c r="C91" s="2">
        <f>$O$3</f>
        <v>7</v>
      </c>
      <c r="D91" s="3">
        <f t="shared" si="47"/>
        <v>15.559003321298322</v>
      </c>
      <c r="E91" s="78">
        <f>$D$90+(LineInterpo($F$91:$G$97,C91)/H91)</f>
        <v>15.559003321298322</v>
      </c>
      <c r="F91" s="23">
        <f>I91-$I$2</f>
        <v>14</v>
      </c>
      <c r="G91" s="25">
        <f>VLOOKUP(B91,'Refinitiv-MktData'!$A:$F,6,FALSE)</f>
        <v>175.75</v>
      </c>
      <c r="H91" s="26">
        <v>10000</v>
      </c>
      <c r="I91" s="99">
        <f>VLOOKUP(B91,'Refinitiv-MktData'!$A:$F,3,FALSE)</f>
        <v>44558</v>
      </c>
      <c r="J91" s="20">
        <f>(LineInterpo(F90:G97,C91))/H91</f>
        <v>6.3909090909090903E-3</v>
      </c>
      <c r="K91" s="71">
        <f t="shared" ref="K91:K97" si="60">((1+J91/$E$90)*(1+P3*O3/360)-1)*365/O3</f>
        <v>2.2372042908168632E-2</v>
      </c>
      <c r="L91" s="73"/>
    </row>
    <row r="92" spans="1:12" ht="17.25" x14ac:dyDescent="0.25">
      <c r="A92" s="22" t="s">
        <v>160</v>
      </c>
      <c r="B92" s="28" t="s">
        <v>129</v>
      </c>
      <c r="C92" s="2">
        <f>$O$4</f>
        <v>30</v>
      </c>
      <c r="D92" s="3">
        <f t="shared" si="47"/>
        <v>15.641611654631657</v>
      </c>
      <c r="E92" s="78">
        <f>$D$90+(LineInterpo($F$91:$G$97,C92)/H92)</f>
        <v>15.641611654631657</v>
      </c>
      <c r="F92" s="23">
        <f t="shared" ref="F92:F97" si="61">I92-$I$2</f>
        <v>35</v>
      </c>
      <c r="G92" s="25">
        <f>VLOOKUP(B92,'Refinitiv-MktData'!$A:$F,6,FALSE)</f>
        <v>930</v>
      </c>
      <c r="H92" s="26">
        <v>10000</v>
      </c>
      <c r="I92" s="99">
        <f>VLOOKUP(B92,'Refinitiv-MktData'!$A:$F,3,FALSE)</f>
        <v>44579</v>
      </c>
      <c r="J92" s="20">
        <f t="shared" ref="J92:J97" si="62">(LineInterpo($F$91:$G$97,C92))/H92</f>
        <v>7.5041666666666659E-2</v>
      </c>
      <c r="K92" s="71">
        <f t="shared" si="60"/>
        <v>6.0880976289377053E-2</v>
      </c>
      <c r="L92" s="73"/>
    </row>
    <row r="93" spans="1:12" ht="17.25" x14ac:dyDescent="0.25">
      <c r="A93" s="22" t="s">
        <v>160</v>
      </c>
      <c r="B93" s="28" t="s">
        <v>161</v>
      </c>
      <c r="C93" s="2">
        <f>$O$5</f>
        <v>60</v>
      </c>
      <c r="D93" s="3">
        <f t="shared" si="47"/>
        <v>15.721194987964989</v>
      </c>
      <c r="E93" s="78">
        <f>$D$90+(LineInterpo($F$91:$G$97,C93)/H93)</f>
        <v>15.721194987964989</v>
      </c>
      <c r="F93" s="23">
        <f t="shared" si="61"/>
        <v>65</v>
      </c>
      <c r="G93" s="25">
        <f>VLOOKUP(B93,'Refinitiv-MktData'!$A:$F,6,FALSE)</f>
        <v>1669.5</v>
      </c>
      <c r="H93" s="26">
        <v>10000</v>
      </c>
      <c r="I93" s="99">
        <f>VLOOKUP(B93,'Refinitiv-MktData'!$A:$F,3,FALSE)</f>
        <v>44609</v>
      </c>
      <c r="J93" s="20">
        <f t="shared" si="62"/>
        <v>0.15462500000000001</v>
      </c>
      <c r="K93" s="71">
        <f t="shared" si="60"/>
        <v>6.3028878681257908E-2</v>
      </c>
      <c r="L93" s="73"/>
    </row>
    <row r="94" spans="1:12" ht="17.25" x14ac:dyDescent="0.25">
      <c r="A94" s="22" t="s">
        <v>160</v>
      </c>
      <c r="B94" s="28" t="s">
        <v>130</v>
      </c>
      <c r="C94" s="2">
        <f>$O$6</f>
        <v>90</v>
      </c>
      <c r="D94" s="3">
        <f t="shared" si="47"/>
        <v>15.792359273679274</v>
      </c>
      <c r="E94" s="78">
        <f>$D$90+(LineInterpo($F$91:$G$97,C94)/H94)</f>
        <v>15.792359273679274</v>
      </c>
      <c r="F94" s="23">
        <f t="shared" si="61"/>
        <v>93</v>
      </c>
      <c r="G94" s="25">
        <f>VLOOKUP(B94,'Refinitiv-MktData'!$A:$F,6,FALSE)</f>
        <v>2328.5</v>
      </c>
      <c r="H94" s="26">
        <v>10000</v>
      </c>
      <c r="I94" s="99">
        <f>VLOOKUP(B94,'Refinitiv-MktData'!$A:$F,3,FALSE)</f>
        <v>44637</v>
      </c>
      <c r="J94" s="20">
        <f t="shared" si="62"/>
        <v>0.22578928571428572</v>
      </c>
      <c r="K94" s="71">
        <f t="shared" si="60"/>
        <v>6.1385745582656824E-2</v>
      </c>
      <c r="L94" s="73"/>
    </row>
    <row r="95" spans="1:12" ht="17.25" x14ac:dyDescent="0.25">
      <c r="A95" s="22" t="s">
        <v>160</v>
      </c>
      <c r="B95" s="28" t="s">
        <v>131</v>
      </c>
      <c r="C95" s="2">
        <f>$O$7</f>
        <v>180</v>
      </c>
      <c r="D95" s="3">
        <f t="shared" si="47"/>
        <v>15.983842966225859</v>
      </c>
      <c r="E95" s="78">
        <f>$D$90+(LineInterpo($F$91:$G$97,C95)/H95)</f>
        <v>15.983842966225859</v>
      </c>
      <c r="F95" s="23">
        <f t="shared" si="61"/>
        <v>185</v>
      </c>
      <c r="G95" s="25">
        <f>VLOOKUP(B95,'Refinitiv-MktData'!$A:$F,6,FALSE)</f>
        <v>4278.72</v>
      </c>
      <c r="H95" s="26">
        <v>10000</v>
      </c>
      <c r="I95" s="99">
        <f>VLOOKUP(B95,'Refinitiv-MktData'!$A:$F,3,FALSE)</f>
        <v>44729</v>
      </c>
      <c r="J95" s="20">
        <f t="shared" si="62"/>
        <v>0.41727297826086962</v>
      </c>
      <c r="K95" s="71">
        <f t="shared" si="60"/>
        <v>5.8192523680475332E-2</v>
      </c>
      <c r="L95" s="73"/>
    </row>
    <row r="96" spans="1:12" ht="17.25" x14ac:dyDescent="0.25">
      <c r="A96" s="22" t="s">
        <v>160</v>
      </c>
      <c r="B96" s="28" t="s">
        <v>132</v>
      </c>
      <c r="C96" s="2">
        <v>270</v>
      </c>
      <c r="D96" s="3">
        <f t="shared" si="47"/>
        <v>16.175725285837331</v>
      </c>
      <c r="E96" s="78">
        <f t="shared" ref="E96" si="63">$D$90+(LineInterpo($F$91:$G$97,C96)/H96)</f>
        <v>16.175725285837331</v>
      </c>
      <c r="F96" s="23">
        <f t="shared" si="61"/>
        <v>279</v>
      </c>
      <c r="G96" s="25">
        <f>VLOOKUP(B96,'Refinitiv-MktData'!$A:$F,6,FALSE)</f>
        <v>6283.5</v>
      </c>
      <c r="H96" s="26">
        <v>10000</v>
      </c>
      <c r="I96" s="99">
        <f>VLOOKUP(B96,'Refinitiv-MktData'!$A:$F,3,FALSE)</f>
        <v>44823</v>
      </c>
      <c r="J96" s="20">
        <f t="shared" si="62"/>
        <v>0.60915529787234046</v>
      </c>
      <c r="K96" s="71">
        <f t="shared" si="60"/>
        <v>5.7878860971573104E-2</v>
      </c>
      <c r="L96" s="73"/>
    </row>
    <row r="97" spans="1:12" ht="17.25" x14ac:dyDescent="0.25">
      <c r="A97" s="22" t="s">
        <v>160</v>
      </c>
      <c r="B97" s="28" t="s">
        <v>133</v>
      </c>
      <c r="C97" s="2">
        <f>$O$9</f>
        <v>365</v>
      </c>
      <c r="D97" s="3">
        <f t="shared" si="47"/>
        <v>16.377977130822131</v>
      </c>
      <c r="E97" s="78">
        <f>$D$90+(LineInterpo($F$91:$G$97,C97)/H97)</f>
        <v>16.377977130822131</v>
      </c>
      <c r="F97" s="23">
        <f t="shared" si="61"/>
        <v>370</v>
      </c>
      <c r="G97" s="25">
        <f>VLOOKUP(B97,'Refinitiv-MktData'!$A:$F,6,FALSE)</f>
        <v>8220.5</v>
      </c>
      <c r="H97" s="26">
        <v>10000</v>
      </c>
      <c r="I97" s="99">
        <f>VLOOKUP(B97,'Refinitiv-MktData'!$A:$F,3,FALSE)</f>
        <v>44914</v>
      </c>
      <c r="J97" s="20">
        <f t="shared" si="62"/>
        <v>0.81140714285714288</v>
      </c>
      <c r="K97" s="71">
        <f t="shared" si="60"/>
        <v>5.7745618396302996E-2</v>
      </c>
      <c r="L97" s="73"/>
    </row>
    <row r="98" spans="1:12" ht="17.25" x14ac:dyDescent="0.25">
      <c r="A98" s="22" t="s">
        <v>18</v>
      </c>
      <c r="B98" s="28" t="str">
        <f>A98&amp;"="</f>
        <v>RUB=</v>
      </c>
      <c r="C98" s="2" t="s">
        <v>157</v>
      </c>
      <c r="D98" s="3">
        <f t="shared" si="47"/>
        <v>73.507450634823059</v>
      </c>
      <c r="E98" s="77">
        <f>VLOOKUP(A98,FXRate!B:E,4,FALSE)</f>
        <v>73.507450634823059</v>
      </c>
      <c r="F98" s="23">
        <f>VLOOKUP(B98,'Refinitiv-MktData'!$A:$F,3,FALSE)-$B$1</f>
        <v>1</v>
      </c>
      <c r="G98" s="24">
        <v>0</v>
      </c>
      <c r="H98" s="26"/>
      <c r="K98" s="75"/>
      <c r="L98" s="72"/>
    </row>
    <row r="99" spans="1:12" ht="17.25" x14ac:dyDescent="0.25">
      <c r="A99" s="22" t="s">
        <v>18</v>
      </c>
      <c r="B99" s="28" t="s">
        <v>108</v>
      </c>
      <c r="C99" s="2">
        <f>$O$3</f>
        <v>7</v>
      </c>
      <c r="D99" s="3">
        <f t="shared" si="47"/>
        <v>73.599637671860094</v>
      </c>
      <c r="E99" s="78">
        <f>$D$98+(LineInterpo($F$99:$G$105,C99)/H99)</f>
        <v>73.599637671860094</v>
      </c>
      <c r="F99" s="23">
        <f>I99-$I$2</f>
        <v>8</v>
      </c>
      <c r="G99" s="25">
        <f>VLOOKUP(B99,'Refinitiv-MktData'!$A:$F,6,FALSE)</f>
        <v>1085</v>
      </c>
      <c r="H99" s="26">
        <v>10000</v>
      </c>
      <c r="I99" s="99">
        <f>VLOOKUP(B99,'Refinitiv-MktData'!$A:$F,3,FALSE)</f>
        <v>44552</v>
      </c>
      <c r="J99" s="20">
        <f>(LineInterpo(F98:G105,C99))/H99</f>
        <v>9.2999999999999999E-2</v>
      </c>
      <c r="K99" s="71">
        <f t="shared" ref="K99:K105" si="64">((1+J99/$E$98)*(1+P3*O3/360)-1)*360/O3</f>
        <v>6.601850221755079E-2</v>
      </c>
      <c r="L99" s="73"/>
    </row>
    <row r="100" spans="1:12" ht="17.25" x14ac:dyDescent="0.25">
      <c r="A100" s="22" t="s">
        <v>18</v>
      </c>
      <c r="B100" s="28" t="s">
        <v>109</v>
      </c>
      <c r="C100" s="2">
        <f>$O$4</f>
        <v>30</v>
      </c>
      <c r="D100" s="3">
        <f t="shared" si="47"/>
        <v>73.974835820008238</v>
      </c>
      <c r="E100" s="78">
        <f>$D$98+(LineInterpo($F$99:$G$105,C100)/H100)</f>
        <v>73.974835820008238</v>
      </c>
      <c r="F100" s="23">
        <f t="shared" ref="F100:F105" si="65">I100-$I$2</f>
        <v>35</v>
      </c>
      <c r="G100" s="25">
        <f>VLOOKUP(B100,'Refinitiv-MktData'!$A:$F,6,FALSE)</f>
        <v>5489.5</v>
      </c>
      <c r="H100" s="26">
        <v>10000</v>
      </c>
      <c r="I100" s="99">
        <f>VLOOKUP(B100,'Refinitiv-MktData'!$A:$F,3,FALSE)</f>
        <v>44579</v>
      </c>
      <c r="J100" s="20">
        <f t="shared" ref="J100:J105" si="66">(LineInterpo($F$99:$G$105,C100))/H100</f>
        <v>0.46738518518518524</v>
      </c>
      <c r="K100" s="71">
        <f t="shared" si="64"/>
        <v>7.8502080707243849E-2</v>
      </c>
      <c r="L100" s="73"/>
    </row>
    <row r="101" spans="1:12" ht="17.25" x14ac:dyDescent="0.25">
      <c r="A101" s="22" t="s">
        <v>18</v>
      </c>
      <c r="B101" s="28" t="s">
        <v>162</v>
      </c>
      <c r="C101" s="2">
        <f>$O$5</f>
        <v>60</v>
      </c>
      <c r="D101" s="3">
        <f t="shared" si="47"/>
        <v>74.476088134823058</v>
      </c>
      <c r="E101" s="78">
        <f>$D$98+(LineInterpo($F$99:$G$105,C101)/H101)</f>
        <v>74.476088134823058</v>
      </c>
      <c r="F101" s="23">
        <f t="shared" si="65"/>
        <v>63</v>
      </c>
      <c r="G101" s="25">
        <f>VLOOKUP(B101,'Refinitiv-MktData'!$A:$F,6,FALSE)</f>
        <v>10190</v>
      </c>
      <c r="H101" s="26">
        <v>10000</v>
      </c>
      <c r="I101" s="99">
        <f>VLOOKUP(B101,'Refinitiv-MktData'!$A:$F,3,FALSE)</f>
        <v>44607</v>
      </c>
      <c r="J101" s="20">
        <f t="shared" si="66"/>
        <v>0.96863750000000004</v>
      </c>
      <c r="K101" s="71">
        <f t="shared" si="64"/>
        <v>8.1639277266203791E-2</v>
      </c>
      <c r="L101" s="73"/>
    </row>
    <row r="102" spans="1:12" ht="17.25" x14ac:dyDescent="0.25">
      <c r="A102" s="22" t="s">
        <v>18</v>
      </c>
      <c r="B102" s="28" t="s">
        <v>110</v>
      </c>
      <c r="C102" s="2">
        <f>$O$6</f>
        <v>90</v>
      </c>
      <c r="D102" s="3">
        <f t="shared" si="47"/>
        <v>74.984245277680202</v>
      </c>
      <c r="E102" s="78">
        <f>$D$98+(LineInterpo($F$99:$G$105,C102)/H102)</f>
        <v>74.984245277680202</v>
      </c>
      <c r="F102" s="23">
        <f t="shared" si="65"/>
        <v>91</v>
      </c>
      <c r="G102" s="25">
        <f>VLOOKUP(B102,'Refinitiv-MktData'!$A:$F,6,FALSE)</f>
        <v>14937.5</v>
      </c>
      <c r="H102" s="26">
        <v>10000</v>
      </c>
      <c r="I102" s="99">
        <f>VLOOKUP(B102,'Refinitiv-MktData'!$A:$F,3,FALSE)</f>
        <v>44635</v>
      </c>
      <c r="J102" s="20">
        <f t="shared" si="66"/>
        <v>1.476794642857143</v>
      </c>
      <c r="K102" s="71">
        <f t="shared" si="64"/>
        <v>8.2901361437550669E-2</v>
      </c>
      <c r="L102" s="73"/>
    </row>
    <row r="103" spans="1:12" ht="17.25" x14ac:dyDescent="0.25">
      <c r="A103" s="22" t="s">
        <v>18</v>
      </c>
      <c r="B103" s="28" t="s">
        <v>111</v>
      </c>
      <c r="C103" s="2">
        <f>$O$7</f>
        <v>180</v>
      </c>
      <c r="D103" s="3">
        <f t="shared" si="47"/>
        <v>76.595413134823062</v>
      </c>
      <c r="E103" s="78">
        <f t="shared" ref="E103:E104" si="67">$D$98+(LineInterpo($F$99:$G$105,C103)/H103)</f>
        <v>76.595413134823062</v>
      </c>
      <c r="F103" s="23">
        <f t="shared" si="65"/>
        <v>183</v>
      </c>
      <c r="G103" s="25">
        <f>VLOOKUP(B103,'Refinitiv-MktData'!$A:$F,6,FALSE)</f>
        <v>31417</v>
      </c>
      <c r="H103" s="26">
        <v>10000</v>
      </c>
      <c r="I103" s="99">
        <f>VLOOKUP(B103,'Refinitiv-MktData'!$A:$F,3,FALSE)</f>
        <v>44727</v>
      </c>
      <c r="J103" s="20">
        <f t="shared" si="66"/>
        <v>3.0879625000000002</v>
      </c>
      <c r="K103" s="71">
        <f t="shared" si="64"/>
        <v>8.7857643205197178E-2</v>
      </c>
      <c r="L103" s="73"/>
    </row>
    <row r="104" spans="1:12" ht="17.25" x14ac:dyDescent="0.25">
      <c r="A104" s="22" t="s">
        <v>18</v>
      </c>
      <c r="B104" s="28" t="s">
        <v>112</v>
      </c>
      <c r="C104" s="2">
        <v>270</v>
      </c>
      <c r="D104" s="3">
        <f t="shared" si="47"/>
        <v>78.177371830475238</v>
      </c>
      <c r="E104" s="78">
        <f t="shared" si="67"/>
        <v>78.177371830475238</v>
      </c>
      <c r="F104" s="23">
        <f t="shared" si="65"/>
        <v>275</v>
      </c>
      <c r="G104" s="25">
        <f>VLOOKUP(B104,'Refinitiv-MktData'!$A:$F,6,FALSE)</f>
        <v>47577.5</v>
      </c>
      <c r="H104" s="26">
        <v>10000</v>
      </c>
      <c r="I104" s="99">
        <f>VLOOKUP(B104,'Refinitiv-MktData'!$A:$F,3,FALSE)</f>
        <v>44819</v>
      </c>
      <c r="J104" s="20">
        <f t="shared" si="66"/>
        <v>4.669921195652174</v>
      </c>
      <c r="K104" s="71">
        <f t="shared" si="64"/>
        <v>8.9731442795180819E-2</v>
      </c>
      <c r="L104" s="73"/>
    </row>
    <row r="105" spans="1:12" ht="17.25" x14ac:dyDescent="0.25">
      <c r="A105" s="22" t="s">
        <v>18</v>
      </c>
      <c r="B105" s="28" t="s">
        <v>113</v>
      </c>
      <c r="C105" s="2">
        <f>$O$9</f>
        <v>365</v>
      </c>
      <c r="D105" s="3">
        <f t="shared" si="47"/>
        <v>79.826107228229645</v>
      </c>
      <c r="E105" s="78">
        <f>$D$98+(LineInterpo($F$99:$G$105,C105)/H105)</f>
        <v>79.826107228229645</v>
      </c>
      <c r="F105" s="23">
        <f t="shared" si="65"/>
        <v>366</v>
      </c>
      <c r="G105" s="25">
        <f>VLOOKUP(B105,'Refinitiv-MktData'!$A:$F,6,FALSE)</f>
        <v>63360</v>
      </c>
      <c r="H105" s="26">
        <v>10000</v>
      </c>
      <c r="I105" s="99">
        <f>VLOOKUP(B105,'Refinitiv-MktData'!$A:$F,3,FALSE)</f>
        <v>44910</v>
      </c>
      <c r="J105" s="20">
        <f t="shared" si="66"/>
        <v>6.318656593406593</v>
      </c>
      <c r="K105" s="71">
        <f t="shared" si="64"/>
        <v>9.0503794457541531E-2</v>
      </c>
      <c r="L105" s="73"/>
    </row>
    <row r="106" spans="1:12" ht="17.25" x14ac:dyDescent="0.25">
      <c r="A106" s="22" t="s">
        <v>2</v>
      </c>
      <c r="B106" s="28" t="str">
        <f>A106&amp;"="</f>
        <v>JPY=</v>
      </c>
      <c r="C106" s="2" t="s">
        <v>157</v>
      </c>
      <c r="D106" s="3">
        <f t="shared" si="47"/>
        <v>114.84669743400406</v>
      </c>
      <c r="E106" s="77">
        <f>VLOOKUP(A106,FXRate!B:E,4,FALSE)</f>
        <v>114.84669743400406</v>
      </c>
      <c r="F106" s="23">
        <f>VLOOKUP(B106,'Refinitiv-MktData'!$A:$F,3,FALSE)-$B$1</f>
        <v>2</v>
      </c>
      <c r="G106" s="24">
        <v>0</v>
      </c>
      <c r="H106" s="26"/>
      <c r="K106" s="75"/>
      <c r="L106" s="72"/>
    </row>
    <row r="107" spans="1:12" ht="17.25" x14ac:dyDescent="0.25">
      <c r="A107" s="22" t="s">
        <v>2</v>
      </c>
      <c r="B107" s="28" t="s">
        <v>81</v>
      </c>
      <c r="C107" s="2">
        <f>$O$3</f>
        <v>7</v>
      </c>
      <c r="D107" s="3">
        <f t="shared" si="47"/>
        <v>114.84793589554252</v>
      </c>
      <c r="E107" s="78">
        <f>$D$106+(LineInterpo($F$107:$G$113,C107)/H107)</f>
        <v>114.84793589554252</v>
      </c>
      <c r="F107" s="23">
        <f>I107-$I$2</f>
        <v>9</v>
      </c>
      <c r="G107" s="25">
        <f>VLOOKUP(B107,'Refinitiv-MktData'!$A:$F,6,FALSE)</f>
        <v>-0.42500000000000004</v>
      </c>
      <c r="H107" s="26">
        <v>100</v>
      </c>
      <c r="I107" s="99">
        <f>VLOOKUP(B107,'Refinitiv-MktData'!$A:$F,3,FALSE)</f>
        <v>44553</v>
      </c>
      <c r="J107" s="20">
        <f>(LineInterpo(F106:G113,C107))/H107</f>
        <v>-3.0357142857142861E-3</v>
      </c>
      <c r="K107" s="71">
        <f t="shared" ref="K107:K113" si="68">((1+J107/$E$106)*(1+P3*O3/360)-1)*360/O3</f>
        <v>-4.084153765753535E-4</v>
      </c>
      <c r="L107" s="73"/>
    </row>
    <row r="108" spans="1:12" ht="17.25" x14ac:dyDescent="0.25">
      <c r="A108" s="22" t="s">
        <v>2</v>
      </c>
      <c r="B108" s="28" t="s">
        <v>82</v>
      </c>
      <c r="C108" s="2">
        <f>$O$4</f>
        <v>30</v>
      </c>
      <c r="D108" s="3">
        <f t="shared" si="47"/>
        <v>114.78481858785021</v>
      </c>
      <c r="E108" s="78">
        <f>$D$106+(LineInterpo($F$107:$G$113,C108)/H108)</f>
        <v>114.78481858785021</v>
      </c>
      <c r="F108" s="23">
        <f t="shared" ref="F108:F113" si="69">I108-$I$2</f>
        <v>35</v>
      </c>
      <c r="G108" s="25">
        <f>VLOOKUP(B108,'Refinitiv-MktData'!$A:$F,6,FALSE)</f>
        <v>-7.5600000000000005</v>
      </c>
      <c r="H108" s="26">
        <v>100</v>
      </c>
      <c r="I108" s="99">
        <f>VLOOKUP(B108,'Refinitiv-MktData'!$A:$F,3,FALSE)</f>
        <v>44579</v>
      </c>
      <c r="J108" s="20">
        <f t="shared" ref="J108:J113" si="70">(LineInterpo($F$107:$G$113,C108))/H108</f>
        <v>-6.1878846153846159E-2</v>
      </c>
      <c r="K108" s="71">
        <f t="shared" si="68"/>
        <v>-4.2786039591118374E-3</v>
      </c>
      <c r="L108" s="73"/>
    </row>
    <row r="109" spans="1:12" ht="17.25" x14ac:dyDescent="0.25">
      <c r="A109" s="22" t="s">
        <v>2</v>
      </c>
      <c r="B109" s="28" t="s">
        <v>83</v>
      </c>
      <c r="C109" s="2">
        <f>$O$5</f>
        <v>60</v>
      </c>
      <c r="D109" s="3">
        <f t="shared" si="47"/>
        <v>114.74747674434889</v>
      </c>
      <c r="E109" s="78">
        <f>$D$106+(LineInterpo($F$107:$G$113,C109)/H109)</f>
        <v>114.74747674434889</v>
      </c>
      <c r="F109" s="23">
        <f t="shared" si="69"/>
        <v>64</v>
      </c>
      <c r="G109" s="25">
        <f>VLOOKUP(B109,'Refinitiv-MktData'!$A:$F,6,FALSE)</f>
        <v>-10.3</v>
      </c>
      <c r="H109" s="26">
        <v>100</v>
      </c>
      <c r="I109" s="99">
        <f>VLOOKUP(B109,'Refinitiv-MktData'!$A:$F,3,FALSE)</f>
        <v>44608</v>
      </c>
      <c r="J109" s="20">
        <f t="shared" si="70"/>
        <v>-9.9220689655172431E-2</v>
      </c>
      <c r="K109" s="71">
        <f t="shared" si="68"/>
        <v>-2.6444828243197271E-3</v>
      </c>
      <c r="L109" s="73"/>
    </row>
    <row r="110" spans="1:12" ht="17.25" x14ac:dyDescent="0.25">
      <c r="A110" s="22" t="s">
        <v>2</v>
      </c>
      <c r="B110" s="28" t="s">
        <v>84</v>
      </c>
      <c r="C110" s="2">
        <f>$O$6</f>
        <v>90</v>
      </c>
      <c r="D110" s="3">
        <f t="shared" si="47"/>
        <v>114.7195545768612</v>
      </c>
      <c r="E110" s="78">
        <f>$D$106+(LineInterpo($F$107:$G$113,C110)/H110)</f>
        <v>114.7195545768612</v>
      </c>
      <c r="F110" s="23">
        <f t="shared" si="69"/>
        <v>92</v>
      </c>
      <c r="G110" s="25">
        <f>VLOOKUP(B110,'Refinitiv-MktData'!$A:$F,6,FALSE)</f>
        <v>-12.9</v>
      </c>
      <c r="H110" s="26">
        <v>100</v>
      </c>
      <c r="I110" s="99">
        <f>VLOOKUP(B110,'Refinitiv-MktData'!$A:$F,3,FALSE)</f>
        <v>44636</v>
      </c>
      <c r="J110" s="20">
        <f t="shared" si="70"/>
        <v>-0.12714285714285714</v>
      </c>
      <c r="K110" s="71">
        <f t="shared" si="68"/>
        <v>-1.9413078669288097E-3</v>
      </c>
      <c r="L110" s="73"/>
    </row>
    <row r="111" spans="1:12" ht="17.25" x14ac:dyDescent="0.25">
      <c r="A111" s="22" t="s">
        <v>2</v>
      </c>
      <c r="B111" s="28" t="s">
        <v>85</v>
      </c>
      <c r="C111" s="2">
        <f>$O$7</f>
        <v>180</v>
      </c>
      <c r="D111" s="3">
        <f t="shared" si="47"/>
        <v>114.57613221661275</v>
      </c>
      <c r="E111" s="78">
        <f>$D$106+(LineInterpo($F$107:$G$113,C111)/H111)</f>
        <v>114.57613221661275</v>
      </c>
      <c r="F111" s="23">
        <f t="shared" si="69"/>
        <v>184</v>
      </c>
      <c r="G111" s="25">
        <f>VLOOKUP(B111,'Refinitiv-MktData'!$A:$F,6,FALSE)</f>
        <v>-27.700000000000003</v>
      </c>
      <c r="H111" s="26">
        <v>100</v>
      </c>
      <c r="I111" s="99">
        <f>VLOOKUP(B111,'Refinitiv-MktData'!$A:$F,3,FALSE)</f>
        <v>44728</v>
      </c>
      <c r="J111" s="20">
        <f t="shared" si="70"/>
        <v>-0.2705652173913044</v>
      </c>
      <c r="K111" s="71">
        <f t="shared" si="68"/>
        <v>-1.0352846962060624E-3</v>
      </c>
      <c r="L111" s="73"/>
    </row>
    <row r="112" spans="1:12" ht="17.25" x14ac:dyDescent="0.25">
      <c r="A112" s="22" t="s">
        <v>2</v>
      </c>
      <c r="B112" s="28" t="s">
        <v>86</v>
      </c>
      <c r="C112" s="2">
        <v>270</v>
      </c>
      <c r="D112" s="3">
        <f t="shared" si="47"/>
        <v>114.36404526009102</v>
      </c>
      <c r="E112" s="78">
        <f t="shared" ref="E112" si="71">$D$106+(LineInterpo($F$107:$G$113,C112)/H112)</f>
        <v>114.36404526009102</v>
      </c>
      <c r="F112" s="23">
        <f t="shared" si="69"/>
        <v>276</v>
      </c>
      <c r="G112" s="25">
        <f>VLOOKUP(B112,'Refinitiv-MktData'!$A:$F,6,FALSE)</f>
        <v>-49.7</v>
      </c>
      <c r="H112" s="26">
        <v>100</v>
      </c>
      <c r="I112" s="99">
        <f>VLOOKUP(B112,'Refinitiv-MktData'!$A:$F,3,FALSE)</f>
        <v>44820</v>
      </c>
      <c r="J112" s="20">
        <f t="shared" si="70"/>
        <v>-0.48265217391304355</v>
      </c>
      <c r="K112" s="71">
        <f t="shared" si="68"/>
        <v>-8.985498653459878E-4</v>
      </c>
      <c r="L112" s="73"/>
    </row>
    <row r="113" spans="1:12" ht="17.25" x14ac:dyDescent="0.25">
      <c r="A113" s="22" t="s">
        <v>2</v>
      </c>
      <c r="B113" s="28" t="s">
        <v>87</v>
      </c>
      <c r="C113" s="2">
        <f>$O$9</f>
        <v>365</v>
      </c>
      <c r="D113" s="3">
        <f t="shared" si="47"/>
        <v>114.07482435708098</v>
      </c>
      <c r="E113" s="78">
        <f>$D$106+(LineInterpo($F$107:$G$113,C113)/H113)</f>
        <v>114.07482435708098</v>
      </c>
      <c r="F113" s="23">
        <f t="shared" si="69"/>
        <v>367</v>
      </c>
      <c r="G113" s="25">
        <f>VLOOKUP(B113,'Refinitiv-MktData'!$A:$F,6,FALSE)</f>
        <v>-77.805000000000007</v>
      </c>
      <c r="H113" s="26">
        <v>100</v>
      </c>
      <c r="I113" s="99">
        <f>VLOOKUP(B113,'Refinitiv-MktData'!$A:$F,3,FALSE)</f>
        <v>44911</v>
      </c>
      <c r="J113" s="20">
        <f t="shared" si="70"/>
        <v>-0.77187307692307694</v>
      </c>
      <c r="K113" s="71">
        <f t="shared" si="68"/>
        <v>-1.3952471113241383E-3</v>
      </c>
      <c r="L113" s="73"/>
    </row>
    <row r="114" spans="1:12" ht="17.25" x14ac:dyDescent="0.25">
      <c r="A114" s="22" t="s">
        <v>1</v>
      </c>
      <c r="B114" s="28" t="str">
        <f>A114&amp;"="</f>
        <v>HKD=</v>
      </c>
      <c r="C114" s="2" t="s">
        <v>157</v>
      </c>
      <c r="D114" s="3">
        <f t="shared" si="47"/>
        <v>7.7991499983435153</v>
      </c>
      <c r="E114" s="77">
        <f>VLOOKUP(A114,FXRate!B:E,4,FALSE)</f>
        <v>7.7991499983435153</v>
      </c>
      <c r="F114" s="23">
        <f>VLOOKUP(B114,'Refinitiv-MktData'!$A:$F,3,FALSE)-$B$1</f>
        <v>2</v>
      </c>
      <c r="G114" s="24">
        <v>0</v>
      </c>
      <c r="H114" s="26"/>
      <c r="K114" s="75"/>
      <c r="L114" s="72"/>
    </row>
    <row r="115" spans="1:12" ht="17.25" x14ac:dyDescent="0.25">
      <c r="A115" s="22" t="s">
        <v>1</v>
      </c>
      <c r="B115" s="28" t="s">
        <v>149</v>
      </c>
      <c r="C115" s="2">
        <f>$O$3</f>
        <v>7</v>
      </c>
      <c r="D115" s="3">
        <f t="shared" si="47"/>
        <v>7.7990223060358232</v>
      </c>
      <c r="E115" s="78">
        <f>$D$114+(LineInterpo($F$115:$G$121,C115)/H115)</f>
        <v>7.7990223060358232</v>
      </c>
      <c r="F115" s="23">
        <f>I115-$I$2</f>
        <v>9</v>
      </c>
      <c r="G115" s="25">
        <f>VLOOKUP(B115,'Refinitiv-MktData'!$A:$F,6,FALSE)</f>
        <v>-1.5</v>
      </c>
      <c r="H115" s="26">
        <v>10000</v>
      </c>
      <c r="I115" s="99">
        <f>VLOOKUP(B115,'Refinitiv-MktData'!$A:$F,3,FALSE)</f>
        <v>44553</v>
      </c>
      <c r="J115" s="20">
        <f>(LineInterpo(F114:G121,C115))/H115</f>
        <v>-1.0714285714285714E-4</v>
      </c>
      <c r="K115" s="71">
        <f t="shared" ref="K115:K121" si="72">((1+J115/$E$114)*(1+P3*O3/360)-1)*365/O3</f>
        <v>2.4787754733040276E-4</v>
      </c>
      <c r="L115" s="73"/>
    </row>
    <row r="116" spans="1:12" ht="17.25" x14ac:dyDescent="0.25">
      <c r="A116" s="22" t="s">
        <v>1</v>
      </c>
      <c r="B116" s="28" t="s">
        <v>150</v>
      </c>
      <c r="C116" s="2">
        <f>$O$4</f>
        <v>30</v>
      </c>
      <c r="D116" s="3">
        <f t="shared" si="47"/>
        <v>7.7987657675742845</v>
      </c>
      <c r="E116" s="78">
        <f>$D$114+(LineInterpo($F$115:$G$121,C116)/H116)</f>
        <v>7.7987657675742845</v>
      </c>
      <c r="F116" s="23">
        <f t="shared" ref="F116:F121" si="73">I116-$I$2</f>
        <v>35</v>
      </c>
      <c r="G116" s="25">
        <f>VLOOKUP(B116,'Refinitiv-MktData'!$A:$F,6,FALSE)</f>
        <v>-4.4000000000000004</v>
      </c>
      <c r="H116" s="26">
        <v>10000</v>
      </c>
      <c r="I116" s="99">
        <f>VLOOKUP(B116,'Refinitiv-MktData'!$A:$F,3,FALSE)</f>
        <v>44579</v>
      </c>
      <c r="J116" s="20">
        <f t="shared" ref="J116:J121" si="74">(LineInterpo($F$115:$G$121,C116))/H116</f>
        <v>-3.8423076923076925E-4</v>
      </c>
      <c r="K116" s="71">
        <f t="shared" si="72"/>
        <v>1.6189986371387688E-3</v>
      </c>
      <c r="L116" s="73"/>
    </row>
    <row r="117" spans="1:12" ht="17.25" x14ac:dyDescent="0.25">
      <c r="A117" s="22" t="s">
        <v>1</v>
      </c>
      <c r="B117" s="28" t="s">
        <v>151</v>
      </c>
      <c r="C117" s="2">
        <f>$O$5</f>
        <v>60</v>
      </c>
      <c r="D117" s="3">
        <f t="shared" si="47"/>
        <v>7.7985289638607567</v>
      </c>
      <c r="E117" s="78">
        <f>$D$114+(LineInterpo($F$115:$G$121,C117)/H117)</f>
        <v>7.7985289638607567</v>
      </c>
      <c r="F117" s="23">
        <f t="shared" si="73"/>
        <v>64</v>
      </c>
      <c r="G117" s="25">
        <f>VLOOKUP(B117,'Refinitiv-MktData'!$A:$F,6,FALSE)</f>
        <v>-6.5</v>
      </c>
      <c r="H117" s="26">
        <v>10000</v>
      </c>
      <c r="I117" s="99">
        <f>VLOOKUP(B117,'Refinitiv-MktData'!$A:$F,3,FALSE)</f>
        <v>44608</v>
      </c>
      <c r="J117" s="20">
        <f t="shared" si="74"/>
        <v>-6.2103448275862064E-4</v>
      </c>
      <c r="K117" s="71">
        <f t="shared" si="72"/>
        <v>2.0920393350643183E-3</v>
      </c>
      <c r="L117" s="73"/>
    </row>
    <row r="118" spans="1:12" ht="17.25" x14ac:dyDescent="0.25">
      <c r="A118" s="22" t="s">
        <v>1</v>
      </c>
      <c r="B118" s="28" t="s">
        <v>152</v>
      </c>
      <c r="C118" s="2">
        <f>$O$6</f>
        <v>90</v>
      </c>
      <c r="D118" s="3">
        <f t="shared" si="47"/>
        <v>7.7983439983435154</v>
      </c>
      <c r="E118" s="78">
        <f>$D$114+(LineInterpo($F$115:$G$121,C118)/H118)</f>
        <v>7.7983439983435154</v>
      </c>
      <c r="F118" s="23">
        <f t="shared" si="73"/>
        <v>92</v>
      </c>
      <c r="G118" s="25">
        <f>VLOOKUP(B118,'Refinitiv-MktData'!$A:$F,6,FALSE)</f>
        <v>-8.18</v>
      </c>
      <c r="H118" s="26">
        <v>10000</v>
      </c>
      <c r="I118" s="99">
        <f>VLOOKUP(B118,'Refinitiv-MktData'!$A:$F,3,FALSE)</f>
        <v>44636</v>
      </c>
      <c r="J118" s="20">
        <f t="shared" si="74"/>
        <v>-8.0600000000000008E-4</v>
      </c>
      <c r="K118" s="71">
        <f t="shared" si="72"/>
        <v>2.1049105344937485E-3</v>
      </c>
      <c r="L118" s="73"/>
    </row>
    <row r="119" spans="1:12" ht="17.25" x14ac:dyDescent="0.25">
      <c r="A119" s="22" t="s">
        <v>1</v>
      </c>
      <c r="B119" s="28" t="s">
        <v>153</v>
      </c>
      <c r="C119" s="2">
        <f>$O$7</f>
        <v>180</v>
      </c>
      <c r="D119" s="3">
        <f t="shared" si="47"/>
        <v>7.7978709548652541</v>
      </c>
      <c r="E119" s="78">
        <f>$D$114+(LineInterpo($F$115:$G$121,C119)/H119)</f>
        <v>7.7978709548652541</v>
      </c>
      <c r="F119" s="23">
        <f t="shared" si="73"/>
        <v>184</v>
      </c>
      <c r="G119" s="25">
        <f>VLOOKUP(B119,'Refinitiv-MktData'!$A:$F,6,FALSE)</f>
        <v>-13</v>
      </c>
      <c r="H119" s="26">
        <v>10000</v>
      </c>
      <c r="I119" s="99">
        <f>VLOOKUP(B119,'Refinitiv-MktData'!$A:$F,3,FALSE)</f>
        <v>44728</v>
      </c>
      <c r="J119" s="20">
        <f t="shared" si="74"/>
        <v>-1.2790434782608696E-3</v>
      </c>
      <c r="K119" s="71">
        <f t="shared" si="72"/>
        <v>3.4031791617346349E-3</v>
      </c>
      <c r="L119" s="73"/>
    </row>
    <row r="120" spans="1:12" ht="17.25" x14ac:dyDescent="0.25">
      <c r="A120" s="22" t="s">
        <v>1</v>
      </c>
      <c r="B120" s="28" t="s">
        <v>154</v>
      </c>
      <c r="C120" s="2">
        <v>270</v>
      </c>
      <c r="D120" s="3">
        <f t="shared" si="47"/>
        <v>7.7972891287782975</v>
      </c>
      <c r="E120" s="78">
        <f t="shared" ref="E120" si="75">$D$114+(LineInterpo($F$115:$G$121,C120)/H120)</f>
        <v>7.7972891287782975</v>
      </c>
      <c r="F120" s="23">
        <f t="shared" si="73"/>
        <v>276</v>
      </c>
      <c r="G120" s="25">
        <f>VLOOKUP(B120,'Refinitiv-MktData'!$A:$F,6,FALSE)</f>
        <v>-19</v>
      </c>
      <c r="H120" s="26">
        <v>10000</v>
      </c>
      <c r="I120" s="99">
        <f>VLOOKUP(B120,'Refinitiv-MktData'!$A:$F,3,FALSE)</f>
        <v>44820</v>
      </c>
      <c r="J120" s="20">
        <f t="shared" si="74"/>
        <v>-1.8608695652173914E-3</v>
      </c>
      <c r="K120" s="71">
        <f t="shared" si="72"/>
        <v>4.4666711462414618E-3</v>
      </c>
      <c r="L120" s="73"/>
    </row>
    <row r="121" spans="1:12" ht="17.25" x14ac:dyDescent="0.25">
      <c r="A121" s="22" t="s">
        <v>1</v>
      </c>
      <c r="B121" s="28" t="s">
        <v>155</v>
      </c>
      <c r="C121" s="2">
        <f>$O$9</f>
        <v>365</v>
      </c>
      <c r="D121" s="3">
        <f t="shared" si="47"/>
        <v>7.7966631851567021</v>
      </c>
      <c r="E121" s="78">
        <f>$D$114+(LineInterpo($F$115:$G$121,C121)/H121)</f>
        <v>7.7966631851567021</v>
      </c>
      <c r="F121" s="23">
        <f t="shared" si="73"/>
        <v>367</v>
      </c>
      <c r="G121" s="25">
        <f>VLOOKUP(B121,'Refinitiv-MktData'!$A:$F,6,FALSE)</f>
        <v>-25</v>
      </c>
      <c r="H121" s="26">
        <v>10000</v>
      </c>
      <c r="I121" s="99">
        <f>VLOOKUP(B121,'Refinitiv-MktData'!$A:$F,3,FALSE)</f>
        <v>44911</v>
      </c>
      <c r="J121" s="20">
        <f t="shared" si="74"/>
        <v>-2.4868131868131869E-3</v>
      </c>
      <c r="K121" s="71">
        <f t="shared" si="72"/>
        <v>5.0216175545716446E-3</v>
      </c>
      <c r="L121" s="73"/>
    </row>
    <row r="122" spans="1:12" ht="17.25" x14ac:dyDescent="0.25">
      <c r="A122" s="22" t="s">
        <v>12</v>
      </c>
      <c r="B122" s="28" t="str">
        <f>A122&amp;"="</f>
        <v>CHF=</v>
      </c>
      <c r="C122" s="2" t="s">
        <v>157</v>
      </c>
      <c r="D122" s="3">
        <f t="shared" si="47"/>
        <v>0.9172902999015724</v>
      </c>
      <c r="E122" s="77">
        <f>VLOOKUP(A122,FXRate!B:E,4,FALSE)</f>
        <v>0.9172902999015724</v>
      </c>
      <c r="F122" s="23">
        <f>VLOOKUP(B122,'Refinitiv-MktData'!$A:$F,3,FALSE)-$B$1</f>
        <v>2</v>
      </c>
      <c r="G122" s="24">
        <v>0</v>
      </c>
      <c r="H122" s="26"/>
      <c r="K122" s="75"/>
      <c r="L122" s="72"/>
    </row>
    <row r="123" spans="1:12" ht="17.25" x14ac:dyDescent="0.25">
      <c r="A123" s="22" t="s">
        <v>12</v>
      </c>
      <c r="B123" s="28" t="s">
        <v>48</v>
      </c>
      <c r="C123" s="2">
        <f>$O$3</f>
        <v>7</v>
      </c>
      <c r="D123" s="3">
        <f t="shared" si="47"/>
        <v>0.91721495374772621</v>
      </c>
      <c r="E123" s="78">
        <f t="shared" ref="E123:E129" si="76">$D$122+(LineInterpo($F$123:$G$129,C123)/H123)</f>
        <v>0.91721495374772621</v>
      </c>
      <c r="F123" s="23">
        <f>I123-$I$2</f>
        <v>9</v>
      </c>
      <c r="G123" s="25">
        <f>VLOOKUP(B123,'Refinitiv-MktData'!$A:$F,6,FALSE)</f>
        <v>-1.62</v>
      </c>
      <c r="H123" s="26">
        <v>10000</v>
      </c>
      <c r="I123" s="99">
        <f>VLOOKUP(B123,'Refinitiv-MktData'!$A:$F,3,FALSE)</f>
        <v>44553</v>
      </c>
      <c r="J123" s="20">
        <f>(LineInterpo(F122:G129,C123))/H123</f>
        <v>-1.1571428571428572E-4</v>
      </c>
      <c r="K123" s="71">
        <f t="shared" ref="K123:K129" si="77">((1+J123/$E$122)*(1+P3*O3/360)-1)*360/O3</f>
        <v>-5.5367200929280968E-3</v>
      </c>
      <c r="L123" s="73"/>
    </row>
    <row r="124" spans="1:12" ht="17.25" x14ac:dyDescent="0.25">
      <c r="A124" s="22" t="s">
        <v>12</v>
      </c>
      <c r="B124" s="28" t="s">
        <v>49</v>
      </c>
      <c r="C124" s="2">
        <f>$O$4</f>
        <v>30</v>
      </c>
      <c r="D124" s="3">
        <f t="shared" si="47"/>
        <v>0.91621843451695706</v>
      </c>
      <c r="E124" s="78">
        <f t="shared" si="76"/>
        <v>0.91621843451695706</v>
      </c>
      <c r="F124" s="23">
        <f t="shared" ref="F124:F129" si="78">I124-$I$2</f>
        <v>35</v>
      </c>
      <c r="G124" s="25">
        <f>VLOOKUP(B124,'Refinitiv-MktData'!$A:$F,6,FALSE)</f>
        <v>-12.885000000000002</v>
      </c>
      <c r="H124" s="26">
        <v>10000</v>
      </c>
      <c r="I124" s="99">
        <f>VLOOKUP(B124,'Refinitiv-MktData'!$A:$F,3,FALSE)</f>
        <v>44579</v>
      </c>
      <c r="J124" s="20">
        <f>(LineInterpo($F$123:$G$129,C124))/H124</f>
        <v>-1.0718653846153847E-3</v>
      </c>
      <c r="K124" s="71">
        <f t="shared" si="77"/>
        <v>-1.1836592441266447E-2</v>
      </c>
      <c r="L124" s="73"/>
    </row>
    <row r="125" spans="1:12" ht="17.25" x14ac:dyDescent="0.25">
      <c r="A125" s="22" t="s">
        <v>12</v>
      </c>
      <c r="B125" s="28" t="s">
        <v>50</v>
      </c>
      <c r="C125" s="2">
        <f>$O$5</f>
        <v>60</v>
      </c>
      <c r="D125" s="3">
        <f t="shared" si="47"/>
        <v>0.91536990334984825</v>
      </c>
      <c r="E125" s="78">
        <f t="shared" si="76"/>
        <v>0.91536990334984825</v>
      </c>
      <c r="F125" s="23">
        <f t="shared" si="78"/>
        <v>64</v>
      </c>
      <c r="G125" s="25">
        <f>VLOOKUP(B125,'Refinitiv-MktData'!$A:$F,6,FALSE)</f>
        <v>-20.215</v>
      </c>
      <c r="H125" s="26">
        <v>10000</v>
      </c>
      <c r="I125" s="99">
        <f>VLOOKUP(B125,'Refinitiv-MktData'!$A:$F,3,FALSE)</f>
        <v>44608</v>
      </c>
      <c r="J125" s="20">
        <f>(LineInterpo($F$123:$G$129,C125))/H125</f>
        <v>-1.9203965517241379E-3</v>
      </c>
      <c r="K125" s="71">
        <f t="shared" si="77"/>
        <v>-1.0025288467956583E-2</v>
      </c>
      <c r="L125" s="73"/>
    </row>
    <row r="126" spans="1:12" ht="17.25" x14ac:dyDescent="0.25">
      <c r="A126" s="22" t="s">
        <v>12</v>
      </c>
      <c r="B126" s="28" t="s">
        <v>51</v>
      </c>
      <c r="C126" s="2">
        <f>$O$6</f>
        <v>90</v>
      </c>
      <c r="D126" s="3">
        <f t="shared" si="47"/>
        <v>0.91461508561585814</v>
      </c>
      <c r="E126" s="78">
        <f t="shared" si="76"/>
        <v>0.91461508561585814</v>
      </c>
      <c r="F126" s="23">
        <f t="shared" si="78"/>
        <v>92</v>
      </c>
      <c r="G126" s="25">
        <f>VLOOKUP(B126,'Refinitiv-MktData'!$A:$F,6,FALSE)</f>
        <v>-27.255000000000003</v>
      </c>
      <c r="H126" s="26">
        <v>10000</v>
      </c>
      <c r="I126" s="99">
        <f>VLOOKUP(B126,'Refinitiv-MktData'!$A:$F,3,FALSE)</f>
        <v>44636</v>
      </c>
      <c r="J126" s="20">
        <f>(LineInterpo($F$123:$G$129,C126))/H126</f>
        <v>-2.675214285714286E-3</v>
      </c>
      <c r="K126" s="71">
        <f t="shared" si="77"/>
        <v>-9.1832750784210937E-3</v>
      </c>
      <c r="L126" s="73"/>
    </row>
    <row r="127" spans="1:12" ht="17.25" x14ac:dyDescent="0.25">
      <c r="A127" s="22" t="s">
        <v>12</v>
      </c>
      <c r="B127" s="28" t="s">
        <v>52</v>
      </c>
      <c r="C127" s="2">
        <f>$O$7</f>
        <v>180</v>
      </c>
      <c r="D127" s="3">
        <f t="shared" si="47"/>
        <v>0.91207545207548546</v>
      </c>
      <c r="E127" s="78">
        <f t="shared" si="76"/>
        <v>0.91207545207548546</v>
      </c>
      <c r="F127" s="23">
        <f t="shared" si="78"/>
        <v>184</v>
      </c>
      <c r="G127" s="25">
        <f>VLOOKUP(B127,'Refinitiv-MktData'!$A:$F,6,FALSE)</f>
        <v>-53.28</v>
      </c>
      <c r="H127" s="26">
        <v>10000</v>
      </c>
      <c r="I127" s="99">
        <f>VLOOKUP(B127,'Refinitiv-MktData'!$A:$F,3,FALSE)</f>
        <v>44728</v>
      </c>
      <c r="J127" s="20">
        <f>(LineInterpo($F$123:$G$129,C127))/H127</f>
        <v>-5.2148478260869565E-3</v>
      </c>
      <c r="K127" s="71">
        <f t="shared" si="77"/>
        <v>-7.7059045147158667E-3</v>
      </c>
      <c r="L127" s="73"/>
    </row>
    <row r="128" spans="1:12" ht="17.25" x14ac:dyDescent="0.25">
      <c r="A128" s="22" t="s">
        <v>12</v>
      </c>
      <c r="B128" s="28" t="s">
        <v>53</v>
      </c>
      <c r="C128" s="2">
        <v>270</v>
      </c>
      <c r="D128" s="3">
        <f t="shared" si="47"/>
        <v>0.90912710424939847</v>
      </c>
      <c r="E128" s="78">
        <f t="shared" si="76"/>
        <v>0.90912710424939847</v>
      </c>
      <c r="F128" s="23">
        <f t="shared" si="78"/>
        <v>276</v>
      </c>
      <c r="G128" s="25">
        <f>VLOOKUP(B128,'Refinitiv-MktData'!$A:$F,6,FALSE)</f>
        <v>-83.61</v>
      </c>
      <c r="H128" s="26">
        <v>10000</v>
      </c>
      <c r="I128" s="99">
        <f>VLOOKUP(B128,'Refinitiv-MktData'!$A:$F,3,FALSE)</f>
        <v>44820</v>
      </c>
      <c r="J128" s="20">
        <f t="shared" ref="J128" si="79">(LineInterpo($F$123:$G$129,C128))/H128</f>
        <v>-8.1631956521739119E-3</v>
      </c>
      <c r="K128" s="71">
        <f t="shared" si="77"/>
        <v>-7.1829700466995066E-3</v>
      </c>
      <c r="L128" s="73"/>
    </row>
    <row r="129" spans="1:12" ht="17.25" x14ac:dyDescent="0.25">
      <c r="A129" s="22" t="s">
        <v>12</v>
      </c>
      <c r="B129" s="28" t="s">
        <v>54</v>
      </c>
      <c r="C129" s="2">
        <f>$O$9</f>
        <v>365</v>
      </c>
      <c r="D129" s="3">
        <f t="shared" si="47"/>
        <v>0.90567004165981413</v>
      </c>
      <c r="E129" s="78">
        <f t="shared" si="76"/>
        <v>0.90567004165981413</v>
      </c>
      <c r="F129" s="23">
        <f t="shared" si="78"/>
        <v>367</v>
      </c>
      <c r="G129" s="25">
        <f>VLOOKUP(B129,'Refinitiv-MktData'!$A:$F,6,FALSE)</f>
        <v>-116.935</v>
      </c>
      <c r="H129" s="26">
        <v>10000</v>
      </c>
      <c r="I129" s="99">
        <f>VLOOKUP(B129,'Refinitiv-MktData'!$A:$F,3,FALSE)</f>
        <v>44911</v>
      </c>
      <c r="J129" s="20">
        <f>(LineInterpo($F$123:$G$129,C129))/H129</f>
        <v>-1.1620258241758242E-2</v>
      </c>
      <c r="K129" s="71">
        <f t="shared" si="77"/>
        <v>-7.292242760036715E-3</v>
      </c>
      <c r="L129" s="73"/>
    </row>
    <row r="130" spans="1:12" ht="17.25" x14ac:dyDescent="0.25">
      <c r="A130" s="22" t="s">
        <v>168</v>
      </c>
      <c r="B130" s="28" t="str">
        <f>A130&amp;"="</f>
        <v>NOK=</v>
      </c>
      <c r="C130" s="2" t="s">
        <v>157</v>
      </c>
      <c r="D130" s="3">
        <f t="shared" si="47"/>
        <v>9.1052</v>
      </c>
      <c r="E130" s="77">
        <f>VLOOKUP(B130,'Refinitiv-MktData'!$A:$F,6,FALSE)</f>
        <v>9.1052</v>
      </c>
      <c r="F130" s="23">
        <f>VLOOKUP(B130,'Refinitiv-MktData'!$A:$F,3,FALSE)-$B$1</f>
        <v>2</v>
      </c>
      <c r="G130" s="24">
        <v>0</v>
      </c>
      <c r="H130" s="26"/>
      <c r="K130" s="75"/>
      <c r="L130" s="72"/>
    </row>
    <row r="131" spans="1:12" ht="17.25" x14ac:dyDescent="0.25">
      <c r="A131" s="22" t="s">
        <v>168</v>
      </c>
      <c r="B131" s="28" t="s">
        <v>94</v>
      </c>
      <c r="C131" s="2">
        <f>$O$3</f>
        <v>7</v>
      </c>
      <c r="D131" s="3">
        <f t="shared" ref="D131:D195" si="80">E131</f>
        <v>9.1061559230769227</v>
      </c>
      <c r="E131" s="78">
        <f>$D$130+(LineInterpo($F$131:$G$137,C131)/H131)</f>
        <v>9.1061559230769227</v>
      </c>
      <c r="F131" s="23">
        <f>I131-$I$2</f>
        <v>9</v>
      </c>
      <c r="G131" s="25">
        <f>VLOOKUP(B131,'Refinitiv-MktData'!$A:$F,6,FALSE)</f>
        <v>9.8049999999999997</v>
      </c>
      <c r="H131" s="26">
        <v>10000</v>
      </c>
      <c r="I131" s="99">
        <f>VLOOKUP(B131,'Refinitiv-MktData'!$A:$F,3,FALSE)</f>
        <v>44553</v>
      </c>
      <c r="J131" s="20">
        <f>(LineInterpo(F130:G137,C131))/H131</f>
        <v>7.0035714285714276E-4</v>
      </c>
      <c r="K131" s="71">
        <f t="shared" ref="K131:K137" si="81">((1+J131/$E$130)*(1+P3*O3/360)-1)*360/O3</f>
        <v>4.9068834795613315E-3</v>
      </c>
      <c r="L131" s="73"/>
    </row>
    <row r="132" spans="1:12" ht="17.25" x14ac:dyDescent="0.25">
      <c r="A132" s="22" t="s">
        <v>168</v>
      </c>
      <c r="B132" s="28" t="s">
        <v>95</v>
      </c>
      <c r="C132" s="2">
        <f>$O$4</f>
        <v>30</v>
      </c>
      <c r="D132" s="3">
        <f t="shared" si="80"/>
        <v>9.1064385576923073</v>
      </c>
      <c r="E132" s="78">
        <f>$D$130+(LineInterpo($F$131:$G$137,C132)/H132)</f>
        <v>9.1064385576923073</v>
      </c>
      <c r="F132" s="23">
        <f t="shared" ref="F132:F137" si="82">I132-$I$2</f>
        <v>35</v>
      </c>
      <c r="G132" s="25">
        <f>VLOOKUP(B132,'Refinitiv-MktData'!$A:$F,6,FALSE)</f>
        <v>13</v>
      </c>
      <c r="H132" s="26">
        <v>10000</v>
      </c>
      <c r="I132" s="99">
        <f>VLOOKUP(B132,'Refinitiv-MktData'!$A:$F,3,FALSE)</f>
        <v>44579</v>
      </c>
      <c r="J132" s="20">
        <f>(LineInterpo($F$131:$G$137,C132))/H132</f>
        <v>1.2385576923076924E-3</v>
      </c>
      <c r="K132" s="71">
        <f t="shared" si="81"/>
        <v>3.8207448326739168E-3</v>
      </c>
      <c r="L132" s="73"/>
    </row>
    <row r="133" spans="1:12" ht="17.25" x14ac:dyDescent="0.25">
      <c r="A133" s="22" t="s">
        <v>168</v>
      </c>
      <c r="B133" s="28" t="s">
        <v>96</v>
      </c>
      <c r="C133" s="2">
        <f>$O$5</f>
        <v>60</v>
      </c>
      <c r="D133" s="3">
        <f t="shared" si="80"/>
        <v>9.1097758620689646</v>
      </c>
      <c r="E133" s="78">
        <f>$D$130+(LineInterpo($F$131:$G$137,C133)/H133)</f>
        <v>9.1097758620689646</v>
      </c>
      <c r="F133" s="23">
        <f t="shared" si="82"/>
        <v>64</v>
      </c>
      <c r="G133" s="25">
        <f>VLOOKUP(B133,'Refinitiv-MktData'!$A:$F,6,FALSE)</f>
        <v>51</v>
      </c>
      <c r="H133" s="26">
        <v>10000</v>
      </c>
      <c r="I133" s="99">
        <f>VLOOKUP(B133,'Refinitiv-MktData'!$A:$F,3,FALSE)</f>
        <v>44608</v>
      </c>
      <c r="J133" s="20">
        <f>(LineInterpo($F$131:$G$137,C133))/H133</f>
        <v>4.5758620689655173E-3</v>
      </c>
      <c r="K133" s="71">
        <f t="shared" si="81"/>
        <v>5.5579605624362927E-3</v>
      </c>
      <c r="L133" s="73"/>
    </row>
    <row r="134" spans="1:12" ht="17.25" x14ac:dyDescent="0.25">
      <c r="A134" s="22" t="s">
        <v>168</v>
      </c>
      <c r="B134" s="28" t="s">
        <v>97</v>
      </c>
      <c r="C134" s="2">
        <f>$O$6</f>
        <v>90</v>
      </c>
      <c r="D134" s="3">
        <f t="shared" si="80"/>
        <v>9.1129928571428565</v>
      </c>
      <c r="E134" s="78">
        <f>$D$130+(LineInterpo($F$131:$G$137,C134)/H134)</f>
        <v>9.1129928571428565</v>
      </c>
      <c r="F134" s="23">
        <f t="shared" si="82"/>
        <v>92</v>
      </c>
      <c r="G134" s="25">
        <f>VLOOKUP(B134,'Refinitiv-MktData'!$A:$F,6,FALSE)</f>
        <v>80</v>
      </c>
      <c r="H134" s="26">
        <v>10000</v>
      </c>
      <c r="I134" s="99">
        <f>VLOOKUP(B134,'Refinitiv-MktData'!$A:$F,3,FALSE)</f>
        <v>44636</v>
      </c>
      <c r="J134" s="20">
        <f>(LineInterpo($F$131:$G$137,C134))/H134</f>
        <v>7.792857142857143E-3</v>
      </c>
      <c r="K134" s="71">
        <f t="shared" si="81"/>
        <v>5.9153181292215251E-3</v>
      </c>
      <c r="L134" s="73"/>
    </row>
    <row r="135" spans="1:12" ht="17.25" x14ac:dyDescent="0.25">
      <c r="A135" s="22" t="s">
        <v>168</v>
      </c>
      <c r="B135" s="28" t="s">
        <v>98</v>
      </c>
      <c r="C135" s="2">
        <f>$O$7</f>
        <v>180</v>
      </c>
      <c r="D135" s="3">
        <f t="shared" si="80"/>
        <v>9.1252521739130437</v>
      </c>
      <c r="E135" s="78">
        <f>$D$130+(LineInterpo($F$131:$G$137,C135)/H135)</f>
        <v>9.1252521739130437</v>
      </c>
      <c r="F135" s="23">
        <f t="shared" si="82"/>
        <v>184</v>
      </c>
      <c r="G135" s="25">
        <f>VLOOKUP(B135,'Refinitiv-MktData'!$A:$F,6,FALSE)</f>
        <v>206</v>
      </c>
      <c r="H135" s="26">
        <v>10000</v>
      </c>
      <c r="I135" s="99">
        <f>VLOOKUP(B135,'Refinitiv-MktData'!$A:$F,3,FALSE)</f>
        <v>44728</v>
      </c>
      <c r="J135" s="20">
        <f>(LineInterpo($F$131:$G$137,C135))/H135</f>
        <v>2.0052173913043477E-2</v>
      </c>
      <c r="K135" s="71">
        <f t="shared" si="81"/>
        <v>8.0978302823919712E-3</v>
      </c>
      <c r="L135" s="73"/>
    </row>
    <row r="136" spans="1:12" ht="17.25" x14ac:dyDescent="0.25">
      <c r="A136" s="22" t="s">
        <v>168</v>
      </c>
      <c r="B136" s="28" t="s">
        <v>99</v>
      </c>
      <c r="C136" s="2">
        <v>270</v>
      </c>
      <c r="D136" s="3">
        <f t="shared" si="80"/>
        <v>9.1361760869565209</v>
      </c>
      <c r="E136" s="78">
        <f t="shared" ref="E136" si="83">$D$130+(LineInterpo($F$131:$G$137,C136)/H136)</f>
        <v>9.1361760869565209</v>
      </c>
      <c r="F136" s="23">
        <f t="shared" si="82"/>
        <v>276</v>
      </c>
      <c r="G136" s="25">
        <f>VLOOKUP(B136,'Refinitiv-MktData'!$A:$F,6,FALSE)</f>
        <v>317</v>
      </c>
      <c r="H136" s="26">
        <v>10000</v>
      </c>
      <c r="I136" s="99">
        <f>VLOOKUP(B136,'Refinitiv-MktData'!$A:$F,3,FALSE)</f>
        <v>44820</v>
      </c>
      <c r="J136" s="20">
        <f t="shared" ref="J136" si="84">(LineInterpo($F$131:$G$137,C136))/H136</f>
        <v>3.0976086956521737E-2</v>
      </c>
      <c r="K136" s="71">
        <f t="shared" si="81"/>
        <v>9.2768456807249908E-3</v>
      </c>
      <c r="L136" s="73"/>
    </row>
    <row r="137" spans="1:12" ht="17.25" x14ac:dyDescent="0.25">
      <c r="A137" s="22" t="s">
        <v>168</v>
      </c>
      <c r="B137" s="28" t="s">
        <v>100</v>
      </c>
      <c r="C137" s="2">
        <f>$O$9</f>
        <v>365</v>
      </c>
      <c r="D137" s="3">
        <f t="shared" si="80"/>
        <v>9.1474919780219786</v>
      </c>
      <c r="E137" s="78">
        <f>$D$130+(LineInterpo($F$131:$G$137,C137)/H137)</f>
        <v>9.1474919780219786</v>
      </c>
      <c r="F137" s="23">
        <f t="shared" si="82"/>
        <v>367</v>
      </c>
      <c r="G137" s="25">
        <f>VLOOKUP(B137,'Refinitiv-MktData'!$A:$F,6,FALSE)</f>
        <v>425.3</v>
      </c>
      <c r="H137" s="26">
        <v>10000</v>
      </c>
      <c r="I137" s="99">
        <f>VLOOKUP(B137,'Refinitiv-MktData'!$A:$F,3,FALSE)</f>
        <v>44911</v>
      </c>
      <c r="J137" s="20">
        <f>(LineInterpo($F$131:$G$137,C137))/H137</f>
        <v>4.2291978021978024E-2</v>
      </c>
      <c r="K137" s="71">
        <f t="shared" si="81"/>
        <v>9.8746592159705167E-3</v>
      </c>
      <c r="L137" s="73"/>
    </row>
    <row r="138" spans="1:12" ht="17.25" x14ac:dyDescent="0.25">
      <c r="A138" s="22" t="s">
        <v>212</v>
      </c>
      <c r="B138" s="28" t="s">
        <v>532</v>
      </c>
      <c r="C138" s="2" t="s">
        <v>157</v>
      </c>
      <c r="D138" s="3">
        <f t="shared" si="80"/>
        <v>74.669153467885849</v>
      </c>
      <c r="E138" s="77">
        <f>VLOOKUP(A138,FXRate!B:E,4,FALSE)</f>
        <v>74.669153467885849</v>
      </c>
      <c r="F138" s="23">
        <f>VLOOKUP(B138,'Refinitiv-MktData'!$A:$F,3,FALSE)-$B$1</f>
        <v>2</v>
      </c>
      <c r="G138" s="24">
        <v>0</v>
      </c>
      <c r="H138" s="26"/>
      <c r="K138" s="75"/>
      <c r="L138" s="72"/>
    </row>
    <row r="139" spans="1:12" ht="17.25" x14ac:dyDescent="0.25">
      <c r="A139" s="22" t="s">
        <v>212</v>
      </c>
      <c r="B139" s="28" t="s">
        <v>187</v>
      </c>
      <c r="C139" s="2">
        <f>$O$3</f>
        <v>7</v>
      </c>
      <c r="D139" s="3">
        <f t="shared" si="80"/>
        <v>74.742753429424312</v>
      </c>
      <c r="E139" s="78">
        <f>$D$138+(LineInterpo($F$139:$G$145,C139)/H139)</f>
        <v>74.742753429424312</v>
      </c>
      <c r="F139" s="23">
        <f>I139-$I$2</f>
        <v>9</v>
      </c>
      <c r="G139" s="25">
        <f>VLOOKUP(B139,'Refinitiv-MktData'!$A:$F,6,FALSE)</f>
        <v>8.620000000000001</v>
      </c>
      <c r="H139" s="26">
        <v>100</v>
      </c>
      <c r="I139" s="99">
        <f>VLOOKUP(B139,'Refinitiv-MktData'!$A:$F,3,FALSE)</f>
        <v>44553</v>
      </c>
      <c r="J139" s="20">
        <f>(LineInterpo(F138:G145,C139))/H139</f>
        <v>6.1571428571428576E-2</v>
      </c>
      <c r="K139" s="71">
        <f t="shared" ref="K139:K145" si="85">((1+J139/$E$138)*(1+P3*O3/360)-1)*365/O3</f>
        <v>4.3961484481397681E-2</v>
      </c>
      <c r="L139" s="73"/>
    </row>
    <row r="140" spans="1:12" ht="17.25" x14ac:dyDescent="0.25">
      <c r="A140" s="22" t="s">
        <v>212</v>
      </c>
      <c r="B140" s="28" t="s">
        <v>188</v>
      </c>
      <c r="C140" s="2">
        <f>$O$4</f>
        <v>30</v>
      </c>
      <c r="D140" s="3">
        <f t="shared" si="80"/>
        <v>74.887653871731999</v>
      </c>
      <c r="E140" s="78">
        <f>$D$138+(LineInterpo($F$139:$G$145,C140)/H140)</f>
        <v>74.887653871731999</v>
      </c>
      <c r="F140" s="23">
        <f t="shared" ref="F140:F145" si="86">I140-$I$2</f>
        <v>35</v>
      </c>
      <c r="G140" s="25">
        <f>VLOOKUP(B140,'Refinitiv-MktData'!$A:$F,6,FALSE)</f>
        <v>25.000050000000002</v>
      </c>
      <c r="H140" s="26">
        <v>100</v>
      </c>
      <c r="I140" s="99">
        <f>VLOOKUP(B140,'Refinitiv-MktData'!$A:$F,3,FALSE)</f>
        <v>44579</v>
      </c>
      <c r="J140" s="20">
        <f t="shared" ref="J140:J145" si="87">(LineInterpo($F$139:$G$145,C140))/H140</f>
        <v>0.21850040384615388</v>
      </c>
      <c r="K140" s="71">
        <f t="shared" si="85"/>
        <v>3.7827674161783231E-2</v>
      </c>
      <c r="L140" s="73"/>
    </row>
    <row r="141" spans="1:12" ht="17.25" x14ac:dyDescent="0.25">
      <c r="A141" s="22" t="s">
        <v>212</v>
      </c>
      <c r="B141" s="28" t="s">
        <v>189</v>
      </c>
      <c r="C141" s="2">
        <f>$O$5</f>
        <v>60</v>
      </c>
      <c r="D141" s="3">
        <f t="shared" si="80"/>
        <v>75.174498364437568</v>
      </c>
      <c r="E141" s="78">
        <f>$D$138+(LineInterpo($F$139:$G$145,C141)/H141)</f>
        <v>75.174498364437568</v>
      </c>
      <c r="F141" s="23">
        <f t="shared" si="86"/>
        <v>64</v>
      </c>
      <c r="G141" s="25">
        <f>VLOOKUP(B141,'Refinitiv-MktData'!$A:$F,6,FALSE)</f>
        <v>54.620000000000005</v>
      </c>
      <c r="H141" s="26">
        <v>100</v>
      </c>
      <c r="I141" s="99">
        <f>VLOOKUP(B141,'Refinitiv-MktData'!$A:$F,3,FALSE)</f>
        <v>44608</v>
      </c>
      <c r="J141" s="20">
        <f t="shared" si="87"/>
        <v>0.5053448965517241</v>
      </c>
      <c r="K141" s="71">
        <f t="shared" si="85"/>
        <v>4.376479117881419E-2</v>
      </c>
      <c r="L141" s="73"/>
    </row>
    <row r="142" spans="1:12" ht="17.25" x14ac:dyDescent="0.25">
      <c r="A142" s="22" t="s">
        <v>212</v>
      </c>
      <c r="B142" s="28" t="s">
        <v>190</v>
      </c>
      <c r="C142" s="2">
        <f>$O$6</f>
        <v>90</v>
      </c>
      <c r="D142" s="3">
        <f t="shared" si="80"/>
        <v>75.456782039314419</v>
      </c>
      <c r="E142" s="78">
        <f>$D$138+(LineInterpo($F$139:$G$145,C142)/H142)</f>
        <v>75.456782039314419</v>
      </c>
      <c r="F142" s="23">
        <f t="shared" si="86"/>
        <v>92</v>
      </c>
      <c r="G142" s="25">
        <f>VLOOKUP(B142,'Refinitiv-MktData'!$A:$F,6,FALSE)</f>
        <v>80.62</v>
      </c>
      <c r="H142" s="26">
        <v>100</v>
      </c>
      <c r="I142" s="99">
        <f>VLOOKUP(B142,'Refinitiv-MktData'!$A:$F,3,FALSE)</f>
        <v>44636</v>
      </c>
      <c r="J142" s="20">
        <f t="shared" si="87"/>
        <v>0.78762857142857146</v>
      </c>
      <c r="K142" s="71">
        <f t="shared" si="85"/>
        <v>4.5329914144855189E-2</v>
      </c>
      <c r="L142" s="73"/>
    </row>
    <row r="143" spans="1:12" ht="17.25" x14ac:dyDescent="0.25">
      <c r="A143" s="22" t="s">
        <v>212</v>
      </c>
      <c r="B143" s="28" t="s">
        <v>191</v>
      </c>
      <c r="C143" s="2">
        <f>$O$7</f>
        <v>180</v>
      </c>
      <c r="D143" s="3">
        <f t="shared" si="80"/>
        <v>76.45578825049455</v>
      </c>
      <c r="E143" s="78">
        <f>$D$138+(LineInterpo($F$139:$G$145,C143)/H143)</f>
        <v>76.45578825049455</v>
      </c>
      <c r="F143" s="23">
        <f t="shared" si="86"/>
        <v>184</v>
      </c>
      <c r="G143" s="25">
        <f>VLOOKUP(B143,'Refinitiv-MktData'!$A:$F,6,FALSE)</f>
        <v>183.12</v>
      </c>
      <c r="H143" s="26">
        <v>100</v>
      </c>
      <c r="I143" s="99">
        <f>VLOOKUP(B143,'Refinitiv-MktData'!$A:$F,3,FALSE)</f>
        <v>44728</v>
      </c>
      <c r="J143" s="20">
        <f t="shared" si="87"/>
        <v>1.7866347826086957</v>
      </c>
      <c r="K143" s="71">
        <f t="shared" si="85"/>
        <v>5.234508733860381E-2</v>
      </c>
      <c r="L143" s="73"/>
    </row>
    <row r="144" spans="1:12" ht="17.25" x14ac:dyDescent="0.25">
      <c r="A144" s="22" t="s">
        <v>212</v>
      </c>
      <c r="B144" s="28" t="s">
        <v>192</v>
      </c>
      <c r="C144" s="2">
        <v>270</v>
      </c>
      <c r="D144" s="3">
        <f t="shared" si="80"/>
        <v>77.276223033103236</v>
      </c>
      <c r="E144" s="78">
        <f t="shared" ref="E144" si="88">$D$138+(LineInterpo($F$139:$G$145,C144)/H144)</f>
        <v>77.276223033103236</v>
      </c>
      <c r="F144" s="23">
        <f t="shared" si="86"/>
        <v>276</v>
      </c>
      <c r="G144" s="25">
        <f>VLOOKUP(B144,'Refinitiv-MktData'!$A:$F,6,FALSE)</f>
        <v>266.12</v>
      </c>
      <c r="H144" s="26">
        <v>100</v>
      </c>
      <c r="I144" s="99">
        <f>VLOOKUP(B144,'Refinitiv-MktData'!$A:$F,3,FALSE)</f>
        <v>44820</v>
      </c>
      <c r="J144" s="20">
        <f t="shared" si="87"/>
        <v>2.6070695652173912</v>
      </c>
      <c r="K144" s="71">
        <f t="shared" si="85"/>
        <v>5.2157456273356315E-2</v>
      </c>
      <c r="L144" s="73"/>
    </row>
    <row r="145" spans="1:12" ht="17.25" x14ac:dyDescent="0.25">
      <c r="A145" s="22" t="s">
        <v>212</v>
      </c>
      <c r="B145" s="28" t="s">
        <v>193</v>
      </c>
      <c r="C145" s="2">
        <f>$O$9</f>
        <v>365</v>
      </c>
      <c r="D145" s="3">
        <f t="shared" si="80"/>
        <v>78.136047973380357</v>
      </c>
      <c r="E145" s="78">
        <f>$D$138+(LineInterpo($F$139:$G$145,C145)/H145)</f>
        <v>78.136047973380357</v>
      </c>
      <c r="F145" s="23">
        <f t="shared" si="86"/>
        <v>367</v>
      </c>
      <c r="G145" s="25">
        <f>VLOOKUP(B145,'Refinitiv-MktData'!$A:$F,6,FALSE)</f>
        <v>348.5</v>
      </c>
      <c r="H145" s="26">
        <v>100</v>
      </c>
      <c r="I145" s="99">
        <f>VLOOKUP(B145,'Refinitiv-MktData'!$A:$F,3,FALSE)</f>
        <v>44911</v>
      </c>
      <c r="J145" s="20">
        <f t="shared" si="87"/>
        <v>3.4668945054945057</v>
      </c>
      <c r="K145" s="71">
        <f t="shared" si="85"/>
        <v>5.2020292094493437E-2</v>
      </c>
      <c r="L145" s="73"/>
    </row>
    <row r="146" spans="1:12" ht="17.25" x14ac:dyDescent="0.25">
      <c r="A146" s="22" t="s">
        <v>213</v>
      </c>
      <c r="B146" s="28" t="s">
        <v>533</v>
      </c>
      <c r="C146" s="2" t="s">
        <v>157</v>
      </c>
      <c r="D146" s="3">
        <f t="shared" si="80"/>
        <v>14224.264071643998</v>
      </c>
      <c r="E146" s="77">
        <f>VLOOKUP(A146,FXRate!B:E,4,FALSE)</f>
        <v>14224.264071643998</v>
      </c>
      <c r="F146" s="23">
        <f>VLOOKUP(B146,'Refinitiv-MktData'!$A:$F,3,FALSE)-$B$1</f>
        <v>2</v>
      </c>
      <c r="G146" s="24">
        <v>0</v>
      </c>
      <c r="H146" s="26"/>
      <c r="K146" s="75"/>
      <c r="L146" s="72"/>
    </row>
    <row r="147" spans="1:12" ht="17.25" x14ac:dyDescent="0.25">
      <c r="A147" s="22" t="s">
        <v>213</v>
      </c>
      <c r="B147" s="28" t="s">
        <v>194</v>
      </c>
      <c r="C147" s="2">
        <f>$O$3</f>
        <v>7</v>
      </c>
      <c r="D147" s="3">
        <f t="shared" si="80"/>
        <v>14216.340994720922</v>
      </c>
      <c r="E147" s="78">
        <f>$D$146+(LineInterpo($F$147:$G$153,C147)/H147)</f>
        <v>14216.340994720922</v>
      </c>
      <c r="F147" s="23">
        <f>I147-$I$2</f>
        <v>9</v>
      </c>
      <c r="G147" s="25">
        <f>VLOOKUP(B147,'Refinitiv-MktData'!$A:$F,6,FALSE)</f>
        <v>-5.0000000000000009</v>
      </c>
      <c r="H147" s="26">
        <v>1</v>
      </c>
      <c r="I147" s="99">
        <f>VLOOKUP(B147,'Refinitiv-MktData'!$A:$F,3,FALSE)</f>
        <v>44553</v>
      </c>
      <c r="J147" s="20">
        <f>(LineInterpo(F146:G153,C147))/H147</f>
        <v>-3.5714285714285721</v>
      </c>
      <c r="K147" s="71">
        <f t="shared" ref="K147:K153" si="89">((1+J147/$E$146)*(1+P3*O3/360)-1)*360/O3</f>
        <v>-1.1961917310939287E-2</v>
      </c>
      <c r="L147" s="73"/>
    </row>
    <row r="148" spans="1:12" ht="17.25" x14ac:dyDescent="0.25">
      <c r="A148" s="22" t="s">
        <v>213</v>
      </c>
      <c r="B148" s="28" t="s">
        <v>195</v>
      </c>
      <c r="C148" s="2">
        <f>$O$4</f>
        <v>30</v>
      </c>
      <c r="D148" s="3">
        <f t="shared" si="80"/>
        <v>14249.956379336307</v>
      </c>
      <c r="E148" s="78">
        <f>$D$146+(LineInterpo($F$147:$G$153,C148)/H148)</f>
        <v>14249.956379336307</v>
      </c>
      <c r="F148" s="23">
        <f t="shared" ref="F148:F153" si="90">I148-$I$2</f>
        <v>35</v>
      </c>
      <c r="G148" s="25">
        <f>VLOOKUP(B148,'Refinitiv-MktData'!$A:$F,6,FALSE)</f>
        <v>33</v>
      </c>
      <c r="H148" s="26">
        <v>1</v>
      </c>
      <c r="I148" s="99">
        <f>VLOOKUP(B148,'Refinitiv-MktData'!$A:$F,3,FALSE)</f>
        <v>44579</v>
      </c>
      <c r="J148" s="20">
        <f>(LineInterpo($F$147:$G$153,C148))/H148</f>
        <v>25.692307692307693</v>
      </c>
      <c r="K148" s="71">
        <f t="shared" si="89"/>
        <v>2.386684212431156E-2</v>
      </c>
      <c r="L148" s="73"/>
    </row>
    <row r="149" spans="1:12" ht="17.25" x14ac:dyDescent="0.25">
      <c r="A149" s="22" t="s">
        <v>213</v>
      </c>
      <c r="B149" s="28" t="s">
        <v>196</v>
      </c>
      <c r="C149" s="2">
        <f>$O$5</f>
        <v>60</v>
      </c>
      <c r="D149" s="3">
        <f t="shared" si="80"/>
        <v>14294.764071643998</v>
      </c>
      <c r="E149" s="78">
        <f>$D$146+(LineInterpo($F$147:$G$153,C149)/H149)</f>
        <v>14294.764071643998</v>
      </c>
      <c r="F149" s="23">
        <f t="shared" si="90"/>
        <v>64</v>
      </c>
      <c r="G149" s="25">
        <f>VLOOKUP(B149,'Refinitiv-MktData'!$A:$F,6,FALSE)</f>
        <v>76.5</v>
      </c>
      <c r="H149" s="26">
        <v>1</v>
      </c>
      <c r="I149" s="99">
        <f>VLOOKUP(B149,'Refinitiv-MktData'!$A:$F,3,FALSE)</f>
        <v>44608</v>
      </c>
      <c r="J149" s="20">
        <f>(LineInterpo($F$147:$G$153,C149))/H149</f>
        <v>70.5</v>
      </c>
      <c r="K149" s="71">
        <f t="shared" si="89"/>
        <v>3.2291868389735967E-2</v>
      </c>
      <c r="L149" s="73"/>
    </row>
    <row r="150" spans="1:12" ht="17.25" x14ac:dyDescent="0.25">
      <c r="A150" s="22" t="s">
        <v>213</v>
      </c>
      <c r="B150" s="28" t="s">
        <v>197</v>
      </c>
      <c r="C150" s="2">
        <f>$O$6</f>
        <v>90</v>
      </c>
      <c r="D150" s="3">
        <f t="shared" si="80"/>
        <v>14338.375857358284</v>
      </c>
      <c r="E150" s="78">
        <f>$D$146+(LineInterpo($F$147:$G$153,C150)/H150)</f>
        <v>14338.375857358284</v>
      </c>
      <c r="F150" s="23">
        <f t="shared" si="90"/>
        <v>92</v>
      </c>
      <c r="G150" s="25">
        <f>VLOOKUP(B150,'Refinitiv-MktData'!$A:$F,6,FALSE)</f>
        <v>117.00500000000001</v>
      </c>
      <c r="H150" s="26">
        <v>1</v>
      </c>
      <c r="I150" s="99">
        <f>VLOOKUP(B150,'Refinitiv-MktData'!$A:$F,3,FALSE)</f>
        <v>44636</v>
      </c>
      <c r="J150" s="20">
        <f>(LineInterpo($F$147:$G$153,C150))/H150</f>
        <v>114.11178571428573</v>
      </c>
      <c r="K150" s="71">
        <f t="shared" si="89"/>
        <v>3.4599017866379533E-2</v>
      </c>
      <c r="L150" s="73"/>
    </row>
    <row r="151" spans="1:12" ht="17.25" x14ac:dyDescent="0.25">
      <c r="A151" s="22" t="s">
        <v>213</v>
      </c>
      <c r="B151" s="28" t="s">
        <v>198</v>
      </c>
      <c r="C151" s="2">
        <f>$O$7</f>
        <v>180</v>
      </c>
      <c r="D151" s="3">
        <f t="shared" si="80"/>
        <v>14500.051680339651</v>
      </c>
      <c r="E151" s="78">
        <f>$D$146+(LineInterpo($F$147:$G$153,C151)/H151)</f>
        <v>14500.051680339651</v>
      </c>
      <c r="F151" s="23">
        <f t="shared" si="90"/>
        <v>184</v>
      </c>
      <c r="G151" s="25">
        <f>VLOOKUP(B151,'Refinitiv-MktData'!$A:$F,6,FALSE)</f>
        <v>283.005</v>
      </c>
      <c r="H151" s="26">
        <v>1</v>
      </c>
      <c r="I151" s="99">
        <f>VLOOKUP(B151,'Refinitiv-MktData'!$A:$F,3,FALSE)</f>
        <v>44728</v>
      </c>
      <c r="J151" s="20">
        <f>(LineInterpo($F$147:$G$153,C151))/H151</f>
        <v>275.78760869565218</v>
      </c>
      <c r="K151" s="71">
        <f t="shared" si="89"/>
        <v>4.2533675431395412E-2</v>
      </c>
      <c r="L151" s="73"/>
    </row>
    <row r="152" spans="1:12" ht="17.25" x14ac:dyDescent="0.25">
      <c r="A152" s="22" t="s">
        <v>213</v>
      </c>
      <c r="B152" s="28" t="s">
        <v>199</v>
      </c>
      <c r="C152" s="2">
        <v>270</v>
      </c>
      <c r="D152" s="3">
        <f t="shared" si="80"/>
        <v>14627.851354252694</v>
      </c>
      <c r="E152" s="78">
        <f t="shared" ref="E152" si="91">$D$146+(LineInterpo($F$147:$G$153,C152)/H152)</f>
        <v>14627.851354252694</v>
      </c>
      <c r="F152" s="23">
        <f t="shared" si="90"/>
        <v>276</v>
      </c>
      <c r="G152" s="25">
        <f>VLOOKUP(B152,'Refinitiv-MktData'!$A:$F,6,FALSE)</f>
        <v>412</v>
      </c>
      <c r="H152" s="26">
        <v>1</v>
      </c>
      <c r="I152" s="99">
        <f>VLOOKUP(B152,'Refinitiv-MktData'!$A:$F,3,FALSE)</f>
        <v>44820</v>
      </c>
      <c r="J152" s="20">
        <f t="shared" ref="J152" si="92">(LineInterpo($F$147:$G$153,C152))/H152</f>
        <v>403.58728260869566</v>
      </c>
      <c r="K152" s="71">
        <f t="shared" si="89"/>
        <v>4.2689675560818152E-2</v>
      </c>
      <c r="L152" s="73"/>
    </row>
    <row r="153" spans="1:12" ht="17.25" x14ac:dyDescent="0.25">
      <c r="A153" s="22" t="s">
        <v>213</v>
      </c>
      <c r="B153" s="28" t="s">
        <v>200</v>
      </c>
      <c r="C153" s="2">
        <f>$O$9</f>
        <v>365</v>
      </c>
      <c r="D153" s="3">
        <f t="shared" si="80"/>
        <v>14791.774456259383</v>
      </c>
      <c r="E153" s="78">
        <f>$D$146+(LineInterpo($F$147:$G$153,C153)/H153)</f>
        <v>14791.774456259383</v>
      </c>
      <c r="F153" s="23">
        <f t="shared" si="90"/>
        <v>367</v>
      </c>
      <c r="G153" s="25">
        <f>VLOOKUP(B153,'Refinitiv-MktData'!$A:$F,6,FALSE)</f>
        <v>571.005</v>
      </c>
      <c r="H153" s="26">
        <v>1</v>
      </c>
      <c r="I153" s="99">
        <f>VLOOKUP(B153,'Refinitiv-MktData'!$A:$F,3,FALSE)</f>
        <v>44911</v>
      </c>
      <c r="J153" s="20">
        <f>(LineInterpo($F$147:$G$153,C153))/H153</f>
        <v>567.51038461538462</v>
      </c>
      <c r="K153" s="71">
        <f t="shared" si="89"/>
        <v>4.4830023356795139E-2</v>
      </c>
      <c r="L153" s="73"/>
    </row>
    <row r="154" spans="1:12" ht="17.25" x14ac:dyDescent="0.25">
      <c r="A154" s="22" t="s">
        <v>214</v>
      </c>
      <c r="B154" s="28" t="s">
        <v>528</v>
      </c>
      <c r="C154" s="2" t="s">
        <v>157</v>
      </c>
      <c r="D154" s="3">
        <f t="shared" si="80"/>
        <v>50.459999970108079</v>
      </c>
      <c r="E154" s="77">
        <f>VLOOKUP(A154,FXRate!B:E,4,FALSE)</f>
        <v>50.459999970108079</v>
      </c>
      <c r="F154" s="23">
        <f>VLOOKUP(B154,'Refinitiv-MktData'!$A:$F,3,FALSE)-$B$1</f>
        <v>1</v>
      </c>
      <c r="G154" s="24">
        <v>0</v>
      </c>
      <c r="H154" s="26"/>
      <c r="K154" s="75"/>
      <c r="L154" s="72"/>
    </row>
    <row r="155" spans="1:12" ht="17.25" x14ac:dyDescent="0.25">
      <c r="A155" s="22" t="s">
        <v>214</v>
      </c>
      <c r="B155" s="28" t="s">
        <v>141</v>
      </c>
      <c r="C155" s="2">
        <f>$O$3</f>
        <v>7</v>
      </c>
      <c r="D155" s="3">
        <f t="shared" si="80"/>
        <v>50.472857112965222</v>
      </c>
      <c r="E155" s="78">
        <f>$D$154+(LineInterpo($F$154:$G$161,C155)/H155)</f>
        <v>50.472857112965222</v>
      </c>
      <c r="F155" s="23">
        <f>I155-$I$2</f>
        <v>8</v>
      </c>
      <c r="G155" s="25">
        <f>VLOOKUP(B155,'Refinitiv-MktData'!$A:$F,6,FALSE)</f>
        <v>1.5000000000000001E-2</v>
      </c>
      <c r="H155" s="26">
        <v>1</v>
      </c>
      <c r="I155" s="99">
        <f>VLOOKUP(B155,'Refinitiv-MktData'!$A:$F,3,FALSE)</f>
        <v>44552</v>
      </c>
      <c r="J155" s="20">
        <f>(LineInterpo(F154:G161,C155))/H155</f>
        <v>1.2857142857142859E-2</v>
      </c>
      <c r="K155" s="71">
        <f t="shared" ref="K155:K161" si="93">((1+J155/$E$154)*(1+P3*O3/360)-1)*360/O3</f>
        <v>1.4055184372157978E-2</v>
      </c>
      <c r="L155" s="73"/>
    </row>
    <row r="156" spans="1:12" ht="17.25" x14ac:dyDescent="0.25">
      <c r="A156" s="22" t="s">
        <v>214</v>
      </c>
      <c r="B156" s="28" t="s">
        <v>142</v>
      </c>
      <c r="C156" s="2">
        <f>$O$4</f>
        <v>30</v>
      </c>
      <c r="D156" s="3">
        <f t="shared" si="80"/>
        <v>50.514518488626599</v>
      </c>
      <c r="E156" s="78">
        <f>$D$154+(LineInterpo($F$155:$G$161,C156)/H156)</f>
        <v>50.514518488626599</v>
      </c>
      <c r="F156" s="23">
        <f t="shared" ref="F156:F161" si="94">I156-$I$2</f>
        <v>35</v>
      </c>
      <c r="G156" s="25">
        <f>VLOOKUP(B156,'Refinitiv-MktData'!$A:$F,6,FALSE)</f>
        <v>6.3500000000000001E-2</v>
      </c>
      <c r="H156" s="26">
        <v>1</v>
      </c>
      <c r="I156" s="99">
        <f>VLOOKUP(B156,'Refinitiv-MktData'!$A:$F,3,FALSE)</f>
        <v>44579</v>
      </c>
      <c r="J156" s="20">
        <f t="shared" ref="J156:J161" si="95">(LineInterpo($F$155:$G$161,C156))/H156</f>
        <v>5.4518518518518522E-2</v>
      </c>
      <c r="K156" s="71">
        <f t="shared" si="93"/>
        <v>1.5155646100682318E-2</v>
      </c>
      <c r="L156" s="73"/>
    </row>
    <row r="157" spans="1:12" ht="17.25" x14ac:dyDescent="0.25">
      <c r="A157" s="22" t="s">
        <v>214</v>
      </c>
      <c r="B157" s="28" t="s">
        <v>143</v>
      </c>
      <c r="C157" s="2">
        <f>$O$5</f>
        <v>60</v>
      </c>
      <c r="D157" s="3">
        <f t="shared" si="80"/>
        <v>50.569482112965218</v>
      </c>
      <c r="E157" s="78">
        <f>$D$154+(LineInterpo($F$155:$G$161,C157)/H157)</f>
        <v>50.569482112965218</v>
      </c>
      <c r="F157" s="23">
        <f t="shared" si="94"/>
        <v>63</v>
      </c>
      <c r="G157" s="25">
        <f>VLOOKUP(B157,'Refinitiv-MktData'!$A:$F,6,FALSE)</f>
        <v>0.115</v>
      </c>
      <c r="H157" s="26">
        <v>1</v>
      </c>
      <c r="I157" s="99">
        <f>VLOOKUP(B157,'Refinitiv-MktData'!$A:$F,3,FALSE)</f>
        <v>44607</v>
      </c>
      <c r="J157" s="20">
        <f t="shared" si="95"/>
        <v>0.10948214285714286</v>
      </c>
      <c r="K157" s="71">
        <f t="shared" si="93"/>
        <v>1.5564959170632164E-2</v>
      </c>
      <c r="L157" s="73"/>
    </row>
    <row r="158" spans="1:12" ht="17.25" x14ac:dyDescent="0.25">
      <c r="A158" s="22" t="s">
        <v>214</v>
      </c>
      <c r="B158" s="28" t="s">
        <v>144</v>
      </c>
      <c r="C158" s="2">
        <f>$O$6</f>
        <v>90</v>
      </c>
      <c r="D158" s="3">
        <f t="shared" si="80"/>
        <v>50.642499970108076</v>
      </c>
      <c r="E158" s="78">
        <f>$D$154+(LineInterpo($F$155:$G$161,C158)/H158)</f>
        <v>50.642499970108076</v>
      </c>
      <c r="F158" s="23">
        <f t="shared" si="94"/>
        <v>91</v>
      </c>
      <c r="G158" s="25">
        <f>VLOOKUP(B158,'Refinitiv-MktData'!$A:$F,6,FALSE)</f>
        <v>0.185</v>
      </c>
      <c r="H158" s="26">
        <v>1</v>
      </c>
      <c r="I158" s="99">
        <f>VLOOKUP(B158,'Refinitiv-MktData'!$A:$F,3,FALSE)</f>
        <v>44635</v>
      </c>
      <c r="J158" s="20">
        <f t="shared" si="95"/>
        <v>0.1825</v>
      </c>
      <c r="K158" s="71">
        <f t="shared" si="93"/>
        <v>1.6965620916087332E-2</v>
      </c>
      <c r="L158" s="73"/>
    </row>
    <row r="159" spans="1:12" ht="17.25" x14ac:dyDescent="0.25">
      <c r="A159" s="22" t="s">
        <v>214</v>
      </c>
      <c r="B159" s="28" t="s">
        <v>145</v>
      </c>
      <c r="C159" s="2">
        <f>$O$7</f>
        <v>180</v>
      </c>
      <c r="D159" s="3">
        <f t="shared" si="80"/>
        <v>50.848152144021121</v>
      </c>
      <c r="E159" s="78">
        <f>$D$154+(LineInterpo($F$155:$G$161,C159)/H159)</f>
        <v>50.848152144021121</v>
      </c>
      <c r="F159" s="23">
        <f t="shared" si="94"/>
        <v>183</v>
      </c>
      <c r="G159" s="25">
        <f>VLOOKUP(B159,'Refinitiv-MktData'!$A:$F,6,FALSE)</f>
        <v>0.39500000000000002</v>
      </c>
      <c r="H159" s="26">
        <v>1</v>
      </c>
      <c r="I159" s="99">
        <f>VLOOKUP(B159,'Refinitiv-MktData'!$A:$F,3,FALSE)</f>
        <v>44727</v>
      </c>
      <c r="J159" s="20">
        <f t="shared" si="95"/>
        <v>0.38815217391304352</v>
      </c>
      <c r="K159" s="71">
        <f t="shared" si="93"/>
        <v>1.9098056614897274E-2</v>
      </c>
      <c r="L159" s="73"/>
    </row>
    <row r="160" spans="1:12" ht="17.25" x14ac:dyDescent="0.25">
      <c r="A160" s="22" t="s">
        <v>214</v>
      </c>
      <c r="B160" s="28" t="s">
        <v>146</v>
      </c>
      <c r="C160" s="2">
        <v>270</v>
      </c>
      <c r="D160" s="3">
        <f t="shared" si="80"/>
        <v>51.063043448368951</v>
      </c>
      <c r="E160" s="78">
        <f t="shared" ref="E160" si="96">$D$154+(LineInterpo($F$155:$G$161,C160)/H160)</f>
        <v>51.063043448368951</v>
      </c>
      <c r="F160" s="23">
        <f t="shared" si="94"/>
        <v>275</v>
      </c>
      <c r="G160" s="25">
        <f>VLOOKUP(B160,'Refinitiv-MktData'!$A:$F,6,FALSE)</f>
        <v>0.61499999999999999</v>
      </c>
      <c r="H160" s="26">
        <v>1</v>
      </c>
      <c r="I160" s="99">
        <f>VLOOKUP(B160,'Refinitiv-MktData'!$A:$F,3,FALSE)</f>
        <v>44819</v>
      </c>
      <c r="J160" s="20">
        <f t="shared" si="95"/>
        <v>0.60304347826086957</v>
      </c>
      <c r="K160" s="71">
        <f t="shared" si="93"/>
        <v>2.0715769717023196E-2</v>
      </c>
      <c r="L160" s="73"/>
    </row>
    <row r="161" spans="1:12" ht="17.25" x14ac:dyDescent="0.25">
      <c r="A161" s="22" t="s">
        <v>214</v>
      </c>
      <c r="B161" s="28" t="s">
        <v>147</v>
      </c>
      <c r="C161" s="2">
        <f>$O$9</f>
        <v>365</v>
      </c>
      <c r="D161" s="3">
        <f t="shared" si="80"/>
        <v>51.277747222855332</v>
      </c>
      <c r="E161" s="78">
        <f>$D$154+(LineInterpo($F$155:$G$161,C161)/H161)</f>
        <v>51.277747222855332</v>
      </c>
      <c r="F161" s="23">
        <f t="shared" si="94"/>
        <v>366</v>
      </c>
      <c r="G161" s="25">
        <f>VLOOKUP(B161,'Refinitiv-MktData'!$A:$F,6,FALSE)</f>
        <v>0.82000000000000006</v>
      </c>
      <c r="H161" s="26">
        <v>1</v>
      </c>
      <c r="I161" s="99">
        <f>VLOOKUP(B161,'Refinitiv-MktData'!$A:$F,3,FALSE)</f>
        <v>44910</v>
      </c>
      <c r="J161" s="20">
        <f t="shared" si="95"/>
        <v>0.8177472527472528</v>
      </c>
      <c r="K161" s="71">
        <f t="shared" si="93"/>
        <v>2.1338239235564892E-2</v>
      </c>
      <c r="L161" s="73"/>
    </row>
    <row r="162" spans="1:12" ht="17.25" x14ac:dyDescent="0.25">
      <c r="A162" s="22" t="s">
        <v>215</v>
      </c>
      <c r="B162" s="28" t="s">
        <v>530</v>
      </c>
      <c r="C162" s="2" t="s">
        <v>157</v>
      </c>
      <c r="D162" s="3">
        <f t="shared" si="80"/>
        <v>14.383100000000001</v>
      </c>
      <c r="E162" s="77">
        <f>VLOOKUP(B162,'Refinitiv-MktData'!$A:$F,6,FALSE)</f>
        <v>14.383100000000001</v>
      </c>
      <c r="F162" s="23">
        <f>VLOOKUP(B162,'Refinitiv-MktData'!$A:$F,3,FALSE)-$B$1</f>
        <v>1</v>
      </c>
      <c r="G162" s="24">
        <v>0</v>
      </c>
      <c r="H162" s="26"/>
      <c r="K162" s="75"/>
      <c r="L162" s="72"/>
    </row>
    <row r="163" spans="1:12" ht="17.25" x14ac:dyDescent="0.25">
      <c r="A163" s="22" t="s">
        <v>215</v>
      </c>
      <c r="B163" s="28" t="s">
        <v>173</v>
      </c>
      <c r="C163" s="2">
        <f>$O$3</f>
        <v>7</v>
      </c>
      <c r="D163" s="3">
        <f>E163</f>
        <v>14.442592142857144</v>
      </c>
      <c r="E163" s="78">
        <f>$D$162+(LineInterpo($F$162:$G$169,C163)/H163)</f>
        <v>14.442592142857144</v>
      </c>
      <c r="F163" s="23">
        <f>I163-$I$2</f>
        <v>8</v>
      </c>
      <c r="G163" s="25">
        <f>VLOOKUP(B163,'Refinitiv-MktData'!$A:$F,6,FALSE)</f>
        <v>694.07500000000005</v>
      </c>
      <c r="H163" s="26">
        <v>10000</v>
      </c>
      <c r="I163" s="99">
        <f>VLOOKUP(B163,'Refinitiv-MktData'!$A:$F,3,FALSE)</f>
        <v>44552</v>
      </c>
      <c r="J163" s="20">
        <f t="shared" ref="J163:J169" si="97">(LineInterpo($F$163:$G$169,C163))/H163</f>
        <v>5.708351851851852E-2</v>
      </c>
      <c r="K163" s="71">
        <f t="shared" ref="K163:K169" si="98">((1+J163/$E$162)*(1+P3*O3/360)-1)*360/O3</f>
        <v>0.2050640366786752</v>
      </c>
      <c r="L163" s="73"/>
    </row>
    <row r="164" spans="1:12" ht="17.25" x14ac:dyDescent="0.25">
      <c r="A164" s="22" t="s">
        <v>215</v>
      </c>
      <c r="B164" s="28" t="s">
        <v>174</v>
      </c>
      <c r="C164" s="2">
        <f>$O$4</f>
        <v>30</v>
      </c>
      <c r="D164" s="3">
        <f t="shared" si="80"/>
        <v>14.723635092592593</v>
      </c>
      <c r="E164" s="78">
        <f>$D$162+(LineInterpo($F$163:$G$169,C164)/H164)</f>
        <v>14.723635092592593</v>
      </c>
      <c r="F164" s="23">
        <f t="shared" ref="F164:F169" si="99">I164-$I$2</f>
        <v>35</v>
      </c>
      <c r="G164" s="25">
        <f>VLOOKUP(B164,'Refinitiv-MktData'!$A:$F,6,FALSE)</f>
        <v>4021.55</v>
      </c>
      <c r="H164" s="26">
        <v>10000</v>
      </c>
      <c r="I164" s="99">
        <f>VLOOKUP(B164,'Refinitiv-MktData'!$A:$F,3,FALSE)</f>
        <v>44579</v>
      </c>
      <c r="J164" s="20">
        <f t="shared" si="97"/>
        <v>0.34053509259259263</v>
      </c>
      <c r="K164" s="71">
        <f t="shared" si="98"/>
        <v>0.28635260466854895</v>
      </c>
      <c r="L164" s="73"/>
    </row>
    <row r="165" spans="1:12" ht="17.25" x14ac:dyDescent="0.25">
      <c r="A165" s="22" t="s">
        <v>215</v>
      </c>
      <c r="B165" s="28" t="s">
        <v>175</v>
      </c>
      <c r="C165" s="2">
        <f>$O$5</f>
        <v>60</v>
      </c>
      <c r="D165" s="3">
        <f t="shared" si="80"/>
        <v>15.073198750000001</v>
      </c>
      <c r="E165" s="78">
        <f>$D$162+(LineInterpo($F$163:$G$169,C165)/H165)</f>
        <v>15.073198750000001</v>
      </c>
      <c r="F165" s="23">
        <f t="shared" si="99"/>
        <v>63</v>
      </c>
      <c r="G165" s="25">
        <f>VLOOKUP(B165,'Refinitiv-MktData'!$A:$F,6,FALSE)</f>
        <v>7246.52</v>
      </c>
      <c r="H165" s="26">
        <v>10000</v>
      </c>
      <c r="I165" s="99">
        <f>VLOOKUP(B165,'Refinitiv-MktData'!$A:$F,3,FALSE)</f>
        <v>44607</v>
      </c>
      <c r="J165" s="20">
        <f t="shared" si="97"/>
        <v>0.69009874999999998</v>
      </c>
      <c r="K165" s="71">
        <f t="shared" si="98"/>
        <v>0.29054229212296434</v>
      </c>
      <c r="L165" s="73"/>
    </row>
    <row r="166" spans="1:12" ht="17.25" x14ac:dyDescent="0.25">
      <c r="A166" s="22" t="s">
        <v>215</v>
      </c>
      <c r="B166" s="28" t="s">
        <v>176</v>
      </c>
      <c r="C166" s="2">
        <f>$O$6</f>
        <v>90</v>
      </c>
      <c r="D166" s="3">
        <f t="shared" si="80"/>
        <v>15.410521321428572</v>
      </c>
      <c r="E166" s="78">
        <f>$D$162+(LineInterpo($F$163:$G$169,C166)/H166)</f>
        <v>15.410521321428572</v>
      </c>
      <c r="F166" s="23">
        <f t="shared" si="99"/>
        <v>91</v>
      </c>
      <c r="G166" s="25">
        <f>VLOOKUP(B166,'Refinitiv-MktData'!$A:$F,6,FALSE)</f>
        <v>10386.35</v>
      </c>
      <c r="H166" s="26">
        <v>10000</v>
      </c>
      <c r="I166" s="99">
        <f>VLOOKUP(B166,'Refinitiv-MktData'!$A:$F,3,FALSE)</f>
        <v>44635</v>
      </c>
      <c r="J166" s="20">
        <f t="shared" si="97"/>
        <v>1.0274213214285715</v>
      </c>
      <c r="K166" s="71">
        <f t="shared" si="98"/>
        <v>0.28839770583850921</v>
      </c>
      <c r="L166" s="73"/>
    </row>
    <row r="167" spans="1:12" ht="17.25" x14ac:dyDescent="0.25">
      <c r="A167" s="22" t="s">
        <v>215</v>
      </c>
      <c r="B167" s="28" t="s">
        <v>177</v>
      </c>
      <c r="C167" s="2">
        <f>$O$7</f>
        <v>180</v>
      </c>
      <c r="D167" s="3">
        <f t="shared" si="80"/>
        <v>16.453317554347827</v>
      </c>
      <c r="E167" s="78">
        <f t="shared" ref="E167:E168" si="100">$D$162+(LineInterpo($F$163:$G$169,C167)/H167)</f>
        <v>16.453317554347827</v>
      </c>
      <c r="F167" s="23">
        <f t="shared" si="99"/>
        <v>183</v>
      </c>
      <c r="G167" s="25">
        <f>VLOOKUP(B167,'Refinitiv-MktData'!$A:$F,6,FALSE)</f>
        <v>21049.9</v>
      </c>
      <c r="H167" s="26">
        <v>10000</v>
      </c>
      <c r="I167" s="99">
        <f>VLOOKUP(B167,'Refinitiv-MktData'!$A:$F,3,FALSE)</f>
        <v>44727</v>
      </c>
      <c r="J167" s="20">
        <f t="shared" si="97"/>
        <v>2.0702175543478263</v>
      </c>
      <c r="K167" s="71">
        <f t="shared" si="98"/>
        <v>0.29208364123928154</v>
      </c>
      <c r="L167" s="73"/>
    </row>
    <row r="168" spans="1:12" ht="17.25" x14ac:dyDescent="0.25">
      <c r="A168" s="22" t="s">
        <v>215</v>
      </c>
      <c r="B168" s="28" t="s">
        <v>178</v>
      </c>
      <c r="C168" s="2">
        <v>270</v>
      </c>
      <c r="D168" s="3">
        <f t="shared" si="80"/>
        <v>17.51424554347826</v>
      </c>
      <c r="E168" s="78">
        <f t="shared" si="100"/>
        <v>17.51424554347826</v>
      </c>
      <c r="F168" s="23">
        <f t="shared" si="99"/>
        <v>275</v>
      </c>
      <c r="G168" s="25">
        <f>VLOOKUP(B168,'Refinitiv-MktData'!$A:$F,6,FALSE)</f>
        <v>31901.200000000001</v>
      </c>
      <c r="H168" s="26">
        <v>10000</v>
      </c>
      <c r="I168" s="99">
        <f>VLOOKUP(B168,'Refinitiv-MktData'!$A:$F,3,FALSE)</f>
        <v>44819</v>
      </c>
      <c r="J168" s="20">
        <f t="shared" si="97"/>
        <v>3.1311455434782607</v>
      </c>
      <c r="K168" s="71">
        <f t="shared" si="98"/>
        <v>0.29601483946503987</v>
      </c>
      <c r="L168" s="73"/>
    </row>
    <row r="169" spans="1:12" ht="17.25" x14ac:dyDescent="0.25">
      <c r="A169" s="22" t="s">
        <v>215</v>
      </c>
      <c r="B169" s="28" t="s">
        <v>179</v>
      </c>
      <c r="C169" s="2">
        <f>$O$9</f>
        <v>365</v>
      </c>
      <c r="D169" s="3">
        <f t="shared" si="80"/>
        <v>18.652621648351648</v>
      </c>
      <c r="E169" s="78">
        <f>$D$162+(LineInterpo($F$163:$G$169,C169)/H169)</f>
        <v>18.652621648351648</v>
      </c>
      <c r="F169" s="23">
        <f t="shared" si="99"/>
        <v>366</v>
      </c>
      <c r="G169" s="25">
        <f>VLOOKUP(B169,'Refinitiv-MktData'!$A:$F,6,FALSE)</f>
        <v>42815.15</v>
      </c>
      <c r="H169" s="26">
        <v>10000</v>
      </c>
      <c r="I169" s="99">
        <f>VLOOKUP(B169,'Refinitiv-MktData'!$A:$F,3,FALSE)</f>
        <v>44910</v>
      </c>
      <c r="J169" s="20">
        <f t="shared" si="97"/>
        <v>4.2695216483516489</v>
      </c>
      <c r="K169" s="71">
        <f t="shared" si="98"/>
        <v>0.29960965751218727</v>
      </c>
      <c r="L169" s="73"/>
    </row>
    <row r="170" spans="1:12" ht="17.25" x14ac:dyDescent="0.25">
      <c r="A170" s="22" t="s">
        <v>211</v>
      </c>
      <c r="B170" s="28" t="s">
        <v>524</v>
      </c>
      <c r="C170" s="2" t="s">
        <v>157</v>
      </c>
      <c r="D170" s="3">
        <f t="shared" si="80"/>
        <v>9.0637749421991867</v>
      </c>
      <c r="E170" s="77">
        <f>VLOOKUP(A170,FXRate!B:E,4,FALSE)</f>
        <v>9.0637749421991867</v>
      </c>
      <c r="F170" s="23">
        <f>VLOOKUP(B170,'Refinitiv-MktData'!$A:$F,3,FALSE)-$B$1</f>
        <v>2</v>
      </c>
      <c r="G170" s="24">
        <v>0</v>
      </c>
      <c r="H170" s="26"/>
      <c r="K170" s="75"/>
      <c r="L170" s="72"/>
    </row>
    <row r="171" spans="1:12" ht="17.25" x14ac:dyDescent="0.25">
      <c r="A171" s="22" t="s">
        <v>211</v>
      </c>
      <c r="B171" s="28" t="s">
        <v>114</v>
      </c>
      <c r="C171" s="2">
        <f>$O$3</f>
        <v>7</v>
      </c>
      <c r="D171" s="3">
        <f t="shared" si="80"/>
        <v>9.0633445850563294</v>
      </c>
      <c r="E171" s="78">
        <f>$D$170+(LineInterpo($F$170:$G$177,C171)/H171)</f>
        <v>9.0633445850563294</v>
      </c>
      <c r="F171" s="23">
        <f>I171-$I$2</f>
        <v>9</v>
      </c>
      <c r="G171" s="25">
        <f>VLOOKUP(B171,'Refinitiv-MktData'!$A:$F,6,FALSE)</f>
        <v>-6.0250000000000004</v>
      </c>
      <c r="H171" s="26">
        <v>10000</v>
      </c>
      <c r="I171" s="99">
        <f>VLOOKUP(B171,'Refinitiv-MktData'!$A:$F,3,FALSE)</f>
        <v>44553</v>
      </c>
      <c r="J171" s="20">
        <f>(LineInterpo(F170:G177,C171))/H171</f>
        <v>-4.3035714285714286E-4</v>
      </c>
      <c r="K171" s="71">
        <f t="shared" ref="K171:K177" si="101">((1+J171/$E$170)*(1+P3*O3/360)-1)*360/O3</f>
        <v>-1.4909169672439049E-3</v>
      </c>
      <c r="L171" s="73"/>
    </row>
    <row r="172" spans="1:12" ht="17.25" x14ac:dyDescent="0.25">
      <c r="A172" s="22" t="s">
        <v>211</v>
      </c>
      <c r="B172" s="28" t="s">
        <v>115</v>
      </c>
      <c r="C172" s="2">
        <f>$O$4</f>
        <v>30</v>
      </c>
      <c r="D172" s="3">
        <f t="shared" si="80"/>
        <v>9.0540071537376487</v>
      </c>
      <c r="E172" s="78">
        <f>$D$170+(LineInterpo($F$171:$G$177,C172)/H172)</f>
        <v>9.0540071537376487</v>
      </c>
      <c r="F172" s="23">
        <f t="shared" ref="F172:F177" si="102">I172-$I$2</f>
        <v>35</v>
      </c>
      <c r="G172" s="25">
        <f>VLOOKUP(B172,'Refinitiv-MktData'!$A:$F,6,FALSE)</f>
        <v>-119.5</v>
      </c>
      <c r="H172" s="26">
        <v>10000</v>
      </c>
      <c r="I172" s="99">
        <f>VLOOKUP(B172,'Refinitiv-MktData'!$A:$F,3,FALSE)</f>
        <v>44579</v>
      </c>
      <c r="J172" s="20">
        <f>(LineInterpo($F$171:$G$177,C172))/H172</f>
        <v>-9.7677884615384614E-3</v>
      </c>
      <c r="K172" s="71">
        <f t="shared" si="101"/>
        <v>-1.0746320894571504E-2</v>
      </c>
      <c r="L172" s="73"/>
    </row>
    <row r="173" spans="1:12" ht="17.25" x14ac:dyDescent="0.25">
      <c r="A173" s="22" t="s">
        <v>211</v>
      </c>
      <c r="B173" s="28" t="s">
        <v>116</v>
      </c>
      <c r="C173" s="2">
        <f>$O$5</f>
        <v>60</v>
      </c>
      <c r="D173" s="3">
        <f t="shared" si="80"/>
        <v>9.0494844249578072</v>
      </c>
      <c r="E173" s="78">
        <f>$D$170+(LineInterpo($F$171:$G$177,C173)/H173)</f>
        <v>9.0494844249578072</v>
      </c>
      <c r="F173" s="23">
        <f t="shared" si="102"/>
        <v>64</v>
      </c>
      <c r="G173" s="25">
        <f>VLOOKUP(B173,'Refinitiv-MktData'!$A:$F,6,FALSE)</f>
        <v>-146.65</v>
      </c>
      <c r="H173" s="26">
        <v>10000</v>
      </c>
      <c r="I173" s="99">
        <f>VLOOKUP(B173,'Refinitiv-MktData'!$A:$F,3,FALSE)</f>
        <v>44608</v>
      </c>
      <c r="J173" s="20">
        <f>(LineInterpo($F$171:$G$177,C173))/H173</f>
        <v>-1.4290517241379311E-2</v>
      </c>
      <c r="K173" s="71">
        <f t="shared" si="101"/>
        <v>-6.922629441436623E-3</v>
      </c>
      <c r="L173" s="73"/>
    </row>
    <row r="174" spans="1:12" ht="17.25" x14ac:dyDescent="0.25">
      <c r="A174" s="22" t="s">
        <v>211</v>
      </c>
      <c r="B174" s="28" t="s">
        <v>117</v>
      </c>
      <c r="C174" s="2">
        <f>$O$6</f>
        <v>90</v>
      </c>
      <c r="D174" s="3">
        <f t="shared" si="80"/>
        <v>9.0470276207706153</v>
      </c>
      <c r="E174" s="78">
        <f>$D$170+(LineInterpo($F$171:$G$177,C174)/H174)</f>
        <v>9.0470276207706153</v>
      </c>
      <c r="F174" s="23">
        <f t="shared" si="102"/>
        <v>92</v>
      </c>
      <c r="G174" s="25">
        <f>VLOOKUP(B174,'Refinitiv-MktData'!$A:$F,6,FALSE)</f>
        <v>-169.07499999999999</v>
      </c>
      <c r="H174" s="26">
        <v>10000</v>
      </c>
      <c r="I174" s="99">
        <f>VLOOKUP(B174,'Refinitiv-MktData'!$A:$F,3,FALSE)</f>
        <v>44636</v>
      </c>
      <c r="J174" s="20">
        <f>(LineInterpo($F$171:$G$177,C174))/H174</f>
        <v>-1.6747321428571427E-2</v>
      </c>
      <c r="K174" s="71">
        <f t="shared" si="101"/>
        <v>-4.9057698771184377E-3</v>
      </c>
      <c r="L174" s="73"/>
    </row>
    <row r="175" spans="1:12" ht="17.25" x14ac:dyDescent="0.25">
      <c r="A175" s="22" t="s">
        <v>211</v>
      </c>
      <c r="B175" s="28" t="s">
        <v>118</v>
      </c>
      <c r="C175" s="2">
        <f>$O$7</f>
        <v>180</v>
      </c>
      <c r="D175" s="3">
        <f t="shared" si="80"/>
        <v>9.0382888769817953</v>
      </c>
      <c r="E175" s="78">
        <f>$D$170+(LineInterpo($F$171:$G$177,C175)/H175)</f>
        <v>9.0382888769817953</v>
      </c>
      <c r="F175" s="23">
        <f t="shared" si="102"/>
        <v>184</v>
      </c>
      <c r="G175" s="25">
        <f>VLOOKUP(B175,'Refinitiv-MktData'!$A:$F,6,FALSE)</f>
        <v>-258.76</v>
      </c>
      <c r="H175" s="26">
        <v>10000</v>
      </c>
      <c r="I175" s="99">
        <f>VLOOKUP(B175,'Refinitiv-MktData'!$A:$F,3,FALSE)</f>
        <v>44728</v>
      </c>
      <c r="J175" s="20">
        <f t="shared" ref="J175:J177" si="103">(LineInterpo($F$171:$G$177,C175))/H175</f>
        <v>-2.5486065217391302E-2</v>
      </c>
      <c r="K175" s="71">
        <f t="shared" si="101"/>
        <v>-1.9489216987607083E-3</v>
      </c>
      <c r="L175" s="73"/>
    </row>
    <row r="176" spans="1:12" ht="17.25" x14ac:dyDescent="0.25">
      <c r="A176" s="22" t="s">
        <v>211</v>
      </c>
      <c r="B176" s="28" t="s">
        <v>119</v>
      </c>
      <c r="C176" s="2">
        <v>270</v>
      </c>
      <c r="D176" s="3">
        <f t="shared" si="80"/>
        <v>9.0270821052426644</v>
      </c>
      <c r="E176" s="78">
        <f t="shared" ref="E176" si="104">$D$170+(LineInterpo($F$171:$G$177,C176)/H176)</f>
        <v>9.0270821052426644</v>
      </c>
      <c r="F176" s="23">
        <f t="shared" si="102"/>
        <v>276</v>
      </c>
      <c r="G176" s="25">
        <f>VLOOKUP(B176,'Refinitiv-MktData'!$A:$F,6,FALSE)</f>
        <v>-374.47500000000002</v>
      </c>
      <c r="H176" s="26">
        <v>10000</v>
      </c>
      <c r="I176" s="99">
        <f>VLOOKUP(B176,'Refinitiv-MktData'!$A:$F,3,FALSE)</f>
        <v>44820</v>
      </c>
      <c r="J176" s="20">
        <f t="shared" si="103"/>
        <v>-3.6692836956521736E-2</v>
      </c>
      <c r="K176" s="71">
        <f t="shared" si="101"/>
        <v>-6.9211092312941125E-4</v>
      </c>
      <c r="L176" s="73"/>
    </row>
    <row r="177" spans="1:12" ht="17.25" x14ac:dyDescent="0.25">
      <c r="A177" s="22" t="s">
        <v>211</v>
      </c>
      <c r="B177" s="28" t="s">
        <v>120</v>
      </c>
      <c r="C177" s="2">
        <f>$O$9</f>
        <v>365</v>
      </c>
      <c r="D177" s="3">
        <f t="shared" si="80"/>
        <v>9.0127696125288566</v>
      </c>
      <c r="E177" s="78">
        <f>$D$170+(LineInterpo($F$171:$G$177,C177)/H177)</f>
        <v>9.0127696125288566</v>
      </c>
      <c r="F177" s="23">
        <f t="shared" si="102"/>
        <v>367</v>
      </c>
      <c r="G177" s="25">
        <f>VLOOKUP(B177,'Refinitiv-MktData'!$A:$F,6,FALSE)</f>
        <v>-513.1</v>
      </c>
      <c r="H177" s="26">
        <v>10000</v>
      </c>
      <c r="I177" s="99">
        <f>VLOOKUP(B177,'Refinitiv-MktData'!$A:$F,3,FALSE)</f>
        <v>44911</v>
      </c>
      <c r="J177" s="20">
        <f t="shared" si="103"/>
        <v>-5.1005329670329676E-2</v>
      </c>
      <c r="K177" s="71">
        <f t="shared" si="101"/>
        <v>-3.1094848410769801E-4</v>
      </c>
      <c r="L177" s="73"/>
    </row>
    <row r="178" spans="1:12" ht="17.25" x14ac:dyDescent="0.25">
      <c r="A178" s="22" t="s">
        <v>220</v>
      </c>
      <c r="B178" s="28" t="s">
        <v>531</v>
      </c>
      <c r="C178" s="2" t="s">
        <v>157</v>
      </c>
      <c r="D178" s="3">
        <f>E178</f>
        <v>20.681447904544783</v>
      </c>
      <c r="E178" s="77">
        <f>VLOOKUP(A178,FXRate!B:E,4,FALSE)</f>
        <v>20.681447904544783</v>
      </c>
      <c r="F178" s="23">
        <f>VLOOKUP(B178,'Refinitiv-MktData'!$A:$F,3,FALSE)-$B$1</f>
        <v>2</v>
      </c>
      <c r="G178" s="24">
        <v>0</v>
      </c>
      <c r="H178" s="26"/>
      <c r="K178" s="75"/>
      <c r="L178" s="72"/>
    </row>
    <row r="179" spans="1:12" ht="17.25" x14ac:dyDescent="0.25">
      <c r="A179" s="22" t="s">
        <v>220</v>
      </c>
      <c r="B179" s="28" t="s">
        <v>180</v>
      </c>
      <c r="C179" s="2">
        <f>$O$3</f>
        <v>7</v>
      </c>
      <c r="D179" s="3">
        <f t="shared" si="80"/>
        <v>20.699662190259069</v>
      </c>
      <c r="E179" s="78">
        <f>$D$178+(LineInterpo($F$178:$G$185,C179)/H179)</f>
        <v>20.699662190259069</v>
      </c>
      <c r="F179" s="23">
        <f>I179-$I$2</f>
        <v>9</v>
      </c>
      <c r="G179" s="25">
        <f>VLOOKUP(B179,'Refinitiv-MktData'!$A:$F,6,FALSE)</f>
        <v>2.5500000000000002E-2</v>
      </c>
      <c r="H179" s="26">
        <v>1</v>
      </c>
      <c r="I179" s="99">
        <f>VLOOKUP(B179,'Refinitiv-MktData'!$A:$F,3,FALSE)</f>
        <v>44553</v>
      </c>
      <c r="J179" s="20">
        <f>(LineInterpo(F178:G185,C179))/H179</f>
        <v>1.8214285714285714E-2</v>
      </c>
      <c r="K179" s="71">
        <f t="shared" ref="K179:K185" si="105">((1+J179/$E$178)*(1+P3*O3/360)-1)*360/O3</f>
        <v>4.6245323430945513E-2</v>
      </c>
      <c r="L179" s="73"/>
    </row>
    <row r="180" spans="1:12" ht="17.25" x14ac:dyDescent="0.25">
      <c r="A180" s="22" t="s">
        <v>220</v>
      </c>
      <c r="B180" s="28" t="s">
        <v>181</v>
      </c>
      <c r="C180" s="2">
        <f>$O$4</f>
        <v>30</v>
      </c>
      <c r="D180" s="3">
        <f t="shared" si="80"/>
        <v>20.791351750698627</v>
      </c>
      <c r="E180" s="78">
        <f>$D$178+(LineInterpo($F$179:$G$185,C180)/H180)</f>
        <v>20.791351750698627</v>
      </c>
      <c r="F180" s="23">
        <f t="shared" ref="F180:F185" si="106">I180-$I$2</f>
        <v>35</v>
      </c>
      <c r="G180" s="25">
        <f>VLOOKUP(B180,'Refinitiv-MktData'!$A:$F,6,FALSE)</f>
        <v>0.13</v>
      </c>
      <c r="H180" s="26">
        <v>1</v>
      </c>
      <c r="I180" s="99">
        <f>VLOOKUP(B180,'Refinitiv-MktData'!$A:$F,3,FALSE)</f>
        <v>44579</v>
      </c>
      <c r="J180" s="20">
        <f>(LineInterpo($F$179:$G$185,C180))/H180</f>
        <v>0.10990384615384616</v>
      </c>
      <c r="K180" s="71">
        <f t="shared" si="105"/>
        <v>6.5969272149661862E-2</v>
      </c>
      <c r="L180" s="73"/>
    </row>
    <row r="181" spans="1:12" ht="17.25" x14ac:dyDescent="0.25">
      <c r="A181" s="22" t="s">
        <v>220</v>
      </c>
      <c r="B181" s="28" t="s">
        <v>182</v>
      </c>
      <c r="C181" s="2">
        <f>$O$5</f>
        <v>60</v>
      </c>
      <c r="D181" s="3">
        <f t="shared" si="80"/>
        <v>20.905241007993059</v>
      </c>
      <c r="E181" s="78">
        <f>$D$178+(LineInterpo($F$179:$G$185,C181)/H181)</f>
        <v>20.905241007993059</v>
      </c>
      <c r="F181" s="23">
        <f t="shared" si="106"/>
        <v>64</v>
      </c>
      <c r="G181" s="25">
        <f>VLOOKUP(B181,'Refinitiv-MktData'!$A:$F,6,FALSE)</f>
        <v>0.23880000000000001</v>
      </c>
      <c r="H181" s="26">
        <v>1</v>
      </c>
      <c r="I181" s="99">
        <f>VLOOKUP(B181,'Refinitiv-MktData'!$A:$F,3,FALSE)</f>
        <v>44608</v>
      </c>
      <c r="J181" s="20">
        <f t="shared" ref="J181:J185" si="107">(LineInterpo($F$179:$G$185,C181))/H181</f>
        <v>0.22379310344827588</v>
      </c>
      <c r="K181" s="71">
        <f t="shared" si="105"/>
        <v>6.7494609465567734E-2</v>
      </c>
      <c r="L181" s="73"/>
    </row>
    <row r="182" spans="1:12" ht="17.25" x14ac:dyDescent="0.25">
      <c r="A182" s="22" t="s">
        <v>220</v>
      </c>
      <c r="B182" s="28" t="s">
        <v>183</v>
      </c>
      <c r="C182" s="2">
        <f>$O$6</f>
        <v>90</v>
      </c>
      <c r="D182" s="3">
        <f t="shared" si="80"/>
        <v>21.021183618830499</v>
      </c>
      <c r="E182" s="78">
        <f>$D$178+(LineInterpo($F$179:$G$185,C182)/H182)</f>
        <v>21.021183618830499</v>
      </c>
      <c r="F182" s="23">
        <f t="shared" si="106"/>
        <v>92</v>
      </c>
      <c r="G182" s="25">
        <f>VLOOKUP(B182,'Refinitiv-MktData'!$A:$F,6,FALSE)</f>
        <v>0.34750000000000003</v>
      </c>
      <c r="H182" s="26">
        <v>1</v>
      </c>
      <c r="I182" s="99">
        <f>VLOOKUP(B182,'Refinitiv-MktData'!$A:$F,3,FALSE)</f>
        <v>44636</v>
      </c>
      <c r="J182" s="20">
        <f t="shared" si="107"/>
        <v>0.33973571428571431</v>
      </c>
      <c r="K182" s="71">
        <f t="shared" si="105"/>
        <v>6.8238914076254709E-2</v>
      </c>
      <c r="L182" s="73"/>
    </row>
    <row r="183" spans="1:12" ht="17.25" x14ac:dyDescent="0.25">
      <c r="A183" s="22" t="s">
        <v>220</v>
      </c>
      <c r="B183" s="28" t="s">
        <v>184</v>
      </c>
      <c r="C183" s="2">
        <f>$O$7</f>
        <v>180</v>
      </c>
      <c r="D183" s="3">
        <f t="shared" si="80"/>
        <v>21.380469643675216</v>
      </c>
      <c r="E183" s="78">
        <f>$D$178+(LineInterpo($F$179:$G$185,C183)/H183)</f>
        <v>21.380469643675216</v>
      </c>
      <c r="F183" s="23">
        <f t="shared" si="106"/>
        <v>184</v>
      </c>
      <c r="G183" s="25">
        <f>VLOOKUP(B183,'Refinitiv-MktData'!$A:$F,6,FALSE)</f>
        <v>0.71500000000000008</v>
      </c>
      <c r="H183" s="26">
        <v>1</v>
      </c>
      <c r="I183" s="99">
        <f>VLOOKUP(B183,'Refinitiv-MktData'!$A:$F,3,FALSE)</f>
        <v>44728</v>
      </c>
      <c r="J183" s="20">
        <f t="shared" si="107"/>
        <v>0.69902173913043486</v>
      </c>
      <c r="K183" s="71">
        <f t="shared" si="105"/>
        <v>7.1408633556509393E-2</v>
      </c>
      <c r="L183" s="73"/>
    </row>
    <row r="184" spans="1:12" ht="17.25" x14ac:dyDescent="0.25">
      <c r="A184" s="22" t="s">
        <v>220</v>
      </c>
      <c r="B184" s="28" t="s">
        <v>185</v>
      </c>
      <c r="C184" s="2">
        <v>270</v>
      </c>
      <c r="D184" s="3">
        <f t="shared" si="80"/>
        <v>21.731395272965834</v>
      </c>
      <c r="E184" s="78">
        <f t="shared" ref="E184" si="108">$D$178+(LineInterpo($F$179:$G$185,C184)/H184)</f>
        <v>21.731395272965834</v>
      </c>
      <c r="F184" s="23">
        <f t="shared" si="106"/>
        <v>279</v>
      </c>
      <c r="G184" s="25">
        <f>VLOOKUP(B184,'Refinitiv-MktData'!$A:$F,6,FALSE)</f>
        <v>1.085</v>
      </c>
      <c r="H184" s="26">
        <v>1</v>
      </c>
      <c r="I184" s="99">
        <f>VLOOKUP(B184,'Refinitiv-MktData'!$A:$F,3,FALSE)</f>
        <v>44823</v>
      </c>
      <c r="J184" s="20">
        <f t="shared" si="107"/>
        <v>1.0499473684210525</v>
      </c>
      <c r="K184" s="71">
        <f t="shared" si="105"/>
        <v>7.265473355432335E-2</v>
      </c>
      <c r="L184" s="73"/>
    </row>
    <row r="185" spans="1:12" ht="17.25" x14ac:dyDescent="0.25">
      <c r="A185" s="22" t="s">
        <v>220</v>
      </c>
      <c r="B185" s="28" t="s">
        <v>186</v>
      </c>
      <c r="C185" s="2">
        <f>$O$9</f>
        <v>365</v>
      </c>
      <c r="D185" s="3">
        <f t="shared" si="80"/>
        <v>22.118266086362965</v>
      </c>
      <c r="E185" s="78">
        <f>$D$178+(LineInterpo($F$179:$G$185,C185)/H185)</f>
        <v>22.118266086362965</v>
      </c>
      <c r="F185" s="23">
        <f t="shared" si="106"/>
        <v>367</v>
      </c>
      <c r="G185" s="25">
        <f>VLOOKUP(B185,'Refinitiv-MktData'!$A:$F,6,FALSE)</f>
        <v>1.4450000000000001</v>
      </c>
      <c r="H185" s="26">
        <v>1</v>
      </c>
      <c r="I185" s="99">
        <f>VLOOKUP(B185,'Refinitiv-MktData'!$A:$F,3,FALSE)</f>
        <v>44911</v>
      </c>
      <c r="J185" s="20">
        <f t="shared" si="107"/>
        <v>1.4368181818181818</v>
      </c>
      <c r="K185" s="71">
        <f t="shared" si="105"/>
        <v>7.4157130295574886E-2</v>
      </c>
      <c r="L185" s="73"/>
    </row>
    <row r="186" spans="1:12" ht="17.25" x14ac:dyDescent="0.25">
      <c r="A186" s="22" t="s">
        <v>270</v>
      </c>
      <c r="B186" s="28" t="s">
        <v>534</v>
      </c>
      <c r="C186" s="2" t="s">
        <v>157</v>
      </c>
      <c r="D186" s="3">
        <f>E186</f>
        <v>4.0552000000000001</v>
      </c>
      <c r="E186" s="77">
        <f>VLOOKUP(B186,'Refinitiv-MktData'!$A:$F,6,FALSE)</f>
        <v>4.0552000000000001</v>
      </c>
      <c r="F186" s="23">
        <f>VLOOKUP(B186,'Refinitiv-MktData'!$A:$F,3,FALSE)-$B$1</f>
        <v>2</v>
      </c>
      <c r="G186" s="24">
        <v>0</v>
      </c>
      <c r="H186" s="26"/>
      <c r="K186" s="71"/>
      <c r="L186" s="72"/>
    </row>
    <row r="187" spans="1:12" ht="17.25" x14ac:dyDescent="0.25">
      <c r="A187" s="22" t="s">
        <v>270</v>
      </c>
      <c r="B187" s="28" t="s">
        <v>263</v>
      </c>
      <c r="C187" s="2">
        <f>$O$3</f>
        <v>7</v>
      </c>
      <c r="D187" s="3">
        <f t="shared" si="80"/>
        <v>4.0562714285714287</v>
      </c>
      <c r="E187" s="78">
        <f>$D$186+(LineInterpo($F$186:$G$193,C187)/H187)</f>
        <v>4.0562714285714287</v>
      </c>
      <c r="F187" s="23">
        <f>I187-$I$2</f>
        <v>9</v>
      </c>
      <c r="G187" s="25">
        <f>VLOOKUP(B187,'Refinitiv-MktData'!$A:$F,6,FALSE)</f>
        <v>1.5E-3</v>
      </c>
      <c r="H187" s="26">
        <v>1</v>
      </c>
      <c r="I187" s="99">
        <f>VLOOKUP(B187,'Refinitiv-MktData'!$A:$F,3,FALSE)</f>
        <v>44553</v>
      </c>
      <c r="J187" s="20">
        <f t="shared" ref="J187:J193" si="109">(LineInterpo($F$186:$G$193,C187))/H187</f>
        <v>1.0714285714285715E-3</v>
      </c>
      <c r="K187" s="71">
        <f t="shared" ref="K187:K193" si="110">((1+J187/$E$186)*(1+P3*O3/360)-1)*360/O3</f>
        <v>1.4539255570049647E-2</v>
      </c>
      <c r="L187" s="73"/>
    </row>
    <row r="188" spans="1:12" ht="17.25" x14ac:dyDescent="0.25">
      <c r="A188" s="22" t="s">
        <v>270</v>
      </c>
      <c r="B188" s="28" t="s">
        <v>264</v>
      </c>
      <c r="C188" s="2">
        <f>$O$4</f>
        <v>30</v>
      </c>
      <c r="D188" s="3">
        <f t="shared" si="80"/>
        <v>4.0611423076923074</v>
      </c>
      <c r="E188" s="78">
        <f t="shared" ref="E188:E193" si="111">$D$186+(LineInterpo($F$186:$G$193,C188)/H188)</f>
        <v>4.0611423076923074</v>
      </c>
      <c r="F188" s="23">
        <f t="shared" ref="F188:F193" si="112">I188-$I$2</f>
        <v>35</v>
      </c>
      <c r="G188" s="25">
        <f>VLOOKUP(B188,'Refinitiv-MktData'!$A:$F,6,FALSE)</f>
        <v>7.0000000000000001E-3</v>
      </c>
      <c r="H188" s="26">
        <v>1</v>
      </c>
      <c r="I188" s="99">
        <f>VLOOKUP(B188,'Refinitiv-MktData'!$A:$F,3,FALSE)</f>
        <v>44579</v>
      </c>
      <c r="J188" s="20">
        <f t="shared" si="109"/>
        <v>5.942307692307692E-3</v>
      </c>
      <c r="K188" s="71">
        <f t="shared" si="110"/>
        <v>1.9775583710987199E-2</v>
      </c>
      <c r="L188" s="73"/>
    </row>
    <row r="189" spans="1:12" ht="17.25" x14ac:dyDescent="0.25">
      <c r="A189" s="22" t="s">
        <v>270</v>
      </c>
      <c r="B189" s="28" t="s">
        <v>265</v>
      </c>
      <c r="C189" s="2">
        <f>$O$5</f>
        <v>60</v>
      </c>
      <c r="D189" s="3">
        <f t="shared" si="80"/>
        <v>4.0695275862068963</v>
      </c>
      <c r="E189" s="78">
        <f t="shared" si="111"/>
        <v>4.0695275862068963</v>
      </c>
      <c r="F189" s="23">
        <f t="shared" si="112"/>
        <v>64</v>
      </c>
      <c r="G189" s="25">
        <f>VLOOKUP(B189,'Refinitiv-MktData'!$A:$F,6,FALSE)</f>
        <v>1.55E-2</v>
      </c>
      <c r="H189" s="26">
        <v>1</v>
      </c>
      <c r="I189" s="99">
        <f>VLOOKUP(B189,'Refinitiv-MktData'!$A:$F,3,FALSE)</f>
        <v>44608</v>
      </c>
      <c r="J189" s="20">
        <f t="shared" si="109"/>
        <v>1.4327586206896552E-2</v>
      </c>
      <c r="K189" s="71">
        <f t="shared" si="110"/>
        <v>2.3749168865395909E-2</v>
      </c>
      <c r="L189" s="73"/>
    </row>
    <row r="190" spans="1:12" ht="17.25" x14ac:dyDescent="0.25">
      <c r="A190" s="22" t="s">
        <v>270</v>
      </c>
      <c r="B190" s="28" t="s">
        <v>266</v>
      </c>
      <c r="C190" s="2">
        <f>$O$6</f>
        <v>90</v>
      </c>
      <c r="D190" s="3">
        <f t="shared" si="80"/>
        <v>4.0795214285714287</v>
      </c>
      <c r="E190" s="78">
        <f t="shared" si="111"/>
        <v>4.0795214285714287</v>
      </c>
      <c r="F190" s="23">
        <f t="shared" si="112"/>
        <v>92</v>
      </c>
      <c r="G190" s="25">
        <f>VLOOKUP(B190,'Refinitiv-MktData'!$A:$F,6,FALSE)</f>
        <v>2.5000000000000001E-2</v>
      </c>
      <c r="H190" s="26">
        <v>1</v>
      </c>
      <c r="I190" s="99">
        <f>VLOOKUP(B190,'Refinitiv-MktData'!$A:$F,3,FALSE)</f>
        <v>44636</v>
      </c>
      <c r="J190" s="20">
        <f t="shared" si="109"/>
        <v>2.4321428571428574E-2</v>
      </c>
      <c r="K190" s="71">
        <f t="shared" si="110"/>
        <v>2.6495005676255623E-2</v>
      </c>
      <c r="L190" s="73"/>
    </row>
    <row r="191" spans="1:12" ht="17.25" x14ac:dyDescent="0.25">
      <c r="A191" s="22" t="s">
        <v>270</v>
      </c>
      <c r="B191" s="28" t="s">
        <v>267</v>
      </c>
      <c r="C191" s="2">
        <f>$O$7</f>
        <v>180</v>
      </c>
      <c r="D191" s="3">
        <f t="shared" si="80"/>
        <v>4.1088956521739135</v>
      </c>
      <c r="E191" s="78">
        <f t="shared" si="111"/>
        <v>4.1088956521739135</v>
      </c>
      <c r="F191" s="23">
        <f t="shared" si="112"/>
        <v>184</v>
      </c>
      <c r="G191" s="25">
        <f>VLOOKUP(B191,'Refinitiv-MktData'!$A:$F,6,FALSE)</f>
        <v>5.5000000000000007E-2</v>
      </c>
      <c r="H191" s="26">
        <v>1</v>
      </c>
      <c r="I191" s="99">
        <f>VLOOKUP(B191,'Refinitiv-MktData'!$A:$F,3,FALSE)</f>
        <v>44728</v>
      </c>
      <c r="J191" s="20">
        <f t="shared" si="109"/>
        <v>5.3695652173913047E-2</v>
      </c>
      <c r="K191" s="71">
        <f t="shared" si="110"/>
        <v>3.0216325513405362E-2</v>
      </c>
      <c r="L191" s="73"/>
    </row>
    <row r="192" spans="1:12" ht="17.25" x14ac:dyDescent="0.25">
      <c r="A192" s="22" t="s">
        <v>270</v>
      </c>
      <c r="B192" s="28" t="s">
        <v>268</v>
      </c>
      <c r="C192" s="2">
        <v>270</v>
      </c>
      <c r="D192" s="3">
        <f t="shared" si="80"/>
        <v>4.1391782608695653</v>
      </c>
      <c r="E192" s="78">
        <f t="shared" si="111"/>
        <v>4.1391782608695653</v>
      </c>
      <c r="F192" s="23">
        <f t="shared" si="112"/>
        <v>276</v>
      </c>
      <c r="G192" s="25">
        <f>VLOOKUP(B192,'Refinitiv-MktData'!$A:$F,6,FALSE)</f>
        <v>8.6000000000000007E-2</v>
      </c>
      <c r="H192" s="26">
        <v>1</v>
      </c>
      <c r="I192" s="99">
        <f>VLOOKUP(B192,'Refinitiv-MktData'!$A:$F,3,FALSE)</f>
        <v>44820</v>
      </c>
      <c r="J192" s="20">
        <f t="shared" si="109"/>
        <v>8.3978260869565224E-2</v>
      </c>
      <c r="K192" s="71">
        <f t="shared" si="110"/>
        <v>3.2434298903651758E-2</v>
      </c>
    </row>
    <row r="193" spans="1:12" ht="17.25" x14ac:dyDescent="0.25">
      <c r="A193" s="22" t="s">
        <v>270</v>
      </c>
      <c r="B193" s="28" t="s">
        <v>269</v>
      </c>
      <c r="C193" s="2">
        <f>$O$9</f>
        <v>365</v>
      </c>
      <c r="D193" s="3">
        <f t="shared" si="80"/>
        <v>4.1837439560439558</v>
      </c>
      <c r="E193" s="78">
        <f t="shared" si="111"/>
        <v>4.1837439560439558</v>
      </c>
      <c r="F193" s="23">
        <f t="shared" si="112"/>
        <v>367</v>
      </c>
      <c r="G193" s="25">
        <f>VLOOKUP(B193,'Refinitiv-MktData'!$A:$F,6,FALSE)</f>
        <v>0.1295</v>
      </c>
      <c r="H193" s="26">
        <v>1</v>
      </c>
      <c r="I193" s="99">
        <f>VLOOKUP(B193,'Refinitiv-MktData'!$A:$F,3,FALSE)</f>
        <v>44911</v>
      </c>
      <c r="J193" s="20">
        <f t="shared" si="109"/>
        <v>0.12854395604395605</v>
      </c>
      <c r="K193" s="71">
        <f t="shared" si="110"/>
        <v>3.6700339283664909E-2</v>
      </c>
      <c r="L193" s="73"/>
    </row>
    <row r="194" spans="1:12" ht="17.25" x14ac:dyDescent="0.25">
      <c r="A194" s="22" t="s">
        <v>271</v>
      </c>
      <c r="B194" s="28" t="s">
        <v>535</v>
      </c>
      <c r="C194" s="2" t="s">
        <v>157</v>
      </c>
      <c r="D194" s="3">
        <f>E194</f>
        <v>5.6224056962195625</v>
      </c>
      <c r="E194" s="77">
        <f>VLOOKUP(A194,FXRate!B:E,4,FALSE)</f>
        <v>5.6224056962195625</v>
      </c>
      <c r="F194" s="23">
        <f>VLOOKUP(B194,'Refinitiv-MktData'!$A:$F,3,FALSE)-$B$1</f>
        <v>2</v>
      </c>
      <c r="G194" s="24">
        <v>0</v>
      </c>
      <c r="K194" s="71"/>
      <c r="L194" s="72"/>
    </row>
    <row r="195" spans="1:12" ht="17.25" x14ac:dyDescent="0.25">
      <c r="A195" s="22" t="s">
        <v>271</v>
      </c>
      <c r="B195" s="28" t="s">
        <v>272</v>
      </c>
      <c r="C195" s="2">
        <f>$O$3</f>
        <v>7</v>
      </c>
      <c r="D195" s="3">
        <f t="shared" si="80"/>
        <v>5.6290485533624199</v>
      </c>
      <c r="E195" s="78">
        <f>$D$194+(LineInterpo($F$194:$G$201,C195)/H195)</f>
        <v>5.6290485533624199</v>
      </c>
      <c r="F195" s="23">
        <f>I195-$I$2</f>
        <v>9</v>
      </c>
      <c r="G195" s="25">
        <f>VLOOKUP(B195,'Refinitiv-MktData'!$A:$F,6,FALSE)</f>
        <v>9.2999999999999992E-3</v>
      </c>
      <c r="H195" s="26">
        <v>1</v>
      </c>
      <c r="I195" s="99">
        <f>VLOOKUP(B195,'Refinitiv-MktData'!$A:$F,3,FALSE)</f>
        <v>44553</v>
      </c>
      <c r="J195" s="20">
        <f>(LineInterpo($F$194:$G$201,C195))/H195</f>
        <v>6.6428571428571422E-3</v>
      </c>
      <c r="K195" s="71">
        <f t="shared" ref="K195:K201" si="113">((1+J195/$E$194)*(1+P3*O3/360)-1)*360/O3</f>
        <v>6.1714850279998804E-2</v>
      </c>
      <c r="L195" s="73"/>
    </row>
    <row r="196" spans="1:12" ht="17.25" x14ac:dyDescent="0.25">
      <c r="A196" s="22" t="s">
        <v>271</v>
      </c>
      <c r="B196" s="28" t="s">
        <v>273</v>
      </c>
      <c r="C196" s="2">
        <f>$O$4</f>
        <v>30</v>
      </c>
      <c r="D196" s="3">
        <f t="shared" ref="D196:D201" si="114">E196</f>
        <v>5.6564210808349475</v>
      </c>
      <c r="E196" s="78">
        <f>$D$194+(LineInterpo($F$194:$G$201,C196)/H196)</f>
        <v>5.6564210808349475</v>
      </c>
      <c r="F196" s="23">
        <f t="shared" ref="F196:F201" si="115">I196-$I$2</f>
        <v>35</v>
      </c>
      <c r="G196" s="25">
        <f>VLOOKUP(B196,'Refinitiv-MktData'!$A:$F,6,FALSE)</f>
        <v>3.9900000000000005E-2</v>
      </c>
      <c r="H196" s="26">
        <v>1</v>
      </c>
      <c r="I196" s="99">
        <f>VLOOKUP(B196,'Refinitiv-MktData'!$A:$F,3,FALSE)</f>
        <v>44579</v>
      </c>
      <c r="J196" s="20">
        <f>(LineInterpo($F$194:$G$201,C196))/H196</f>
        <v>3.4015384615384621E-2</v>
      </c>
      <c r="K196" s="71">
        <f t="shared" si="113"/>
        <v>7.4800992592860993E-2</v>
      </c>
      <c r="L196" s="73"/>
    </row>
    <row r="197" spans="1:12" ht="17.25" x14ac:dyDescent="0.25">
      <c r="A197" s="22" t="s">
        <v>271</v>
      </c>
      <c r="B197" s="28" t="s">
        <v>274</v>
      </c>
      <c r="C197" s="2">
        <f>$O$5</f>
        <v>60</v>
      </c>
      <c r="D197" s="3">
        <f t="shared" si="114"/>
        <v>5.6986850065643901</v>
      </c>
      <c r="E197" s="78">
        <f>$D$194+(LineInterpo($F$194:$G$201,C197)/H197)</f>
        <v>5.6986850065643901</v>
      </c>
      <c r="F197" s="23">
        <f t="shared" si="115"/>
        <v>64</v>
      </c>
      <c r="G197" s="25">
        <f>VLOOKUP(B197,'Refinitiv-MktData'!$A:$F,6,FALSE)</f>
        <v>8.2100000000000006E-2</v>
      </c>
      <c r="H197" s="26">
        <v>1</v>
      </c>
      <c r="I197" s="99">
        <f>VLOOKUP(B197,'Refinitiv-MktData'!$A:$F,3,FALSE)</f>
        <v>44608</v>
      </c>
      <c r="J197" s="20">
        <f>(LineInterpo($F$194:$G$201,C197))/H197</f>
        <v>7.6279310344827586E-2</v>
      </c>
      <c r="K197" s="71">
        <f t="shared" si="113"/>
        <v>8.3977974287498203E-2</v>
      </c>
      <c r="L197" s="73"/>
    </row>
    <row r="198" spans="1:12" ht="17.25" x14ac:dyDescent="0.25">
      <c r="A198" s="22" t="s">
        <v>271</v>
      </c>
      <c r="B198" s="28" t="s">
        <v>275</v>
      </c>
      <c r="C198" s="2">
        <f>$O$6</f>
        <v>90</v>
      </c>
      <c r="D198" s="3">
        <f t="shared" si="114"/>
        <v>5.739605696219563</v>
      </c>
      <c r="E198" s="78">
        <f>$D$194+(LineInterpo($F$194:$G$201,C198)/H198)</f>
        <v>5.739605696219563</v>
      </c>
      <c r="F198" s="23">
        <f t="shared" si="115"/>
        <v>92</v>
      </c>
      <c r="G198" s="25">
        <f>VLOOKUP(B198,'Refinitiv-MktData'!$A:$F,6,FALSE)</f>
        <v>0.11990000000000001</v>
      </c>
      <c r="H198" s="26">
        <v>1</v>
      </c>
      <c r="I198" s="99">
        <f>VLOOKUP(B198,'Refinitiv-MktData'!$A:$F,3,FALSE)</f>
        <v>44636</v>
      </c>
      <c r="J198" s="20">
        <f>(LineInterpo($F$194:$G$201,C198))/H198</f>
        <v>0.11720000000000001</v>
      </c>
      <c r="K198" s="71">
        <f t="shared" si="113"/>
        <v>8.5922288476210973E-2</v>
      </c>
      <c r="L198" s="73"/>
    </row>
    <row r="199" spans="1:12" ht="17.25" x14ac:dyDescent="0.25">
      <c r="A199" s="22" t="s">
        <v>271</v>
      </c>
      <c r="B199" s="28" t="s">
        <v>276</v>
      </c>
      <c r="C199" s="2">
        <f>$O$7</f>
        <v>180</v>
      </c>
      <c r="D199" s="3">
        <f t="shared" si="114"/>
        <v>5.8917164489077347</v>
      </c>
      <c r="E199" s="78">
        <f>$D$194+(LineInterpo($F$194:$G$201,C199)/H199)</f>
        <v>5.8917164489077347</v>
      </c>
      <c r="F199" s="23">
        <f t="shared" si="115"/>
        <v>185</v>
      </c>
      <c r="G199" s="25">
        <f>VLOOKUP(B199,'Refinitiv-MktData'!$A:$F,6,FALSE)</f>
        <v>0.27779999999999999</v>
      </c>
      <c r="H199" s="26">
        <v>1</v>
      </c>
      <c r="I199" s="99">
        <f>VLOOKUP(B199,'Refinitiv-MktData'!$A:$F,3,FALSE)</f>
        <v>44729</v>
      </c>
      <c r="J199" s="20">
        <f>(LineInterpo($F$194:$G$201,C199))/H199</f>
        <v>0.26931075268817206</v>
      </c>
      <c r="K199" s="71">
        <f t="shared" si="113"/>
        <v>9.9660795544605385E-2</v>
      </c>
      <c r="L199" s="73"/>
    </row>
    <row r="200" spans="1:12" ht="17.25" x14ac:dyDescent="0.25">
      <c r="A200" s="22" t="s">
        <v>271</v>
      </c>
      <c r="B200" s="28" t="s">
        <v>277</v>
      </c>
      <c r="C200" s="2">
        <v>270</v>
      </c>
      <c r="D200" s="3">
        <f t="shared" si="114"/>
        <v>6.0531589929228593</v>
      </c>
      <c r="E200" s="78">
        <f t="shared" ref="E200" si="116">$D$194+(LineInterpo($F$194:$G$201,C200)/H200)</f>
        <v>6.0531589929228593</v>
      </c>
      <c r="F200" s="23">
        <f t="shared" si="115"/>
        <v>276</v>
      </c>
      <c r="G200" s="25">
        <f>VLOOKUP(B200,'Refinitiv-MktData'!$A:$F,6,FALSE)</f>
        <v>0.44155</v>
      </c>
      <c r="H200" s="26">
        <v>1</v>
      </c>
      <c r="I200" s="99">
        <f>VLOOKUP(B200,'Refinitiv-MktData'!$A:$F,3,FALSE)</f>
        <v>44820</v>
      </c>
      <c r="J200" s="20">
        <f t="shared" ref="J200" si="117">(LineInterpo($F$194:$G$201,C200))/H200</f>
        <v>0.43075329670329671</v>
      </c>
      <c r="K200" s="71">
        <f t="shared" si="113"/>
        <v>0.1072383217116523</v>
      </c>
    </row>
    <row r="201" spans="1:12" ht="17.25" x14ac:dyDescent="0.25">
      <c r="A201" s="22" t="s">
        <v>271</v>
      </c>
      <c r="B201" s="28" t="s">
        <v>278</v>
      </c>
      <c r="C201" s="2">
        <f>$O$9</f>
        <v>365</v>
      </c>
      <c r="D201" s="3">
        <f t="shared" si="114"/>
        <v>6.2152067951206611</v>
      </c>
      <c r="E201" s="78">
        <f>$D$194+(LineInterpo($F$194:$G$201,C201)/H201)</f>
        <v>6.2152067951206611</v>
      </c>
      <c r="F201" s="23">
        <f t="shared" si="115"/>
        <v>367</v>
      </c>
      <c r="G201" s="25">
        <f>VLOOKUP(B201,'Refinitiv-MktData'!$A:$F,6,FALSE)</f>
        <v>0.59620000000000006</v>
      </c>
      <c r="H201" s="26">
        <v>1</v>
      </c>
      <c r="I201" s="99">
        <f>VLOOKUP(B201,'Refinitiv-MktData'!$A:$F,3,FALSE)</f>
        <v>44911</v>
      </c>
      <c r="J201" s="20">
        <f>(LineInterpo($F$194:$G$201,C201))/H201</f>
        <v>0.592801098901099</v>
      </c>
      <c r="K201" s="71">
        <f t="shared" si="113"/>
        <v>0.10981570479999385</v>
      </c>
      <c r="L201" s="73"/>
    </row>
    <row r="202" spans="1:12" ht="17.25" x14ac:dyDescent="0.25">
      <c r="A202" s="22" t="s">
        <v>280</v>
      </c>
      <c r="B202" s="28" t="s">
        <v>536</v>
      </c>
      <c r="C202" s="2" t="s">
        <v>157</v>
      </c>
      <c r="D202" s="3">
        <f>E202</f>
        <v>4006</v>
      </c>
      <c r="E202" s="77">
        <f>VLOOKUP(B202,'Refinitiv-MktData'!$A:$F,6,FALSE)</f>
        <v>4006</v>
      </c>
      <c r="F202" s="23">
        <f>VLOOKUP(B202,'Refinitiv-MktData'!$A:$F,3,FALSE)-$B$1</f>
        <v>2</v>
      </c>
      <c r="G202" s="24">
        <v>0</v>
      </c>
      <c r="K202" s="71"/>
      <c r="L202" s="72"/>
    </row>
    <row r="203" spans="1:12" ht="17.25" x14ac:dyDescent="0.25">
      <c r="A203" s="22" t="s">
        <v>280</v>
      </c>
      <c r="B203" s="28" t="s">
        <v>281</v>
      </c>
      <c r="C203" s="2">
        <f>$O$3</f>
        <v>7</v>
      </c>
      <c r="D203" s="3">
        <f t="shared" ref="D203:D217" si="118">E203</f>
        <v>4008.4250000000002</v>
      </c>
      <c r="E203" s="78">
        <f t="shared" ref="E203:E209" si="119">$D$202+(LineInterpo($F$202:$G$209,C203)/H203)</f>
        <v>4008.4250000000002</v>
      </c>
      <c r="F203" s="23">
        <f>I203-$I$2</f>
        <v>9</v>
      </c>
      <c r="G203" s="25">
        <f>VLOOKUP(B203,'Refinitiv-MktData'!$A:$F,6,FALSE)</f>
        <v>3.395</v>
      </c>
      <c r="H203" s="26">
        <v>1</v>
      </c>
      <c r="I203" s="99">
        <f>VLOOKUP(B203,'Refinitiv-MktData'!$A:$F,3,FALSE)</f>
        <v>44553</v>
      </c>
      <c r="J203" s="20">
        <f>(LineInterpo($F$202:$G$209,C203))/H203</f>
        <v>2.4249999999999998</v>
      </c>
      <c r="K203" s="71">
        <f t="shared" ref="K203:K209" si="120">((1+J203/$E$202)*(1+P3*O3/360)-1)*360/O3</f>
        <v>3.2083457745427167E-2</v>
      </c>
      <c r="L203" s="73"/>
    </row>
    <row r="204" spans="1:12" ht="17.25" x14ac:dyDescent="0.25">
      <c r="A204" s="22" t="s">
        <v>280</v>
      </c>
      <c r="B204" s="28" t="s">
        <v>282</v>
      </c>
      <c r="C204" s="2">
        <f>$O$4</f>
        <v>30</v>
      </c>
      <c r="D204" s="3">
        <f t="shared" si="118"/>
        <v>4019.5759615384613</v>
      </c>
      <c r="E204" s="78">
        <f t="shared" si="119"/>
        <v>4019.5759615384613</v>
      </c>
      <c r="F204" s="23">
        <f t="shared" ref="F204:F209" si="121">I204-$I$2</f>
        <v>35</v>
      </c>
      <c r="G204" s="25">
        <f>VLOOKUP(B204,'Refinitiv-MktData'!$A:$F,6,FALSE)</f>
        <v>16</v>
      </c>
      <c r="H204" s="26">
        <v>1</v>
      </c>
      <c r="I204" s="99">
        <f>VLOOKUP(B204,'Refinitiv-MktData'!$A:$F,3,FALSE)</f>
        <v>44579</v>
      </c>
      <c r="J204" s="20">
        <f>(LineInterpo($F$202:$G$209,C204))/H204</f>
        <v>13.575961538461538</v>
      </c>
      <c r="K204" s="71">
        <f t="shared" si="120"/>
        <v>4.2862416671892944E-2</v>
      </c>
      <c r="L204" s="73"/>
    </row>
    <row r="205" spans="1:12" ht="17.25" x14ac:dyDescent="0.25">
      <c r="A205" s="22" t="s">
        <v>280</v>
      </c>
      <c r="B205" s="28" t="s">
        <v>283</v>
      </c>
      <c r="C205" s="2">
        <f>$O$5</f>
        <v>60</v>
      </c>
      <c r="D205" s="3">
        <f t="shared" si="118"/>
        <v>4034.2025862068967</v>
      </c>
      <c r="E205" s="78">
        <f t="shared" si="119"/>
        <v>4034.2025862068967</v>
      </c>
      <c r="F205" s="23">
        <f t="shared" si="121"/>
        <v>64</v>
      </c>
      <c r="G205" s="25">
        <f>VLOOKUP(B205,'Refinitiv-MktData'!$A:$F,6,FALSE)</f>
        <v>30.155000000000001</v>
      </c>
      <c r="H205" s="26">
        <v>1</v>
      </c>
      <c r="I205" s="99">
        <f>VLOOKUP(B205,'Refinitiv-MktData'!$A:$F,3,FALSE)</f>
        <v>44608</v>
      </c>
      <c r="J205" s="20">
        <f>(LineInterpo($F$202:$G$209,C205))/H205</f>
        <v>28.202586206896552</v>
      </c>
      <c r="K205" s="71">
        <f t="shared" si="120"/>
        <v>4.4799764411981968E-2</v>
      </c>
      <c r="L205" s="73"/>
    </row>
    <row r="206" spans="1:12" ht="17.25" x14ac:dyDescent="0.25">
      <c r="A206" s="22" t="s">
        <v>280</v>
      </c>
      <c r="B206" s="28" t="s">
        <v>284</v>
      </c>
      <c r="C206" s="2">
        <f>$O$6</f>
        <v>90</v>
      </c>
      <c r="D206" s="3">
        <f t="shared" si="118"/>
        <v>4047.9896428571428</v>
      </c>
      <c r="E206" s="78">
        <f t="shared" si="119"/>
        <v>4047.9896428571428</v>
      </c>
      <c r="F206" s="23">
        <f t="shared" si="121"/>
        <v>92</v>
      </c>
      <c r="G206" s="25">
        <f>VLOOKUP(B206,'Refinitiv-MktData'!$A:$F,6,FALSE)</f>
        <v>42.900000000000006</v>
      </c>
      <c r="H206" s="26">
        <v>1</v>
      </c>
      <c r="I206" s="99">
        <f>VLOOKUP(B206,'Refinitiv-MktData'!$A:$F,3,FALSE)</f>
        <v>44636</v>
      </c>
      <c r="J206" s="20">
        <f>(LineInterpo($F$202:$G$209,C206))/H206</f>
        <v>41.989642857142861</v>
      </c>
      <c r="K206" s="71">
        <f t="shared" si="120"/>
        <v>4.444256093397847E-2</v>
      </c>
      <c r="L206" s="73"/>
    </row>
    <row r="207" spans="1:12" ht="17.25" x14ac:dyDescent="0.25">
      <c r="A207" s="22" t="s">
        <v>280</v>
      </c>
      <c r="B207" s="28" t="s">
        <v>285</v>
      </c>
      <c r="C207" s="2">
        <f>$O$7</f>
        <v>180</v>
      </c>
      <c r="D207" s="3">
        <f t="shared" si="118"/>
        <v>4093.5695652173913</v>
      </c>
      <c r="E207" s="78">
        <f t="shared" si="119"/>
        <v>4093.5695652173913</v>
      </c>
      <c r="F207" s="23">
        <f t="shared" si="121"/>
        <v>184</v>
      </c>
      <c r="G207" s="25">
        <f>VLOOKUP(B207,'Refinitiv-MktData'!$A:$F,6,FALSE)</f>
        <v>89.6</v>
      </c>
      <c r="H207" s="26">
        <v>1</v>
      </c>
      <c r="I207" s="99">
        <f>VLOOKUP(B207,'Refinitiv-MktData'!$A:$F,3,FALSE)</f>
        <v>44728</v>
      </c>
      <c r="J207" s="20">
        <f>(LineInterpo($F$202:$G$209,C207))/H207</f>
        <v>87.5695652173913</v>
      </c>
      <c r="K207" s="71">
        <f t="shared" si="120"/>
        <v>4.7484920175407286E-2</v>
      </c>
      <c r="L207" s="73"/>
    </row>
    <row r="208" spans="1:12" ht="17.25" x14ac:dyDescent="0.25">
      <c r="A208" s="22" t="s">
        <v>280</v>
      </c>
      <c r="B208" s="28" t="s">
        <v>286</v>
      </c>
      <c r="C208" s="2">
        <v>270</v>
      </c>
      <c r="D208" s="3">
        <f t="shared" si="118"/>
        <v>4142.0119565217392</v>
      </c>
      <c r="E208" s="78">
        <f t="shared" si="119"/>
        <v>4142.0119565217392</v>
      </c>
      <c r="F208" s="23">
        <f t="shared" si="121"/>
        <v>276</v>
      </c>
      <c r="G208" s="25">
        <f>VLOOKUP(B208,'Refinitiv-MktData'!$A:$F,6,FALSE)</f>
        <v>139.25</v>
      </c>
      <c r="H208" s="26">
        <v>1</v>
      </c>
      <c r="I208" s="99">
        <f>VLOOKUP(B208,'Refinitiv-MktData'!$A:$F,3,FALSE)</f>
        <v>44820</v>
      </c>
      <c r="J208" s="20">
        <f t="shared" ref="J208" si="122">(LineInterpo($F$202:$G$209,C208))/H208</f>
        <v>136.01195652173914</v>
      </c>
      <c r="K208" s="71">
        <f t="shared" si="120"/>
        <v>5.0154572707931187E-2</v>
      </c>
    </row>
    <row r="209" spans="1:12" ht="17.25" x14ac:dyDescent="0.25">
      <c r="A209" s="22" t="s">
        <v>280</v>
      </c>
      <c r="B209" s="28" t="s">
        <v>287</v>
      </c>
      <c r="C209" s="2">
        <f>$O$9</f>
        <v>365</v>
      </c>
      <c r="D209" s="3">
        <f t="shared" si="118"/>
        <v>4198.0680769230767</v>
      </c>
      <c r="E209" s="78">
        <f t="shared" si="119"/>
        <v>4198.0680769230767</v>
      </c>
      <c r="F209" s="23">
        <f t="shared" si="121"/>
        <v>367</v>
      </c>
      <c r="G209" s="25">
        <f>VLOOKUP(B209,'Refinitiv-MktData'!$A:$F,6,FALSE)</f>
        <v>193.255</v>
      </c>
      <c r="H209" s="26">
        <v>1</v>
      </c>
      <c r="I209" s="99">
        <f>VLOOKUP(B209,'Refinitiv-MktData'!$A:$F,3,FALSE)</f>
        <v>44911</v>
      </c>
      <c r="J209" s="20">
        <f>(LineInterpo($F$202:$G$209,C209))/H209</f>
        <v>192.06807692307692</v>
      </c>
      <c r="K209" s="71">
        <f t="shared" si="120"/>
        <v>5.2809939356184443E-2</v>
      </c>
      <c r="L209" s="73"/>
    </row>
    <row r="210" spans="1:12" ht="17.25" x14ac:dyDescent="0.25">
      <c r="A210" s="22" t="s">
        <v>295</v>
      </c>
      <c r="B210" s="28" t="s">
        <v>537</v>
      </c>
      <c r="C210" s="2" t="s">
        <v>157</v>
      </c>
      <c r="D210" s="3">
        <f>E210</f>
        <v>843.25</v>
      </c>
      <c r="E210" s="77">
        <f>VLOOKUP(B210,'Refinitiv-MktData'!$A:$F,6,FALSE)</f>
        <v>843.25</v>
      </c>
      <c r="F210" s="23">
        <f>VLOOKUP(B210,'Refinitiv-MktData'!$A:$F,3,FALSE)-$B$1</f>
        <v>2</v>
      </c>
      <c r="G210" s="4">
        <v>0</v>
      </c>
      <c r="K210" s="71"/>
      <c r="L210" s="72"/>
    </row>
    <row r="211" spans="1:12" ht="17.25" x14ac:dyDescent="0.25">
      <c r="A211" s="22" t="s">
        <v>295</v>
      </c>
      <c r="B211" s="28" t="s">
        <v>288</v>
      </c>
      <c r="C211" s="2">
        <f>$O$3</f>
        <v>7</v>
      </c>
      <c r="D211" s="3">
        <f t="shared" si="118"/>
        <v>843.78571428571433</v>
      </c>
      <c r="E211" s="78">
        <f t="shared" ref="E211:E217" si="123">$D$210+(LineInterpo($F$210:$G$217,C211)/H211)</f>
        <v>843.78571428571433</v>
      </c>
      <c r="F211" s="23">
        <f>I211-$I$2</f>
        <v>9</v>
      </c>
      <c r="G211" s="25">
        <f>VLOOKUP(B211,'Refinitiv-MktData'!$A:$F,6,FALSE)</f>
        <v>0.75</v>
      </c>
      <c r="H211" s="26">
        <v>1</v>
      </c>
      <c r="I211" s="99">
        <f>VLOOKUP(B211,'Refinitiv-MktData'!$A:$F,3,FALSE)</f>
        <v>44553</v>
      </c>
      <c r="J211" s="20">
        <f t="shared" ref="J211:J217" si="124">(LineInterpo($F$210:$G$217,C211))/H211</f>
        <v>0.5357142857142857</v>
      </c>
      <c r="K211" s="71">
        <f t="shared" ref="K211:K217" si="125">((1+J211/$E$210)*(1+P3*O3/360)-1)*360/O3</f>
        <v>3.3624035274996293E-2</v>
      </c>
      <c r="L211" s="73"/>
    </row>
    <row r="212" spans="1:12" ht="17.25" x14ac:dyDescent="0.25">
      <c r="A212" s="22" t="s">
        <v>295</v>
      </c>
      <c r="B212" s="28" t="s">
        <v>289</v>
      </c>
      <c r="C212" s="2">
        <f>$O$4</f>
        <v>30</v>
      </c>
      <c r="D212" s="3">
        <f t="shared" si="118"/>
        <v>845.89807692307693</v>
      </c>
      <c r="E212" s="78">
        <f t="shared" si="123"/>
        <v>845.89807692307693</v>
      </c>
      <c r="F212" s="23">
        <f t="shared" ref="F212:F217" si="126">I212-$I$2</f>
        <v>35</v>
      </c>
      <c r="G212" s="25">
        <f>VLOOKUP(B212,'Refinitiv-MktData'!$A:$F,6,FALSE)</f>
        <v>3.1</v>
      </c>
      <c r="H212" s="26">
        <v>1</v>
      </c>
      <c r="I212" s="99">
        <f>VLOOKUP(B212,'Refinitiv-MktData'!$A:$F,3,FALSE)</f>
        <v>44579</v>
      </c>
      <c r="J212" s="20">
        <f t="shared" si="124"/>
        <v>2.648076923076923</v>
      </c>
      <c r="K212" s="71">
        <f t="shared" si="125"/>
        <v>3.9878858094387404E-2</v>
      </c>
      <c r="L212" s="73"/>
    </row>
    <row r="213" spans="1:12" ht="17.25" x14ac:dyDescent="0.25">
      <c r="A213" s="22" t="s">
        <v>295</v>
      </c>
      <c r="B213" s="28" t="s">
        <v>290</v>
      </c>
      <c r="C213" s="2">
        <f>$O$5</f>
        <v>60</v>
      </c>
      <c r="D213" s="3">
        <f t="shared" si="118"/>
        <v>849.49655172413793</v>
      </c>
      <c r="E213" s="78">
        <f t="shared" si="123"/>
        <v>849.49655172413793</v>
      </c>
      <c r="F213" s="23">
        <f t="shared" si="126"/>
        <v>64</v>
      </c>
      <c r="G213" s="25">
        <f>VLOOKUP(B213,'Refinitiv-MktData'!$A:$F,6,FALSE)</f>
        <v>6.75</v>
      </c>
      <c r="H213" s="26">
        <v>1</v>
      </c>
      <c r="I213" s="99">
        <f>VLOOKUP(B213,'Refinitiv-MktData'!$A:$F,3,FALSE)</f>
        <v>44608</v>
      </c>
      <c r="J213" s="20">
        <f t="shared" si="124"/>
        <v>6.2465517241379311</v>
      </c>
      <c r="K213" s="71">
        <f t="shared" si="125"/>
        <v>4.7006442039298157E-2</v>
      </c>
      <c r="L213" s="73"/>
    </row>
    <row r="214" spans="1:12" ht="17.25" x14ac:dyDescent="0.25">
      <c r="A214" s="22" t="s">
        <v>295</v>
      </c>
      <c r="B214" s="28" t="s">
        <v>291</v>
      </c>
      <c r="C214" s="2">
        <f>$O$6</f>
        <v>90</v>
      </c>
      <c r="D214" s="3">
        <f t="shared" si="118"/>
        <v>853.29642857142858</v>
      </c>
      <c r="E214" s="78">
        <f t="shared" si="123"/>
        <v>853.29642857142858</v>
      </c>
      <c r="F214" s="23">
        <f t="shared" si="126"/>
        <v>92</v>
      </c>
      <c r="G214" s="25">
        <f>VLOOKUP(B214,'Refinitiv-MktData'!$A:$F,6,FALSE)</f>
        <v>10.3</v>
      </c>
      <c r="H214" s="26">
        <v>1</v>
      </c>
      <c r="I214" s="99">
        <f>VLOOKUP(B214,'Refinitiv-MktData'!$A:$F,3,FALSE)</f>
        <v>44636</v>
      </c>
      <c r="J214" s="20">
        <f t="shared" si="124"/>
        <v>10.046428571428573</v>
      </c>
      <c r="K214" s="71">
        <f t="shared" si="125"/>
        <v>5.0175127770409667E-2</v>
      </c>
      <c r="L214" s="73"/>
    </row>
    <row r="215" spans="1:12" ht="17.25" x14ac:dyDescent="0.25">
      <c r="A215" s="22" t="s">
        <v>295</v>
      </c>
      <c r="B215" s="28" t="s">
        <v>292</v>
      </c>
      <c r="C215" s="2">
        <f>$O$7</f>
        <v>180</v>
      </c>
      <c r="D215" s="3">
        <f t="shared" si="118"/>
        <v>863.97608695652173</v>
      </c>
      <c r="E215" s="78">
        <f t="shared" si="123"/>
        <v>863.97608695652173</v>
      </c>
      <c r="F215" s="23">
        <f t="shared" si="126"/>
        <v>184</v>
      </c>
      <c r="G215" s="25">
        <f>VLOOKUP(B215,'Refinitiv-MktData'!$A:$F,6,FALSE)</f>
        <v>21.200000000000003</v>
      </c>
      <c r="H215" s="26">
        <v>1</v>
      </c>
      <c r="I215" s="99">
        <f>VLOOKUP(B215,'Refinitiv-MktData'!$A:$F,3,FALSE)</f>
        <v>44728</v>
      </c>
      <c r="J215" s="20">
        <f t="shared" si="124"/>
        <v>20.72608695652174</v>
      </c>
      <c r="K215" s="71">
        <f t="shared" si="125"/>
        <v>5.2933369978243938E-2</v>
      </c>
      <c r="L215" s="73"/>
    </row>
    <row r="216" spans="1:12" ht="17.25" x14ac:dyDescent="0.25">
      <c r="A216" s="22" t="s">
        <v>295</v>
      </c>
      <c r="B216" s="28" t="s">
        <v>293</v>
      </c>
      <c r="C216" s="2">
        <v>270</v>
      </c>
      <c r="D216" s="3">
        <f t="shared" si="118"/>
        <v>874.07826086956527</v>
      </c>
      <c r="E216" s="78">
        <f t="shared" si="123"/>
        <v>874.07826086956527</v>
      </c>
      <c r="F216" s="23">
        <f t="shared" si="126"/>
        <v>276</v>
      </c>
      <c r="G216" s="25">
        <f>VLOOKUP(B216,'Refinitiv-MktData'!$A:$F,6,FALSE)</f>
        <v>31.5</v>
      </c>
      <c r="H216" s="26">
        <v>1</v>
      </c>
      <c r="I216" s="99">
        <f>VLOOKUP(B216,'Refinitiv-MktData'!$A:$F,3,FALSE)</f>
        <v>44820</v>
      </c>
      <c r="J216" s="20">
        <f t="shared" si="124"/>
        <v>30.828260869565216</v>
      </c>
      <c r="K216" s="71">
        <f t="shared" si="125"/>
        <v>5.3642624562383112E-2</v>
      </c>
    </row>
    <row r="217" spans="1:12" ht="17.25" x14ac:dyDescent="0.25">
      <c r="A217" s="22" t="s">
        <v>295</v>
      </c>
      <c r="B217" s="28" t="s">
        <v>294</v>
      </c>
      <c r="C217" s="2">
        <f>$O$9</f>
        <v>365</v>
      </c>
      <c r="D217" s="3">
        <f t="shared" si="118"/>
        <v>884.62802197802193</v>
      </c>
      <c r="E217" s="78">
        <f t="shared" si="123"/>
        <v>884.62802197802193</v>
      </c>
      <c r="F217" s="23">
        <f t="shared" si="126"/>
        <v>367</v>
      </c>
      <c r="G217" s="25">
        <f>VLOOKUP(B217,'Refinitiv-MktData'!$A:$F,6,FALSE)</f>
        <v>41.599999999999994</v>
      </c>
      <c r="H217" s="26">
        <v>1</v>
      </c>
      <c r="I217" s="99">
        <f>VLOOKUP(B217,'Refinitiv-MktData'!$A:$F,3,FALSE)</f>
        <v>44911</v>
      </c>
      <c r="J217" s="20">
        <f t="shared" si="124"/>
        <v>41.37802197802197</v>
      </c>
      <c r="K217" s="71">
        <f t="shared" si="125"/>
        <v>5.3925054831116731E-2</v>
      </c>
      <c r="L217" s="73"/>
    </row>
  </sheetData>
  <mergeCells count="3">
    <mergeCell ref="O15:W15"/>
    <mergeCell ref="F1:G1"/>
    <mergeCell ref="O14:W14"/>
  </mergeCells>
  <phoneticPr fontId="45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FFC000"/>
  </sheetPr>
  <dimension ref="A1:V2137"/>
  <sheetViews>
    <sheetView topLeftCell="D1" zoomScale="80" zoomScaleNormal="80" workbookViewId="0">
      <pane ySplit="1" topLeftCell="A2" activePane="bottomLeft" state="frozen"/>
      <selection activeCell="H1" sqref="H1"/>
      <selection pane="bottomLeft" activeCell="W24" sqref="W24"/>
    </sheetView>
  </sheetViews>
  <sheetFormatPr defaultRowHeight="15.75" x14ac:dyDescent="0.25"/>
  <cols>
    <col min="1" max="1" width="17.25" style="88" customWidth="1"/>
    <col min="2" max="2" width="11.125" style="39" customWidth="1"/>
    <col min="3" max="3" width="11.375" style="39" customWidth="1"/>
    <col min="4" max="4" width="14" style="39" customWidth="1"/>
    <col min="5" max="5" width="13" style="108" customWidth="1"/>
    <col min="6" max="6" width="13.625" style="108" customWidth="1"/>
    <col min="7" max="7" width="11.125" style="108" customWidth="1"/>
    <col min="8" max="8" width="10.625" style="94" customWidth="1"/>
    <col min="9" max="9" width="14.75" style="65" customWidth="1"/>
    <col min="10" max="10" width="10.375" style="40" customWidth="1"/>
    <col min="11" max="11" width="14.375" style="67" customWidth="1"/>
    <col min="12" max="12" width="13" style="56" hidden="1" customWidth="1"/>
    <col min="13" max="13" width="13.875" style="49" hidden="1" customWidth="1"/>
    <col min="14" max="14" width="8" style="50" hidden="1" customWidth="1"/>
    <col min="15" max="15" width="10" style="59" hidden="1" customWidth="1"/>
    <col min="16" max="16" width="12.625" style="63" hidden="1" customWidth="1"/>
    <col min="17" max="17" width="15.375" style="13" customWidth="1"/>
    <col min="18" max="18" width="15.375" style="41" hidden="1" customWidth="1"/>
    <col min="19" max="19" width="13.5" hidden="1" customWidth="1"/>
    <col min="20" max="20" width="11.75" hidden="1" customWidth="1"/>
    <col min="21" max="21" width="15" style="51" customWidth="1"/>
    <col min="22" max="22" width="15.625" customWidth="1"/>
  </cols>
  <sheetData>
    <row r="1" spans="1:22" s="39" customFormat="1" x14ac:dyDescent="0.25">
      <c r="A1" s="89" t="s">
        <v>204</v>
      </c>
      <c r="B1" s="34" t="s">
        <v>208</v>
      </c>
      <c r="C1" s="34" t="s">
        <v>209</v>
      </c>
      <c r="D1" s="34" t="s">
        <v>228</v>
      </c>
      <c r="E1" s="106" t="s">
        <v>234</v>
      </c>
      <c r="F1" s="106" t="s">
        <v>235</v>
      </c>
      <c r="G1" s="106" t="s">
        <v>205</v>
      </c>
      <c r="H1" s="92" t="s">
        <v>206</v>
      </c>
      <c r="I1" s="34" t="s">
        <v>257</v>
      </c>
      <c r="J1" s="34" t="s">
        <v>258</v>
      </c>
      <c r="K1" s="34" t="s">
        <v>259</v>
      </c>
      <c r="L1" s="35" t="s">
        <v>207</v>
      </c>
      <c r="M1" s="44" t="s">
        <v>217</v>
      </c>
      <c r="N1" s="36" t="s">
        <v>210</v>
      </c>
      <c r="O1" s="57" t="s">
        <v>221</v>
      </c>
      <c r="P1" s="60" t="s">
        <v>226</v>
      </c>
      <c r="Q1" s="52" t="s">
        <v>256</v>
      </c>
      <c r="R1" s="53" t="s">
        <v>255</v>
      </c>
      <c r="S1" s="37"/>
      <c r="U1" s="52" t="s">
        <v>622</v>
      </c>
      <c r="V1" s="51">
        <f>SUM(Q2:Q476)</f>
        <v>5610344.1370426584</v>
      </c>
    </row>
    <row r="2" spans="1:22" s="7" customFormat="1" x14ac:dyDescent="0.25">
      <c r="A2" s="90">
        <v>998095</v>
      </c>
      <c r="B2" s="45" t="s">
        <v>327</v>
      </c>
      <c r="C2" s="45"/>
      <c r="D2" s="45" t="s">
        <v>323</v>
      </c>
      <c r="E2" s="107">
        <v>44448</v>
      </c>
      <c r="F2" s="107">
        <v>44452</v>
      </c>
      <c r="G2" s="107">
        <v>44546</v>
      </c>
      <c r="H2" s="93" t="s">
        <v>4</v>
      </c>
      <c r="I2" s="64">
        <v>500000</v>
      </c>
      <c r="J2" s="64" t="s">
        <v>3</v>
      </c>
      <c r="K2" s="66">
        <v>3253750</v>
      </c>
      <c r="L2" s="55">
        <v>6.5075000000000003</v>
      </c>
      <c r="M2" s="46">
        <v>500000</v>
      </c>
      <c r="N2" s="47">
        <v>3</v>
      </c>
      <c r="O2" s="58">
        <v>6.3739083336789131</v>
      </c>
      <c r="P2" s="61">
        <v>-0.13358336729558301</v>
      </c>
      <c r="Q2" s="13">
        <v>-290670.78091706149</v>
      </c>
      <c r="R2" s="41">
        <v>-10479.510441657696</v>
      </c>
      <c r="S2" s="38"/>
      <c r="U2" s="51">
        <v>-288189</v>
      </c>
    </row>
    <row r="3" spans="1:22" s="7" customFormat="1" x14ac:dyDescent="0.25">
      <c r="A3" s="90">
        <v>1001713</v>
      </c>
      <c r="B3" s="45" t="s">
        <v>327</v>
      </c>
      <c r="C3" s="45"/>
      <c r="D3" s="45" t="s">
        <v>323</v>
      </c>
      <c r="E3" s="107">
        <v>44453</v>
      </c>
      <c r="F3" s="107">
        <v>44455</v>
      </c>
      <c r="G3" s="107">
        <v>44546</v>
      </c>
      <c r="H3" s="93" t="s">
        <v>4</v>
      </c>
      <c r="I3" s="64">
        <v>500000</v>
      </c>
      <c r="J3" s="64" t="s">
        <v>3</v>
      </c>
      <c r="K3" s="66">
        <v>3246750</v>
      </c>
      <c r="L3" s="55">
        <v>6.4935</v>
      </c>
      <c r="M3" s="46">
        <v>500000</v>
      </c>
      <c r="N3" s="48">
        <v>3</v>
      </c>
      <c r="O3" s="58">
        <v>6.3739083336789131</v>
      </c>
      <c r="P3" s="61">
        <v>-0.1195842370081948</v>
      </c>
      <c r="Q3" s="181">
        <v>-260209.36782967515</v>
      </c>
      <c r="R3" s="42">
        <v>-9381.2896452302812</v>
      </c>
      <c r="S3" s="38"/>
      <c r="U3" s="51">
        <v>-257733</v>
      </c>
    </row>
    <row r="4" spans="1:22" s="7" customFormat="1" x14ac:dyDescent="0.25">
      <c r="A4" s="90">
        <v>1006708</v>
      </c>
      <c r="B4" s="45" t="s">
        <v>327</v>
      </c>
      <c r="C4" s="45"/>
      <c r="D4" s="45" t="s">
        <v>324</v>
      </c>
      <c r="E4" s="107">
        <v>44461</v>
      </c>
      <c r="F4" s="107">
        <v>44463</v>
      </c>
      <c r="G4" s="107">
        <v>44553</v>
      </c>
      <c r="H4" s="93" t="s">
        <v>4</v>
      </c>
      <c r="I4" s="64">
        <v>1364500</v>
      </c>
      <c r="J4" s="64" t="s">
        <v>15</v>
      </c>
      <c r="K4" s="66">
        <v>1000000</v>
      </c>
      <c r="L4" s="55">
        <v>0.73286918285086111</v>
      </c>
      <c r="M4" s="46">
        <v>1364500</v>
      </c>
      <c r="N4" s="47">
        <v>10</v>
      </c>
      <c r="O4" s="58">
        <v>0.75687290220521941</v>
      </c>
      <c r="P4" s="61">
        <v>2.4003563238660146E-2</v>
      </c>
      <c r="Q4" s="51">
        <v>1200270.2045762246</v>
      </c>
      <c r="R4" s="43">
        <v>43273.163205407203</v>
      </c>
      <c r="S4" s="38"/>
      <c r="U4" s="51">
        <v>1201278</v>
      </c>
    </row>
    <row r="5" spans="1:22" s="7" customFormat="1" x14ac:dyDescent="0.25">
      <c r="A5" s="90">
        <v>1009130</v>
      </c>
      <c r="B5" s="45" t="s">
        <v>327</v>
      </c>
      <c r="C5" s="45"/>
      <c r="D5" s="45" t="s">
        <v>325</v>
      </c>
      <c r="E5" s="107">
        <v>44466</v>
      </c>
      <c r="F5" s="107">
        <v>44365</v>
      </c>
      <c r="G5" s="107">
        <v>44552</v>
      </c>
      <c r="H5" s="93" t="s">
        <v>4</v>
      </c>
      <c r="I5" s="64">
        <v>1809299.8</v>
      </c>
      <c r="J5" s="64" t="s">
        <v>2</v>
      </c>
      <c r="K5" s="66">
        <v>200000000</v>
      </c>
      <c r="L5" s="55">
        <v>110.54000005969159</v>
      </c>
      <c r="M5" s="46">
        <v>1809299.8</v>
      </c>
      <c r="N5" s="48">
        <v>9</v>
      </c>
      <c r="O5" s="58">
        <v>113.60309051431017</v>
      </c>
      <c r="P5" s="62">
        <v>3.0631567060175553</v>
      </c>
      <c r="Q5" s="13">
        <v>1353104.7220203893</v>
      </c>
      <c r="R5" s="41">
        <v>48783.283336328932</v>
      </c>
      <c r="S5" s="38"/>
      <c r="U5" s="51">
        <v>1351783</v>
      </c>
    </row>
    <row r="6" spans="1:22" s="7" customFormat="1" x14ac:dyDescent="0.25">
      <c r="A6" s="90">
        <v>1012060</v>
      </c>
      <c r="B6" s="45" t="s">
        <v>327</v>
      </c>
      <c r="C6" s="45"/>
      <c r="D6" s="45" t="s">
        <v>330</v>
      </c>
      <c r="E6" s="107">
        <v>44469</v>
      </c>
      <c r="F6" s="107">
        <v>44473</v>
      </c>
      <c r="G6" s="107">
        <v>44607</v>
      </c>
      <c r="H6" s="93" t="s">
        <v>4</v>
      </c>
      <c r="I6" s="64">
        <v>1000000</v>
      </c>
      <c r="J6" s="64" t="s">
        <v>0</v>
      </c>
      <c r="K6" s="66">
        <v>27827500</v>
      </c>
      <c r="L6" s="55">
        <v>27.827500000000001</v>
      </c>
      <c r="M6" s="46">
        <v>1000000</v>
      </c>
      <c r="N6" s="48">
        <v>64</v>
      </c>
      <c r="O6" s="58">
        <v>27.731693298110223</v>
      </c>
      <c r="P6" s="62">
        <v>-9.5800693356380556E-2</v>
      </c>
      <c r="Q6" s="13">
        <v>-95800.693356380551</v>
      </c>
      <c r="R6" s="41">
        <v>-3453.888152014486</v>
      </c>
      <c r="S6" s="38"/>
      <c r="U6" s="51">
        <v>-94729</v>
      </c>
    </row>
    <row r="7" spans="1:22" s="7" customFormat="1" x14ac:dyDescent="0.25">
      <c r="A7" s="90">
        <v>1013025</v>
      </c>
      <c r="B7" s="45" t="s">
        <v>327</v>
      </c>
      <c r="C7" s="45"/>
      <c r="D7" s="45" t="s">
        <v>326</v>
      </c>
      <c r="E7" s="107">
        <v>44470</v>
      </c>
      <c r="F7" s="107">
        <v>44474</v>
      </c>
      <c r="G7" s="107">
        <v>44560</v>
      </c>
      <c r="H7" s="93" t="s">
        <v>0</v>
      </c>
      <c r="I7" s="64">
        <v>36788400</v>
      </c>
      <c r="J7" s="64" t="s">
        <v>4</v>
      </c>
      <c r="K7" s="66">
        <v>1320000</v>
      </c>
      <c r="L7" s="55">
        <v>27.87</v>
      </c>
      <c r="M7" s="46">
        <v>-1320000</v>
      </c>
      <c r="N7" s="48">
        <v>17</v>
      </c>
      <c r="O7" s="58">
        <v>27.73667395550137</v>
      </c>
      <c r="P7" s="62">
        <v>-0.1333214060720091</v>
      </c>
      <c r="Q7" s="13">
        <v>175984.256015052</v>
      </c>
      <c r="R7" s="41">
        <v>6344.7342132518006</v>
      </c>
      <c r="S7" s="38"/>
      <c r="U7" s="51">
        <v>180029</v>
      </c>
    </row>
    <row r="8" spans="1:22" s="7" customFormat="1" x14ac:dyDescent="0.25">
      <c r="A8" s="90">
        <v>1015681</v>
      </c>
      <c r="B8" s="45" t="s">
        <v>327</v>
      </c>
      <c r="C8" s="45"/>
      <c r="D8" s="45" t="s">
        <v>324</v>
      </c>
      <c r="E8" s="107">
        <v>44475</v>
      </c>
      <c r="F8" s="107">
        <v>44383</v>
      </c>
      <c r="G8" s="107">
        <v>44567</v>
      </c>
      <c r="H8" s="93" t="s">
        <v>4</v>
      </c>
      <c r="I8" s="64">
        <v>1360800</v>
      </c>
      <c r="J8" s="64" t="s">
        <v>15</v>
      </c>
      <c r="K8" s="66">
        <v>1000000</v>
      </c>
      <c r="L8" s="55">
        <v>0.73486184597295712</v>
      </c>
      <c r="M8" s="46">
        <v>1360800</v>
      </c>
      <c r="N8" s="48">
        <v>24</v>
      </c>
      <c r="O8" s="58">
        <v>0.75670478418704135</v>
      </c>
      <c r="P8" s="62">
        <v>2.1846443142951762E-2</v>
      </c>
      <c r="Q8" s="13">
        <v>1089443.7428578781</v>
      </c>
      <c r="R8" s="41">
        <v>39277.553260970519</v>
      </c>
      <c r="S8" s="38"/>
      <c r="U8" s="51">
        <v>1082020</v>
      </c>
    </row>
    <row r="9" spans="1:22" s="7" customFormat="1" x14ac:dyDescent="0.25">
      <c r="A9" s="90">
        <v>1022857</v>
      </c>
      <c r="B9" s="45" t="s">
        <v>327</v>
      </c>
      <c r="C9" s="45"/>
      <c r="D9" s="45" t="s">
        <v>325</v>
      </c>
      <c r="E9" s="107">
        <v>44487</v>
      </c>
      <c r="F9" s="107">
        <v>44342</v>
      </c>
      <c r="G9" s="107">
        <v>44559</v>
      </c>
      <c r="H9" s="93" t="s">
        <v>4</v>
      </c>
      <c r="I9" s="64">
        <v>2752200</v>
      </c>
      <c r="J9" s="64" t="s">
        <v>15</v>
      </c>
      <c r="K9" s="66">
        <v>2000000</v>
      </c>
      <c r="L9" s="55">
        <v>0.72669137417338858</v>
      </c>
      <c r="M9" s="46">
        <v>2752200</v>
      </c>
      <c r="N9" s="48">
        <v>16</v>
      </c>
      <c r="O9" s="58">
        <v>0.75682219824424435</v>
      </c>
      <c r="P9" s="62">
        <v>3.0132026101289396E-2</v>
      </c>
      <c r="Q9" s="13">
        <v>3039051.7462980091</v>
      </c>
      <c r="R9" s="41">
        <v>109566.48070228744</v>
      </c>
      <c r="S9" s="38"/>
      <c r="U9" s="51">
        <v>3044496</v>
      </c>
    </row>
    <row r="10" spans="1:22" s="7" customFormat="1" x14ac:dyDescent="0.25">
      <c r="A10" s="90">
        <v>1028603</v>
      </c>
      <c r="B10" s="45" t="s">
        <v>327</v>
      </c>
      <c r="C10" s="45"/>
      <c r="D10" s="45" t="s">
        <v>324</v>
      </c>
      <c r="E10" s="107">
        <v>44494</v>
      </c>
      <c r="F10" s="107">
        <v>44496</v>
      </c>
      <c r="G10" s="107">
        <v>44588</v>
      </c>
      <c r="H10" s="93" t="s">
        <v>4</v>
      </c>
      <c r="I10" s="64">
        <v>2752800</v>
      </c>
      <c r="J10" s="64" t="s">
        <v>15</v>
      </c>
      <c r="K10" s="66">
        <v>2000000</v>
      </c>
      <c r="L10" s="55">
        <v>0.72653298459750071</v>
      </c>
      <c r="M10" s="46">
        <v>2752800</v>
      </c>
      <c r="N10" s="48">
        <v>45</v>
      </c>
      <c r="O10" s="58">
        <v>0.75651551350411073</v>
      </c>
      <c r="P10" s="62">
        <v>2.9992561677190298E-2</v>
      </c>
      <c r="Q10" s="13">
        <v>3025645.1318806862</v>
      </c>
      <c r="R10" s="41">
        <v>109083.13402626326</v>
      </c>
      <c r="S10" s="38"/>
      <c r="U10" s="51">
        <v>3024844</v>
      </c>
    </row>
    <row r="11" spans="1:22" s="7" customFormat="1" x14ac:dyDescent="0.25">
      <c r="A11" s="90">
        <v>1032443</v>
      </c>
      <c r="B11" s="45" t="s">
        <v>327</v>
      </c>
      <c r="C11" s="45"/>
      <c r="D11" s="45" t="s">
        <v>324</v>
      </c>
      <c r="E11" s="107">
        <v>44498</v>
      </c>
      <c r="F11" s="107">
        <v>44502</v>
      </c>
      <c r="G11" s="107">
        <v>44565</v>
      </c>
      <c r="H11" s="93" t="s">
        <v>4</v>
      </c>
      <c r="I11" s="64">
        <v>1372200</v>
      </c>
      <c r="J11" s="64" t="s">
        <v>15</v>
      </c>
      <c r="K11" s="66">
        <v>1000000</v>
      </c>
      <c r="L11" s="55">
        <v>0.72875674099985421</v>
      </c>
      <c r="M11" s="46">
        <v>1372200</v>
      </c>
      <c r="N11" s="48">
        <v>22</v>
      </c>
      <c r="O11" s="58">
        <v>0.75673947397692642</v>
      </c>
      <c r="P11" s="62">
        <v>2.798620359695508E-2</v>
      </c>
      <c r="Q11" s="13">
        <v>1407314.5367442898</v>
      </c>
      <c r="R11" s="41">
        <v>50737.701725570267</v>
      </c>
      <c r="S11" s="38"/>
      <c r="U11" s="51">
        <v>1397622</v>
      </c>
    </row>
    <row r="12" spans="1:22" s="7" customFormat="1" x14ac:dyDescent="0.25">
      <c r="A12" s="90">
        <v>1036864</v>
      </c>
      <c r="B12" s="45" t="s">
        <v>327</v>
      </c>
      <c r="C12" s="45"/>
      <c r="D12" s="45" t="s">
        <v>455</v>
      </c>
      <c r="E12" s="107">
        <v>44504</v>
      </c>
      <c r="F12" s="107">
        <v>44508</v>
      </c>
      <c r="G12" s="107">
        <v>44600</v>
      </c>
      <c r="H12" s="93" t="s">
        <v>5</v>
      </c>
      <c r="I12" s="64">
        <v>50000000</v>
      </c>
      <c r="J12" s="64" t="s">
        <v>4</v>
      </c>
      <c r="K12" s="66">
        <v>57865000</v>
      </c>
      <c r="L12" s="55">
        <v>0.86408018664132036</v>
      </c>
      <c r="M12" s="46">
        <v>-57865000</v>
      </c>
      <c r="N12" s="48">
        <v>57</v>
      </c>
      <c r="O12" s="58">
        <v>0.88456776954790961</v>
      </c>
      <c r="P12" s="61">
        <v>2.0516903468987411E-2</v>
      </c>
      <c r="Q12" s="13">
        <v>-37166797.178489059</v>
      </c>
      <c r="R12" s="41">
        <v>-1339969.0119733256</v>
      </c>
      <c r="S12" s="38"/>
      <c r="U12" s="51">
        <v>-37101065</v>
      </c>
    </row>
    <row r="13" spans="1:22" s="7" customFormat="1" x14ac:dyDescent="0.25">
      <c r="A13" s="90">
        <v>1036946</v>
      </c>
      <c r="B13" s="45" t="s">
        <v>327</v>
      </c>
      <c r="C13" s="45"/>
      <c r="D13" s="45" t="s">
        <v>325</v>
      </c>
      <c r="E13" s="107">
        <v>44504</v>
      </c>
      <c r="F13" s="107">
        <v>44508</v>
      </c>
      <c r="G13" s="107">
        <v>44573</v>
      </c>
      <c r="H13" s="93" t="s">
        <v>4</v>
      </c>
      <c r="I13" s="64">
        <v>2701600</v>
      </c>
      <c r="J13" s="64" t="s">
        <v>15</v>
      </c>
      <c r="K13" s="66">
        <v>2000000</v>
      </c>
      <c r="L13" s="55">
        <v>0.74030204323363935</v>
      </c>
      <c r="M13" s="46">
        <v>2701600</v>
      </c>
      <c r="N13" s="48">
        <v>30</v>
      </c>
      <c r="O13" s="58">
        <v>0.75657937186425439</v>
      </c>
      <c r="P13" s="61">
        <v>1.6282129461144233E-2</v>
      </c>
      <c r="Q13" s="13">
        <v>1611988.8022205769</v>
      </c>
      <c r="R13" s="41">
        <v>58116.792583723567</v>
      </c>
      <c r="S13" s="38"/>
      <c r="U13" s="51">
        <v>1609032</v>
      </c>
    </row>
    <row r="14" spans="1:22" s="7" customFormat="1" x14ac:dyDescent="0.25">
      <c r="A14" s="90">
        <v>1037261</v>
      </c>
      <c r="B14" s="45" t="s">
        <v>327</v>
      </c>
      <c r="C14" s="45"/>
      <c r="D14" s="45" t="s">
        <v>326</v>
      </c>
      <c r="E14" s="107">
        <v>44505</v>
      </c>
      <c r="F14" s="107">
        <v>44509</v>
      </c>
      <c r="G14" s="107">
        <v>44575</v>
      </c>
      <c r="H14" s="93" t="s">
        <v>0</v>
      </c>
      <c r="I14" s="64">
        <v>30937920</v>
      </c>
      <c r="J14" s="64" t="s">
        <v>4</v>
      </c>
      <c r="K14" s="66">
        <v>1110000</v>
      </c>
      <c r="L14" s="55">
        <v>27.872</v>
      </c>
      <c r="M14" s="46">
        <v>-1110000</v>
      </c>
      <c r="N14" s="48">
        <v>32</v>
      </c>
      <c r="O14" s="58">
        <v>27.735330806789836</v>
      </c>
      <c r="P14" s="61">
        <v>-0.13666170990324186</v>
      </c>
      <c r="Q14" s="13">
        <v>151694.49799259848</v>
      </c>
      <c r="R14" s="41">
        <v>5469.0191791553016</v>
      </c>
      <c r="S14" s="38"/>
      <c r="U14" s="51">
        <v>152062</v>
      </c>
    </row>
    <row r="15" spans="1:22" s="7" customFormat="1" x14ac:dyDescent="0.25">
      <c r="A15" s="90">
        <v>1038291</v>
      </c>
      <c r="B15" s="45" t="s">
        <v>327</v>
      </c>
      <c r="C15" s="45"/>
      <c r="D15" s="45" t="s">
        <v>324</v>
      </c>
      <c r="E15" s="107">
        <v>44505</v>
      </c>
      <c r="F15" s="107">
        <v>44509</v>
      </c>
      <c r="G15" s="107">
        <v>44571</v>
      </c>
      <c r="H15" s="93" t="s">
        <v>4</v>
      </c>
      <c r="I15" s="64">
        <v>1351500</v>
      </c>
      <c r="J15" s="64" t="s">
        <v>15</v>
      </c>
      <c r="K15" s="66">
        <v>1000000</v>
      </c>
      <c r="L15" s="55">
        <v>0.7399186089530152</v>
      </c>
      <c r="M15" s="46">
        <v>1351500</v>
      </c>
      <c r="N15" s="48">
        <v>28</v>
      </c>
      <c r="O15" s="58">
        <v>0.7566247329608804</v>
      </c>
      <c r="P15" s="61">
        <v>1.6710232305779487E-2</v>
      </c>
      <c r="Q15" s="13">
        <v>827614.91159321647</v>
      </c>
      <c r="R15" s="41">
        <v>29837.877341332878</v>
      </c>
      <c r="S15" s="38"/>
      <c r="U15" s="51">
        <v>824270</v>
      </c>
    </row>
    <row r="16" spans="1:22" s="7" customFormat="1" x14ac:dyDescent="0.25">
      <c r="A16" s="90">
        <v>1038319</v>
      </c>
      <c r="B16" s="45" t="s">
        <v>327</v>
      </c>
      <c r="C16" s="45"/>
      <c r="D16" s="45" t="s">
        <v>323</v>
      </c>
      <c r="E16" s="107">
        <v>44508</v>
      </c>
      <c r="F16" s="107">
        <v>44510</v>
      </c>
      <c r="G16" s="107">
        <v>44601</v>
      </c>
      <c r="H16" s="93" t="s">
        <v>4</v>
      </c>
      <c r="I16" s="64">
        <v>500000</v>
      </c>
      <c r="J16" s="64" t="s">
        <v>3</v>
      </c>
      <c r="K16" s="66">
        <v>3219750</v>
      </c>
      <c r="L16" s="55">
        <v>6.4394999999999998</v>
      </c>
      <c r="M16" s="46">
        <v>500000</v>
      </c>
      <c r="N16" s="48">
        <v>58</v>
      </c>
      <c r="O16" s="58">
        <v>6.396198108462289</v>
      </c>
      <c r="P16" s="61">
        <v>-4.314043491631412E-2</v>
      </c>
      <c r="Q16" s="13">
        <v>-93871.44642401392</v>
      </c>
      <c r="R16" s="41">
        <v>-3384.3332992408905</v>
      </c>
      <c r="S16" s="38"/>
      <c r="U16" s="51">
        <v>-87267</v>
      </c>
    </row>
    <row r="17" spans="1:21" s="7" customFormat="1" x14ac:dyDescent="0.25">
      <c r="A17" s="90">
        <v>1039259</v>
      </c>
      <c r="B17" s="45" t="s">
        <v>327</v>
      </c>
      <c r="C17" s="45"/>
      <c r="D17" s="45" t="s">
        <v>323</v>
      </c>
      <c r="E17" s="107">
        <v>44509</v>
      </c>
      <c r="F17" s="107">
        <v>44512</v>
      </c>
      <c r="G17" s="107">
        <v>44546</v>
      </c>
      <c r="H17" s="93" t="s">
        <v>4</v>
      </c>
      <c r="I17" s="64">
        <v>250000</v>
      </c>
      <c r="J17" s="64" t="s">
        <v>3</v>
      </c>
      <c r="K17" s="66">
        <v>1600875</v>
      </c>
      <c r="L17" s="55">
        <v>6.4035000000000002</v>
      </c>
      <c r="M17" s="46">
        <v>250000</v>
      </c>
      <c r="N17" s="48">
        <v>3</v>
      </c>
      <c r="O17" s="58">
        <v>6.3739083336789131</v>
      </c>
      <c r="P17" s="61">
        <v>-2.9589828017843562E-2</v>
      </c>
      <c r="Q17" s="13">
        <v>-32192.998991097182</v>
      </c>
      <c r="R17" s="41">
        <v>-1160.6494055270766</v>
      </c>
      <c r="S17" s="38"/>
      <c r="U17" s="51">
        <v>-30973</v>
      </c>
    </row>
    <row r="18" spans="1:21" s="7" customFormat="1" x14ac:dyDescent="0.25">
      <c r="A18" s="90">
        <v>1039274</v>
      </c>
      <c r="B18" s="45" t="s">
        <v>327</v>
      </c>
      <c r="C18" s="45"/>
      <c r="D18" s="45" t="s">
        <v>323</v>
      </c>
      <c r="E18" s="107">
        <v>44509</v>
      </c>
      <c r="F18" s="107">
        <v>44512</v>
      </c>
      <c r="G18" s="107">
        <v>44601</v>
      </c>
      <c r="H18" s="93" t="s">
        <v>4</v>
      </c>
      <c r="I18" s="64">
        <v>750000</v>
      </c>
      <c r="J18" s="64" t="s">
        <v>3</v>
      </c>
      <c r="K18" s="66">
        <v>4824000</v>
      </c>
      <c r="L18" s="55">
        <v>6.4320000000000004</v>
      </c>
      <c r="M18" s="46">
        <v>750000</v>
      </c>
      <c r="N18" s="48">
        <v>58</v>
      </c>
      <c r="O18" s="58">
        <v>6.396198108462289</v>
      </c>
      <c r="P18" s="61">
        <v>-3.5668399622184911E-2</v>
      </c>
      <c r="Q18" s="13">
        <v>-116419.00240433366</v>
      </c>
      <c r="R18" s="41">
        <v>-4197.2369821777838</v>
      </c>
      <c r="S18" s="38"/>
      <c r="U18" s="51">
        <v>-106524</v>
      </c>
    </row>
    <row r="19" spans="1:21" s="7" customFormat="1" x14ac:dyDescent="0.25">
      <c r="A19" s="90">
        <v>1039280</v>
      </c>
      <c r="B19" s="45" t="s">
        <v>327</v>
      </c>
      <c r="C19" s="45"/>
      <c r="D19" s="45" t="s">
        <v>325</v>
      </c>
      <c r="E19" s="107">
        <v>44508</v>
      </c>
      <c r="F19" s="107">
        <v>44510</v>
      </c>
      <c r="G19" s="107">
        <v>44573</v>
      </c>
      <c r="H19" s="93" t="s">
        <v>15</v>
      </c>
      <c r="I19" s="64">
        <v>2000000</v>
      </c>
      <c r="J19" s="64" t="s">
        <v>4</v>
      </c>
      <c r="K19" s="66">
        <v>2708600</v>
      </c>
      <c r="L19" s="55">
        <v>0.73838883556080637</v>
      </c>
      <c r="M19" s="46">
        <v>-2708600</v>
      </c>
      <c r="N19" s="48">
        <v>30</v>
      </c>
      <c r="O19" s="58">
        <v>0.75657937186425439</v>
      </c>
      <c r="P19" s="61">
        <v>1.8195901414886747E-2</v>
      </c>
      <c r="Q19" s="13">
        <v>-1806126.7244908563</v>
      </c>
      <c r="R19" s="41">
        <v>-65116.018227024906</v>
      </c>
      <c r="S19" s="38"/>
      <c r="U19" s="51">
        <v>-1803155</v>
      </c>
    </row>
    <row r="20" spans="1:21" s="7" customFormat="1" x14ac:dyDescent="0.25">
      <c r="A20" s="90">
        <v>1039295</v>
      </c>
      <c r="B20" s="45" t="s">
        <v>327</v>
      </c>
      <c r="C20" s="45"/>
      <c r="D20" s="45" t="s">
        <v>323</v>
      </c>
      <c r="E20" s="107">
        <v>44509</v>
      </c>
      <c r="F20" s="107">
        <v>44512</v>
      </c>
      <c r="G20" s="107">
        <v>44616</v>
      </c>
      <c r="H20" s="93" t="s">
        <v>4</v>
      </c>
      <c r="I20" s="64">
        <v>1000000</v>
      </c>
      <c r="J20" s="64" t="s">
        <v>3</v>
      </c>
      <c r="K20" s="66">
        <v>6443000</v>
      </c>
      <c r="L20" s="55">
        <v>6.4429999999999996</v>
      </c>
      <c r="M20" s="46">
        <v>1000000</v>
      </c>
      <c r="N20" s="48">
        <v>73</v>
      </c>
      <c r="O20" s="58">
        <v>6.402405182507418</v>
      </c>
      <c r="P20" s="61">
        <v>-4.0394852339588103E-2</v>
      </c>
      <c r="Q20" s="13">
        <v>-175794.3898598775</v>
      </c>
      <c r="R20" s="41">
        <v>-6337.8889969923912</v>
      </c>
      <c r="S20" s="38"/>
      <c r="U20" s="51">
        <v>-161171</v>
      </c>
    </row>
    <row r="21" spans="1:21" s="7" customFormat="1" x14ac:dyDescent="0.25">
      <c r="A21" s="90">
        <v>1041264</v>
      </c>
      <c r="B21" s="45" t="s">
        <v>327</v>
      </c>
      <c r="C21" s="45"/>
      <c r="D21" s="45" t="s">
        <v>323</v>
      </c>
      <c r="E21" s="107">
        <v>44510</v>
      </c>
      <c r="F21" s="107">
        <v>44512</v>
      </c>
      <c r="G21" s="107">
        <v>44616</v>
      </c>
      <c r="H21" s="93" t="s">
        <v>4</v>
      </c>
      <c r="I21" s="64">
        <v>1000000</v>
      </c>
      <c r="J21" s="64" t="s">
        <v>3</v>
      </c>
      <c r="K21" s="66">
        <v>6447000</v>
      </c>
      <c r="L21" s="55">
        <v>6.4470000000000001</v>
      </c>
      <c r="M21" s="46">
        <v>1000000</v>
      </c>
      <c r="N21" s="48">
        <v>73</v>
      </c>
      <c r="O21" s="58">
        <v>6.402405182507418</v>
      </c>
      <c r="P21" s="61">
        <v>-4.4375148824179957E-2</v>
      </c>
      <c r="Q21" s="13">
        <v>-193116.24528066092</v>
      </c>
      <c r="R21" s="41">
        <v>-6962.3912747179947</v>
      </c>
      <c r="S21" s="38"/>
      <c r="U21" s="51">
        <v>-178483</v>
      </c>
    </row>
    <row r="22" spans="1:21" s="7" customFormat="1" x14ac:dyDescent="0.25">
      <c r="A22" s="90">
        <v>1041276</v>
      </c>
      <c r="B22" s="45" t="s">
        <v>327</v>
      </c>
      <c r="C22" s="45"/>
      <c r="D22" s="45" t="s">
        <v>325</v>
      </c>
      <c r="E22" s="107">
        <v>44510</v>
      </c>
      <c r="F22" s="107">
        <v>44512</v>
      </c>
      <c r="G22" s="107">
        <v>44573</v>
      </c>
      <c r="H22" s="93" t="s">
        <v>4</v>
      </c>
      <c r="I22" s="64">
        <v>2304500</v>
      </c>
      <c r="J22" s="64" t="s">
        <v>5</v>
      </c>
      <c r="K22" s="66">
        <v>2000000</v>
      </c>
      <c r="L22" s="55">
        <v>0.86786721631590369</v>
      </c>
      <c r="M22" s="46">
        <v>2304500</v>
      </c>
      <c r="N22" s="48">
        <v>30</v>
      </c>
      <c r="O22" s="58">
        <v>0.88515941563169187</v>
      </c>
      <c r="P22" s="61">
        <v>1.7306677922743364E-2</v>
      </c>
      <c r="Q22" s="13">
        <v>1248584.0682903002</v>
      </c>
      <c r="R22" s="41">
        <v>45015.015749619233</v>
      </c>
      <c r="S22" s="38"/>
      <c r="U22" s="51">
        <v>1238485</v>
      </c>
    </row>
    <row r="23" spans="1:21" s="7" customFormat="1" x14ac:dyDescent="0.25">
      <c r="A23" s="90">
        <v>1043265</v>
      </c>
      <c r="B23" s="45" t="s">
        <v>327</v>
      </c>
      <c r="C23" s="45"/>
      <c r="D23" s="45" t="s">
        <v>325</v>
      </c>
      <c r="E23" s="107">
        <v>44515</v>
      </c>
      <c r="F23" s="107">
        <v>44456</v>
      </c>
      <c r="G23" s="107">
        <v>44580</v>
      </c>
      <c r="H23" s="93" t="s">
        <v>4</v>
      </c>
      <c r="I23" s="64">
        <v>2689500</v>
      </c>
      <c r="J23" s="64" t="s">
        <v>15</v>
      </c>
      <c r="K23" s="66">
        <v>2000000</v>
      </c>
      <c r="L23" s="55">
        <v>0.74363264547313623</v>
      </c>
      <c r="M23" s="46">
        <v>2689500</v>
      </c>
      <c r="N23" s="48">
        <v>37</v>
      </c>
      <c r="O23" s="58">
        <v>0.75654214071553272</v>
      </c>
      <c r="P23" s="61">
        <v>1.2913657311311992E-2</v>
      </c>
      <c r="Q23" s="13">
        <v>1272771.8911358931</v>
      </c>
      <c r="R23" s="41">
        <v>45887.055729942142</v>
      </c>
      <c r="S23" s="38"/>
      <c r="U23" s="51">
        <v>1270588</v>
      </c>
    </row>
    <row r="24" spans="1:21" s="7" customFormat="1" x14ac:dyDescent="0.25">
      <c r="A24" s="90">
        <v>1043357</v>
      </c>
      <c r="B24" s="45" t="s">
        <v>327</v>
      </c>
      <c r="C24" s="45"/>
      <c r="D24" s="45" t="s">
        <v>325</v>
      </c>
      <c r="E24" s="107">
        <v>44515</v>
      </c>
      <c r="F24" s="107">
        <v>44460</v>
      </c>
      <c r="G24" s="107">
        <v>44580</v>
      </c>
      <c r="H24" s="93" t="s">
        <v>4</v>
      </c>
      <c r="I24" s="64">
        <v>2689500</v>
      </c>
      <c r="J24" s="64" t="s">
        <v>15</v>
      </c>
      <c r="K24" s="66">
        <v>2000000</v>
      </c>
      <c r="L24" s="55">
        <v>0.74363264547313623</v>
      </c>
      <c r="M24" s="46">
        <v>2689500</v>
      </c>
      <c r="N24" s="48">
        <v>37</v>
      </c>
      <c r="O24" s="58">
        <v>0.75654214071553272</v>
      </c>
      <c r="P24" s="61">
        <v>1.2913657311311992E-2</v>
      </c>
      <c r="Q24" s="13">
        <v>1272771.8911358931</v>
      </c>
      <c r="R24" s="41">
        <v>45887.055729942142</v>
      </c>
      <c r="S24" s="38"/>
      <c r="U24" s="51">
        <v>1270588</v>
      </c>
    </row>
    <row r="25" spans="1:21" s="7" customFormat="1" x14ac:dyDescent="0.25">
      <c r="A25" s="90">
        <v>1043360</v>
      </c>
      <c r="B25" s="45" t="s">
        <v>327</v>
      </c>
      <c r="C25" s="45"/>
      <c r="D25" s="45" t="s">
        <v>325</v>
      </c>
      <c r="E25" s="107">
        <v>44515</v>
      </c>
      <c r="F25" s="107">
        <v>44461</v>
      </c>
      <c r="G25" s="107">
        <v>44580</v>
      </c>
      <c r="H25" s="93" t="s">
        <v>4</v>
      </c>
      <c r="I25" s="64">
        <v>2689500</v>
      </c>
      <c r="J25" s="64" t="s">
        <v>15</v>
      </c>
      <c r="K25" s="66">
        <v>2000000</v>
      </c>
      <c r="L25" s="55">
        <v>0.74363264547313623</v>
      </c>
      <c r="M25" s="46">
        <v>2689500</v>
      </c>
      <c r="N25" s="48">
        <v>37</v>
      </c>
      <c r="O25" s="58">
        <v>0.75654214071553272</v>
      </c>
      <c r="P25" s="61">
        <v>1.2913657311311992E-2</v>
      </c>
      <c r="Q25" s="13">
        <v>1272771.8911358931</v>
      </c>
      <c r="R25" s="41">
        <v>45887.055729942142</v>
      </c>
      <c r="S25" s="38"/>
      <c r="U25" s="51">
        <v>1270588</v>
      </c>
    </row>
    <row r="26" spans="1:21" s="7" customFormat="1" x14ac:dyDescent="0.25">
      <c r="A26" s="90">
        <v>1044381</v>
      </c>
      <c r="B26" s="45" t="s">
        <v>327</v>
      </c>
      <c r="C26" s="45"/>
      <c r="D26" s="45" t="s">
        <v>325</v>
      </c>
      <c r="E26" s="107">
        <v>44516</v>
      </c>
      <c r="F26" s="107">
        <v>44518</v>
      </c>
      <c r="G26" s="107">
        <v>44580</v>
      </c>
      <c r="H26" s="93" t="s">
        <v>3</v>
      </c>
      <c r="I26" s="64">
        <v>20000000</v>
      </c>
      <c r="J26" s="64" t="s">
        <v>4</v>
      </c>
      <c r="K26" s="66">
        <v>3124853.52</v>
      </c>
      <c r="L26" s="55">
        <v>6.4003000051023191</v>
      </c>
      <c r="M26" s="46">
        <v>-3124853.52</v>
      </c>
      <c r="N26" s="48">
        <v>37</v>
      </c>
      <c r="O26" s="58">
        <v>6.3867719965449492</v>
      </c>
      <c r="P26" s="61">
        <v>-1.3498215567769862E-2</v>
      </c>
      <c r="Q26" s="13">
        <v>183562.94224732358</v>
      </c>
      <c r="R26" s="41">
        <v>6617.967461033244</v>
      </c>
      <c r="S26" s="38"/>
      <c r="U26" s="51">
        <v>146868</v>
      </c>
    </row>
    <row r="27" spans="1:21" s="7" customFormat="1" x14ac:dyDescent="0.25">
      <c r="A27" s="90">
        <v>1045255</v>
      </c>
      <c r="B27" s="45" t="s">
        <v>327</v>
      </c>
      <c r="C27" s="45"/>
      <c r="D27" s="45" t="s">
        <v>325</v>
      </c>
      <c r="E27" s="107">
        <v>44516</v>
      </c>
      <c r="F27" s="107">
        <v>44518</v>
      </c>
      <c r="G27" s="107">
        <v>44580</v>
      </c>
      <c r="H27" s="93" t="s">
        <v>4</v>
      </c>
      <c r="I27" s="64">
        <v>3115992.83</v>
      </c>
      <c r="J27" s="64" t="s">
        <v>3</v>
      </c>
      <c r="K27" s="66">
        <v>20000000</v>
      </c>
      <c r="L27" s="55">
        <v>6.4185000066254965</v>
      </c>
      <c r="M27" s="46">
        <v>3115992.83</v>
      </c>
      <c r="N27" s="48">
        <v>37</v>
      </c>
      <c r="O27" s="58">
        <v>6.3867719965449492</v>
      </c>
      <c r="P27" s="61">
        <v>-3.1658134882704865E-2</v>
      </c>
      <c r="Q27" s="13">
        <v>-429299.8741262008</v>
      </c>
      <c r="R27" s="41">
        <v>-15477.484524980635</v>
      </c>
      <c r="S27" s="38"/>
      <c r="U27" s="51">
        <v>-392603</v>
      </c>
    </row>
    <row r="28" spans="1:21" s="7" customFormat="1" x14ac:dyDescent="0.25">
      <c r="A28" s="90">
        <v>1049748</v>
      </c>
      <c r="B28" s="45" t="s">
        <v>327</v>
      </c>
      <c r="C28" s="45"/>
      <c r="D28" s="45" t="s">
        <v>455</v>
      </c>
      <c r="E28" s="107">
        <v>44523</v>
      </c>
      <c r="F28" s="107">
        <v>44524</v>
      </c>
      <c r="G28" s="107">
        <v>44585</v>
      </c>
      <c r="H28" s="93" t="s">
        <v>7</v>
      </c>
      <c r="I28" s="64">
        <v>127078000</v>
      </c>
      <c r="J28" s="64" t="s">
        <v>4</v>
      </c>
      <c r="K28" s="66">
        <v>100000000</v>
      </c>
      <c r="L28" s="55">
        <v>1.27078</v>
      </c>
      <c r="M28" s="46">
        <v>-100000000</v>
      </c>
      <c r="N28" s="48">
        <v>42</v>
      </c>
      <c r="O28" s="58">
        <v>1.2708976671876886</v>
      </c>
      <c r="P28" s="61">
        <v>1.1769005469071458E-4</v>
      </c>
      <c r="Q28" s="13">
        <v>-256768.26089387876</v>
      </c>
      <c r="R28" s="41">
        <v>-9257.2279285666154</v>
      </c>
      <c r="S28" s="38"/>
      <c r="U28" s="51">
        <v>-368874</v>
      </c>
    </row>
    <row r="29" spans="1:21" s="7" customFormat="1" x14ac:dyDescent="0.25">
      <c r="A29" s="90">
        <v>1053467</v>
      </c>
      <c r="B29" s="45" t="s">
        <v>327</v>
      </c>
      <c r="C29" s="45"/>
      <c r="D29" s="45" t="s">
        <v>456</v>
      </c>
      <c r="E29" s="107">
        <v>44526</v>
      </c>
      <c r="F29" s="107">
        <v>44530</v>
      </c>
      <c r="G29" s="107">
        <v>44543</v>
      </c>
      <c r="H29" s="93" t="s">
        <v>2</v>
      </c>
      <c r="I29" s="64">
        <v>50000000</v>
      </c>
      <c r="J29" s="64" t="s">
        <v>4</v>
      </c>
      <c r="K29" s="66">
        <v>440528.63</v>
      </c>
      <c r="L29" s="55">
        <v>113.50000112365001</v>
      </c>
      <c r="M29" s="46">
        <v>-440528.63</v>
      </c>
      <c r="N29" s="48">
        <v>0</v>
      </c>
      <c r="O29" s="58">
        <v>113.60795002986129</v>
      </c>
      <c r="P29" s="61">
        <v>0.10794890621127706</v>
      </c>
      <c r="Q29" s="13">
        <v>-11610.31610279394</v>
      </c>
      <c r="R29" s="41">
        <v>-418.58500000002545</v>
      </c>
      <c r="S29" s="38"/>
      <c r="U29" s="51">
        <v>-11363</v>
      </c>
    </row>
    <row r="30" spans="1:21" s="7" customFormat="1" x14ac:dyDescent="0.25">
      <c r="A30" s="90">
        <v>1053668</v>
      </c>
      <c r="B30" s="45" t="s">
        <v>327</v>
      </c>
      <c r="C30" s="45"/>
      <c r="D30" s="45" t="s">
        <v>456</v>
      </c>
      <c r="E30" s="107">
        <v>44529</v>
      </c>
      <c r="F30" s="107">
        <v>44531</v>
      </c>
      <c r="G30" s="107">
        <v>44550</v>
      </c>
      <c r="H30" s="93" t="s">
        <v>2</v>
      </c>
      <c r="I30" s="64">
        <v>20000000</v>
      </c>
      <c r="J30" s="64" t="s">
        <v>4</v>
      </c>
      <c r="K30" s="66">
        <v>176678.45</v>
      </c>
      <c r="L30" s="55">
        <v>113.19999694360007</v>
      </c>
      <c r="M30" s="46">
        <v>-176678.45</v>
      </c>
      <c r="N30" s="48">
        <v>7</v>
      </c>
      <c r="O30" s="58">
        <v>113.60509288699826</v>
      </c>
      <c r="P30" s="61">
        <v>0.40509982996132948</v>
      </c>
      <c r="Q30" s="13">
        <v>-17474.199944407734</v>
      </c>
      <c r="R30" s="41">
        <v>-629.99473218220032</v>
      </c>
      <c r="S30" s="38"/>
      <c r="U30" s="51">
        <v>-17312</v>
      </c>
    </row>
    <row r="31" spans="1:21" s="7" customFormat="1" x14ac:dyDescent="0.25">
      <c r="A31" s="90">
        <v>1055703</v>
      </c>
      <c r="B31" s="45" t="s">
        <v>327</v>
      </c>
      <c r="C31" s="45"/>
      <c r="D31" s="45" t="s">
        <v>324</v>
      </c>
      <c r="E31" s="107">
        <v>44531</v>
      </c>
      <c r="F31" s="107">
        <v>44533</v>
      </c>
      <c r="G31" s="107">
        <v>44565</v>
      </c>
      <c r="H31" s="93" t="s">
        <v>4</v>
      </c>
      <c r="I31" s="64">
        <v>1331100</v>
      </c>
      <c r="J31" s="64" t="s">
        <v>15</v>
      </c>
      <c r="K31" s="66">
        <v>1000000</v>
      </c>
      <c r="L31" s="55">
        <v>0.75125835774923</v>
      </c>
      <c r="M31" s="46">
        <v>1331100</v>
      </c>
      <c r="N31" s="48">
        <v>22</v>
      </c>
      <c r="O31" s="58">
        <v>0.75673947397692642</v>
      </c>
      <c r="P31" s="61">
        <v>5.4817960351682595E-3</v>
      </c>
      <c r="Q31" s="13">
        <v>267401.18363491434</v>
      </c>
      <c r="R31" s="41">
        <v>9640.5751110335605</v>
      </c>
      <c r="S31" s="38"/>
      <c r="U31" s="51">
        <v>258120</v>
      </c>
    </row>
    <row r="32" spans="1:21" s="7" customFormat="1" x14ac:dyDescent="0.25">
      <c r="A32" s="90">
        <v>1058870</v>
      </c>
      <c r="B32" s="45" t="s">
        <v>327</v>
      </c>
      <c r="C32" s="45"/>
      <c r="D32" s="45" t="s">
        <v>324</v>
      </c>
      <c r="E32" s="107">
        <v>44533</v>
      </c>
      <c r="F32" s="107">
        <v>44537</v>
      </c>
      <c r="G32" s="107">
        <v>44568</v>
      </c>
      <c r="H32" s="93" t="s">
        <v>4</v>
      </c>
      <c r="I32" s="64">
        <v>1328700</v>
      </c>
      <c r="J32" s="64" t="s">
        <v>15</v>
      </c>
      <c r="K32" s="66">
        <v>1000000</v>
      </c>
      <c r="L32" s="55">
        <v>0.75261533830059457</v>
      </c>
      <c r="M32" s="46">
        <v>1328700</v>
      </c>
      <c r="N32" s="48">
        <v>25</v>
      </c>
      <c r="O32" s="58">
        <v>0.75668610530573177</v>
      </c>
      <c r="P32" s="61">
        <v>4.0715007630846229E-3</v>
      </c>
      <c r="Q32" s="13">
        <v>198249.10026107598</v>
      </c>
      <c r="R32" s="41">
        <v>7147.4453320713628</v>
      </c>
      <c r="S32" s="38"/>
      <c r="U32" s="51">
        <v>192098</v>
      </c>
    </row>
    <row r="33" spans="1:21" s="7" customFormat="1" x14ac:dyDescent="0.25">
      <c r="A33" s="90">
        <v>1058972</v>
      </c>
      <c r="B33" s="45" t="s">
        <v>327</v>
      </c>
      <c r="C33" s="45"/>
      <c r="D33" s="45" t="s">
        <v>325</v>
      </c>
      <c r="E33" s="107">
        <v>44536</v>
      </c>
      <c r="F33" s="107">
        <v>44130</v>
      </c>
      <c r="G33" s="107">
        <v>44608</v>
      </c>
      <c r="H33" s="93" t="s">
        <v>2</v>
      </c>
      <c r="I33" s="64">
        <v>300000000</v>
      </c>
      <c r="J33" s="64" t="s">
        <v>4</v>
      </c>
      <c r="K33" s="66">
        <v>2654867.2599999998</v>
      </c>
      <c r="L33" s="55">
        <v>112.99999985686668</v>
      </c>
      <c r="M33" s="46">
        <v>-2654867.2599999998</v>
      </c>
      <c r="N33" s="48">
        <v>65</v>
      </c>
      <c r="O33" s="58">
        <v>113.50891969354565</v>
      </c>
      <c r="P33" s="61">
        <v>0.50922487211874612</v>
      </c>
      <c r="Q33" s="13">
        <v>-330068.49949204113</v>
      </c>
      <c r="R33" s="41">
        <v>-11899.910531000683</v>
      </c>
      <c r="S33" s="38"/>
      <c r="U33" s="51">
        <v>-331510</v>
      </c>
    </row>
    <row r="34" spans="1:21" s="7" customFormat="1" x14ac:dyDescent="0.25">
      <c r="A34" s="90">
        <v>1061772</v>
      </c>
      <c r="B34" s="45" t="s">
        <v>327</v>
      </c>
      <c r="C34" s="45"/>
      <c r="D34" s="45" t="s">
        <v>324</v>
      </c>
      <c r="E34" s="107">
        <v>44539</v>
      </c>
      <c r="F34" s="107">
        <v>44509</v>
      </c>
      <c r="G34" s="107">
        <v>44629</v>
      </c>
      <c r="H34" s="93" t="s">
        <v>4</v>
      </c>
      <c r="I34" s="64">
        <v>1321600</v>
      </c>
      <c r="J34" s="64" t="s">
        <v>15</v>
      </c>
      <c r="K34" s="66">
        <v>1000000</v>
      </c>
      <c r="L34" s="55">
        <v>0.7566585956416465</v>
      </c>
      <c r="M34" s="46">
        <v>1321600</v>
      </c>
      <c r="N34" s="48">
        <v>86</v>
      </c>
      <c r="O34" s="58">
        <v>0.75657684668078629</v>
      </c>
      <c r="P34" s="61">
        <v>-8.1723938369590205E-5</v>
      </c>
      <c r="Q34" s="13">
        <v>-3958.0300492838051</v>
      </c>
      <c r="R34" s="41">
        <v>-142.69826880776068</v>
      </c>
      <c r="S34" s="38"/>
      <c r="U34" s="51">
        <v>-3664</v>
      </c>
    </row>
    <row r="35" spans="1:21" s="7" customFormat="1" x14ac:dyDescent="0.25">
      <c r="A35" s="90">
        <v>1049691</v>
      </c>
      <c r="B35" s="45" t="s">
        <v>457</v>
      </c>
      <c r="C35" s="45"/>
      <c r="D35" s="45" t="s">
        <v>458</v>
      </c>
      <c r="E35" s="107">
        <v>44523</v>
      </c>
      <c r="F35" s="107">
        <v>44523</v>
      </c>
      <c r="G35" s="107">
        <v>44557</v>
      </c>
      <c r="H35" s="93" t="s">
        <v>4</v>
      </c>
      <c r="I35" s="64">
        <v>1400000</v>
      </c>
      <c r="J35" s="64" t="s">
        <v>494</v>
      </c>
      <c r="K35" s="66">
        <v>104675200</v>
      </c>
      <c r="L35" s="55">
        <v>74.768000000000001</v>
      </c>
      <c r="M35" s="46">
        <v>1400000</v>
      </c>
      <c r="N35" s="48">
        <v>14</v>
      </c>
      <c r="O35" s="58">
        <v>75.866521818732409</v>
      </c>
      <c r="P35" s="61">
        <v>1.0973519747584741</v>
      </c>
      <c r="Q35" s="13">
        <v>562251.61131715612</v>
      </c>
      <c r="R35" s="41">
        <v>20270.773736002826</v>
      </c>
      <c r="S35" s="38"/>
      <c r="U35" s="51">
        <v>601292</v>
      </c>
    </row>
    <row r="36" spans="1:21" s="7" customFormat="1" x14ac:dyDescent="0.25">
      <c r="A36" s="90">
        <v>1051481</v>
      </c>
      <c r="B36" s="45" t="s">
        <v>457</v>
      </c>
      <c r="C36" s="45"/>
      <c r="D36" s="45" t="s">
        <v>458</v>
      </c>
      <c r="E36" s="107">
        <v>44525</v>
      </c>
      <c r="F36" s="107">
        <v>44525</v>
      </c>
      <c r="G36" s="107">
        <v>44557</v>
      </c>
      <c r="H36" s="93" t="s">
        <v>494</v>
      </c>
      <c r="I36" s="64">
        <v>104633200</v>
      </c>
      <c r="J36" s="64" t="s">
        <v>4</v>
      </c>
      <c r="K36" s="66">
        <v>1400000</v>
      </c>
      <c r="L36" s="55">
        <v>74.738</v>
      </c>
      <c r="M36" s="46">
        <v>-1400000</v>
      </c>
      <c r="N36" s="48">
        <v>14</v>
      </c>
      <c r="O36" s="58">
        <v>75.866521818732409</v>
      </c>
      <c r="P36" s="61">
        <v>1.1273200269913761</v>
      </c>
      <c r="Q36" s="13">
        <v>-577606.37992701307</v>
      </c>
      <c r="R36" s="41">
        <v>-20824.356925439904</v>
      </c>
      <c r="S36" s="38"/>
      <c r="U36" s="51">
        <v>-616631</v>
      </c>
    </row>
    <row r="37" spans="1:21" s="7" customFormat="1" x14ac:dyDescent="0.25">
      <c r="A37" s="90">
        <v>1052385</v>
      </c>
      <c r="B37" s="45" t="s">
        <v>457</v>
      </c>
      <c r="C37" s="45"/>
      <c r="D37" s="45" t="s">
        <v>458</v>
      </c>
      <c r="E37" s="107">
        <v>44526</v>
      </c>
      <c r="F37" s="107">
        <v>44526</v>
      </c>
      <c r="G37" s="107">
        <v>44561</v>
      </c>
      <c r="H37" s="93" t="s">
        <v>4</v>
      </c>
      <c r="I37" s="64">
        <v>1550000</v>
      </c>
      <c r="J37" s="64" t="s">
        <v>494</v>
      </c>
      <c r="K37" s="66">
        <v>116046950</v>
      </c>
      <c r="L37" s="55">
        <v>74.869</v>
      </c>
      <c r="M37" s="46">
        <v>1550000</v>
      </c>
      <c r="N37" s="48">
        <v>18</v>
      </c>
      <c r="O37" s="58">
        <v>75.894959822064521</v>
      </c>
      <c r="P37" s="61">
        <v>1.0244675973964621</v>
      </c>
      <c r="Q37" s="13">
        <v>581147.8674333212</v>
      </c>
      <c r="R37" s="41">
        <v>20952.037647885641</v>
      </c>
      <c r="S37" s="38"/>
      <c r="U37" s="51">
        <v>620895</v>
      </c>
    </row>
    <row r="38" spans="1:21" s="7" customFormat="1" x14ac:dyDescent="0.25">
      <c r="A38" s="90">
        <v>1053471</v>
      </c>
      <c r="B38" s="45" t="s">
        <v>457</v>
      </c>
      <c r="C38" s="45"/>
      <c r="D38" s="45" t="s">
        <v>458</v>
      </c>
      <c r="E38" s="107">
        <v>44529</v>
      </c>
      <c r="F38" s="107">
        <v>44529</v>
      </c>
      <c r="G38" s="107">
        <v>44561</v>
      </c>
      <c r="H38" s="93" t="s">
        <v>494</v>
      </c>
      <c r="I38" s="64">
        <v>11253000</v>
      </c>
      <c r="J38" s="64" t="s">
        <v>4</v>
      </c>
      <c r="K38" s="66">
        <v>150000</v>
      </c>
      <c r="L38" s="55">
        <v>75.02</v>
      </c>
      <c r="M38" s="46">
        <v>-150000</v>
      </c>
      <c r="N38" s="48">
        <v>18</v>
      </c>
      <c r="O38" s="58">
        <v>75.894959822064521</v>
      </c>
      <c r="P38" s="61">
        <v>0.87368722190809978</v>
      </c>
      <c r="Q38" s="13">
        <v>-47962.737923831701</v>
      </c>
      <c r="R38" s="41">
        <v>-1729.193458308775</v>
      </c>
      <c r="S38" s="38"/>
      <c r="U38" s="51">
        <v>-51818</v>
      </c>
    </row>
    <row r="39" spans="1:21" s="7" customFormat="1" x14ac:dyDescent="0.25">
      <c r="A39" s="90">
        <v>1054548</v>
      </c>
      <c r="B39" s="168" t="s">
        <v>457</v>
      </c>
      <c r="C39" s="168"/>
      <c r="D39" s="168" t="s">
        <v>459</v>
      </c>
      <c r="E39" s="169">
        <v>44530</v>
      </c>
      <c r="F39" s="169">
        <v>44530</v>
      </c>
      <c r="G39" s="169">
        <v>44564</v>
      </c>
      <c r="H39" s="170" t="s">
        <v>4</v>
      </c>
      <c r="I39" s="171">
        <v>4000000</v>
      </c>
      <c r="J39" s="171" t="s">
        <v>495</v>
      </c>
      <c r="K39" s="172">
        <v>110900000</v>
      </c>
      <c r="L39" s="173">
        <v>27.725000000000001</v>
      </c>
      <c r="M39" s="174">
        <v>4000000</v>
      </c>
      <c r="N39" s="175">
        <v>21</v>
      </c>
      <c r="O39" s="176">
        <v>27.689621977382078</v>
      </c>
      <c r="P39" s="177">
        <v>-3.5436311361449889E-2</v>
      </c>
      <c r="Q39" s="166">
        <v>-141745.24544579955</v>
      </c>
      <c r="R39" s="178">
        <v>-5110.3202565394131</v>
      </c>
      <c r="S39" s="179"/>
      <c r="T39" s="180"/>
      <c r="U39" s="167">
        <v>-94134</v>
      </c>
    </row>
    <row r="40" spans="1:21" s="7" customFormat="1" x14ac:dyDescent="0.25">
      <c r="A40" s="90">
        <v>1054633</v>
      </c>
      <c r="B40" s="45" t="s">
        <v>457</v>
      </c>
      <c r="C40" s="45"/>
      <c r="D40" s="45" t="s">
        <v>458</v>
      </c>
      <c r="E40" s="107">
        <v>44530</v>
      </c>
      <c r="F40" s="107">
        <v>44530</v>
      </c>
      <c r="G40" s="107">
        <v>44561</v>
      </c>
      <c r="H40" s="93" t="s">
        <v>4</v>
      </c>
      <c r="I40" s="64">
        <v>300000</v>
      </c>
      <c r="J40" s="64" t="s">
        <v>494</v>
      </c>
      <c r="K40" s="66">
        <v>22605900</v>
      </c>
      <c r="L40" s="55">
        <v>75.352999999999994</v>
      </c>
      <c r="M40" s="46">
        <v>300000</v>
      </c>
      <c r="N40" s="48">
        <v>18</v>
      </c>
      <c r="O40" s="58">
        <v>75.894959822064521</v>
      </c>
      <c r="P40" s="61">
        <v>0.54117155940726769</v>
      </c>
      <c r="Q40" s="13">
        <v>59417.304098817025</v>
      </c>
      <c r="R40" s="41">
        <v>2142.1632293215307</v>
      </c>
      <c r="S40" s="38"/>
      <c r="U40" s="51">
        <v>67169</v>
      </c>
    </row>
    <row r="41" spans="1:21" s="7" customFormat="1" x14ac:dyDescent="0.25">
      <c r="A41" s="90">
        <v>1056633</v>
      </c>
      <c r="B41" s="45" t="s">
        <v>457</v>
      </c>
      <c r="C41" s="45"/>
      <c r="D41" s="45" t="s">
        <v>328</v>
      </c>
      <c r="E41" s="107">
        <v>44532</v>
      </c>
      <c r="F41" s="107">
        <v>44532</v>
      </c>
      <c r="G41" s="107">
        <v>44561</v>
      </c>
      <c r="H41" s="93" t="s">
        <v>4</v>
      </c>
      <c r="I41" s="64">
        <v>1700000</v>
      </c>
      <c r="J41" s="64" t="s">
        <v>494</v>
      </c>
      <c r="K41" s="66">
        <v>127862440</v>
      </c>
      <c r="L41" s="55">
        <v>75.213200000000001</v>
      </c>
      <c r="M41" s="46">
        <v>1700000</v>
      </c>
      <c r="N41" s="48">
        <v>18</v>
      </c>
      <c r="O41" s="58">
        <v>75.894959822064521</v>
      </c>
      <c r="P41" s="61">
        <v>0.68076822492562961</v>
      </c>
      <c r="Q41" s="13">
        <v>423550.22971141955</v>
      </c>
      <c r="R41" s="41">
        <v>15270.193449866651</v>
      </c>
      <c r="S41" s="38"/>
      <c r="U41" s="51">
        <v>467379</v>
      </c>
    </row>
    <row r="42" spans="1:21" s="7" customFormat="1" x14ac:dyDescent="0.25">
      <c r="A42" s="90">
        <v>1056635</v>
      </c>
      <c r="B42" s="45" t="s">
        <v>457</v>
      </c>
      <c r="C42" s="45"/>
      <c r="D42" s="45" t="s">
        <v>458</v>
      </c>
      <c r="E42" s="107">
        <v>44532</v>
      </c>
      <c r="F42" s="107">
        <v>44532</v>
      </c>
      <c r="G42" s="107">
        <v>44561</v>
      </c>
      <c r="H42" s="93" t="s">
        <v>4</v>
      </c>
      <c r="I42" s="64">
        <v>100000</v>
      </c>
      <c r="J42" s="64" t="s">
        <v>494</v>
      </c>
      <c r="K42" s="66">
        <v>7516800</v>
      </c>
      <c r="L42" s="55">
        <v>75.168000000000006</v>
      </c>
      <c r="M42" s="46">
        <v>100000</v>
      </c>
      <c r="N42" s="48">
        <v>18</v>
      </c>
      <c r="O42" s="58">
        <v>75.894959822064521</v>
      </c>
      <c r="P42" s="61">
        <v>0.72590248301882998</v>
      </c>
      <c r="Q42" s="13">
        <v>26566.540579021264</v>
      </c>
      <c r="R42" s="41">
        <v>957.7995370508695</v>
      </c>
      <c r="S42" s="38"/>
      <c r="U42" s="51">
        <v>29143</v>
      </c>
    </row>
    <row r="43" spans="1:21" s="7" customFormat="1" x14ac:dyDescent="0.25">
      <c r="A43" s="90">
        <v>1058944</v>
      </c>
      <c r="B43" s="45" t="s">
        <v>457</v>
      </c>
      <c r="C43" s="45"/>
      <c r="D43" s="45" t="s">
        <v>458</v>
      </c>
      <c r="E43" s="107">
        <v>44536</v>
      </c>
      <c r="F43" s="107">
        <v>44536</v>
      </c>
      <c r="G43" s="107">
        <v>44561</v>
      </c>
      <c r="H43" s="93" t="s">
        <v>494</v>
      </c>
      <c r="I43" s="64">
        <v>135660600</v>
      </c>
      <c r="J43" s="64" t="s">
        <v>4</v>
      </c>
      <c r="K43" s="66">
        <v>1800000</v>
      </c>
      <c r="L43" s="55">
        <v>75.367000000000004</v>
      </c>
      <c r="M43" s="46">
        <v>-1800000</v>
      </c>
      <c r="N43" s="48">
        <v>18</v>
      </c>
      <c r="O43" s="58">
        <v>75.894959822064521</v>
      </c>
      <c r="P43" s="61">
        <v>0.52719192194476017</v>
      </c>
      <c r="Q43" s="13">
        <v>-347294.55604363699</v>
      </c>
      <c r="R43" s="41">
        <v>-12520.95898634076</v>
      </c>
      <c r="S43" s="38"/>
      <c r="U43" s="51">
        <v>-393813</v>
      </c>
    </row>
    <row r="44" spans="1:21" s="7" customFormat="1" x14ac:dyDescent="0.25">
      <c r="A44" s="90">
        <v>1062747</v>
      </c>
      <c r="B44" s="45" t="s">
        <v>457</v>
      </c>
      <c r="C44" s="45"/>
      <c r="D44" s="45" t="s">
        <v>458</v>
      </c>
      <c r="E44" s="107">
        <v>44540</v>
      </c>
      <c r="F44" s="107">
        <v>44540</v>
      </c>
      <c r="G44" s="107">
        <v>44561</v>
      </c>
      <c r="H44" s="93" t="s">
        <v>4</v>
      </c>
      <c r="I44" s="64">
        <v>1800000</v>
      </c>
      <c r="J44" s="64" t="s">
        <v>494</v>
      </c>
      <c r="K44" s="66">
        <v>136438200</v>
      </c>
      <c r="L44" s="55">
        <v>75.799000000000007</v>
      </c>
      <c r="M44" s="46">
        <v>1800000</v>
      </c>
      <c r="N44" s="48">
        <v>18</v>
      </c>
      <c r="O44" s="58">
        <v>75.894959822064521</v>
      </c>
      <c r="P44" s="61">
        <v>9.5820251673406187E-2</v>
      </c>
      <c r="Q44" s="13">
        <v>63122.840809370478</v>
      </c>
      <c r="R44" s="41">
        <v>2275.7583933338055</v>
      </c>
      <c r="S44" s="38"/>
      <c r="U44" s="51">
        <v>109954</v>
      </c>
    </row>
    <row r="45" spans="1:21" s="7" customFormat="1" x14ac:dyDescent="0.25">
      <c r="A45" s="90">
        <v>795010</v>
      </c>
      <c r="B45" s="45" t="s">
        <v>493</v>
      </c>
      <c r="C45" s="45"/>
      <c r="D45" s="45" t="s">
        <v>460</v>
      </c>
      <c r="E45" s="107">
        <v>44174</v>
      </c>
      <c r="F45" s="107">
        <v>44176</v>
      </c>
      <c r="G45" s="107">
        <v>44543</v>
      </c>
      <c r="H45" s="93" t="s">
        <v>4</v>
      </c>
      <c r="I45" s="64">
        <v>10000000</v>
      </c>
      <c r="J45" s="64" t="s">
        <v>0</v>
      </c>
      <c r="K45" s="66">
        <v>281320000</v>
      </c>
      <c r="L45" s="55">
        <v>28.132000000000001</v>
      </c>
      <c r="M45" s="46">
        <v>10000000</v>
      </c>
      <c r="N45" s="48">
        <v>0</v>
      </c>
      <c r="O45" s="58">
        <v>27.737057235192935</v>
      </c>
      <c r="P45" s="61">
        <v>-0.39494276480706603</v>
      </c>
      <c r="Q45" s="13">
        <v>-3949427.6480706604</v>
      </c>
      <c r="R45" s="41">
        <v>-142388.12771600025</v>
      </c>
      <c r="S45" s="38"/>
      <c r="U45" s="51">
        <v>-3949837</v>
      </c>
    </row>
    <row r="46" spans="1:21" s="7" customFormat="1" x14ac:dyDescent="0.25">
      <c r="A46" s="90">
        <v>804224</v>
      </c>
      <c r="B46" s="45" t="s">
        <v>493</v>
      </c>
      <c r="C46" s="45"/>
      <c r="D46" s="45" t="s">
        <v>461</v>
      </c>
      <c r="E46" s="107">
        <v>44187</v>
      </c>
      <c r="F46" s="107">
        <v>43909</v>
      </c>
      <c r="G46" s="107">
        <v>44552</v>
      </c>
      <c r="H46" s="93" t="s">
        <v>0</v>
      </c>
      <c r="I46" s="64">
        <v>14107500</v>
      </c>
      <c r="J46" s="64" t="s">
        <v>4</v>
      </c>
      <c r="K46" s="66">
        <v>500000</v>
      </c>
      <c r="L46" s="55">
        <v>28.215</v>
      </c>
      <c r="M46" s="46">
        <v>-500000</v>
      </c>
      <c r="N46" s="48">
        <v>9</v>
      </c>
      <c r="O46" s="58">
        <v>27.737016650113986</v>
      </c>
      <c r="P46" s="61">
        <v>-0.4779739416257251</v>
      </c>
      <c r="Q46" s="13">
        <v>238986.97081286256</v>
      </c>
      <c r="R46" s="41">
        <v>8616.1617213535737</v>
      </c>
      <c r="S46" s="38"/>
      <c r="U46" s="51">
        <v>239069</v>
      </c>
    </row>
    <row r="47" spans="1:21" s="7" customFormat="1" x14ac:dyDescent="0.25">
      <c r="A47" s="90">
        <v>804229</v>
      </c>
      <c r="B47" s="45" t="s">
        <v>493</v>
      </c>
      <c r="C47" s="45"/>
      <c r="D47" s="45" t="s">
        <v>461</v>
      </c>
      <c r="E47" s="107">
        <v>44187</v>
      </c>
      <c r="F47" s="107">
        <v>43909</v>
      </c>
      <c r="G47" s="107">
        <v>44552</v>
      </c>
      <c r="H47" s="93" t="s">
        <v>0</v>
      </c>
      <c r="I47" s="64">
        <v>14107500</v>
      </c>
      <c r="J47" s="64" t="s">
        <v>4</v>
      </c>
      <c r="K47" s="66">
        <v>500000</v>
      </c>
      <c r="L47" s="55">
        <v>28.215</v>
      </c>
      <c r="M47" s="46">
        <v>-500000</v>
      </c>
      <c r="N47" s="48">
        <v>9</v>
      </c>
      <c r="O47" s="58">
        <v>27.737016650113986</v>
      </c>
      <c r="P47" s="61">
        <v>-0.4779739416257251</v>
      </c>
      <c r="Q47" s="13">
        <v>238986.97081286256</v>
      </c>
      <c r="R47" s="41">
        <v>8616.1617213535737</v>
      </c>
      <c r="S47" s="38"/>
      <c r="U47" s="51">
        <v>239069</v>
      </c>
    </row>
    <row r="48" spans="1:21" s="7" customFormat="1" x14ac:dyDescent="0.25">
      <c r="A48" s="90">
        <v>804232</v>
      </c>
      <c r="B48" s="45" t="s">
        <v>493</v>
      </c>
      <c r="C48" s="45"/>
      <c r="D48" s="45" t="s">
        <v>461</v>
      </c>
      <c r="E48" s="107">
        <v>44187</v>
      </c>
      <c r="F48" s="107">
        <v>43909</v>
      </c>
      <c r="G48" s="107">
        <v>44552</v>
      </c>
      <c r="H48" s="93" t="s">
        <v>0</v>
      </c>
      <c r="I48" s="64">
        <v>14107500</v>
      </c>
      <c r="J48" s="64" t="s">
        <v>4</v>
      </c>
      <c r="K48" s="66">
        <v>500000</v>
      </c>
      <c r="L48" s="55">
        <v>28.215</v>
      </c>
      <c r="M48" s="46">
        <v>-500000</v>
      </c>
      <c r="N48" s="48">
        <v>9</v>
      </c>
      <c r="O48" s="58">
        <v>27.737016650113986</v>
      </c>
      <c r="P48" s="61">
        <v>-0.4779739416257251</v>
      </c>
      <c r="Q48" s="13">
        <v>238986.97081286256</v>
      </c>
      <c r="R48" s="41">
        <v>8616.1617213535737</v>
      </c>
      <c r="S48" s="38"/>
      <c r="U48" s="51">
        <v>239069</v>
      </c>
    </row>
    <row r="49" spans="1:21" s="7" customFormat="1" x14ac:dyDescent="0.25">
      <c r="A49" s="90">
        <v>804235</v>
      </c>
      <c r="B49" s="45" t="s">
        <v>493</v>
      </c>
      <c r="C49" s="45"/>
      <c r="D49" s="45" t="s">
        <v>461</v>
      </c>
      <c r="E49" s="107">
        <v>44187</v>
      </c>
      <c r="F49" s="107">
        <v>43909</v>
      </c>
      <c r="G49" s="107">
        <v>44552</v>
      </c>
      <c r="H49" s="93" t="s">
        <v>0</v>
      </c>
      <c r="I49" s="64">
        <v>14107500</v>
      </c>
      <c r="J49" s="64" t="s">
        <v>4</v>
      </c>
      <c r="K49" s="66">
        <v>500000</v>
      </c>
      <c r="L49" s="55">
        <v>28.215</v>
      </c>
      <c r="M49" s="46">
        <v>-500000</v>
      </c>
      <c r="N49" s="48">
        <v>9</v>
      </c>
      <c r="O49" s="58">
        <v>27.737016650113986</v>
      </c>
      <c r="P49" s="61">
        <v>-0.4779739416257251</v>
      </c>
      <c r="Q49" s="13">
        <v>238986.97081286256</v>
      </c>
      <c r="R49" s="41">
        <v>8616.1617213535737</v>
      </c>
      <c r="S49" s="38"/>
      <c r="U49" s="51">
        <v>239069</v>
      </c>
    </row>
    <row r="50" spans="1:21" s="7" customFormat="1" x14ac:dyDescent="0.25">
      <c r="A50" s="90">
        <v>822102</v>
      </c>
      <c r="B50" s="45" t="s">
        <v>493</v>
      </c>
      <c r="C50" s="45"/>
      <c r="D50" s="45" t="s">
        <v>462</v>
      </c>
      <c r="E50" s="107">
        <v>44214</v>
      </c>
      <c r="F50" s="107">
        <v>43941</v>
      </c>
      <c r="G50" s="107">
        <v>44581</v>
      </c>
      <c r="H50" s="93" t="s">
        <v>0</v>
      </c>
      <c r="I50" s="64">
        <v>26543950</v>
      </c>
      <c r="J50" s="64" t="s">
        <v>4</v>
      </c>
      <c r="K50" s="66">
        <v>950000</v>
      </c>
      <c r="L50" s="55">
        <v>27.940999999999999</v>
      </c>
      <c r="M50" s="46">
        <v>-950000</v>
      </c>
      <c r="N50" s="48">
        <v>38</v>
      </c>
      <c r="O50" s="58">
        <v>27.734767834637964</v>
      </c>
      <c r="P50" s="61">
        <v>-0.20622127168280566</v>
      </c>
      <c r="Q50" s="13">
        <v>195910.20809866537</v>
      </c>
      <c r="R50" s="41">
        <v>7063.1216007332387</v>
      </c>
      <c r="S50" s="38"/>
      <c r="U50" s="51">
        <v>195972</v>
      </c>
    </row>
    <row r="51" spans="1:21" s="7" customFormat="1" x14ac:dyDescent="0.25">
      <c r="A51" s="90">
        <v>829597</v>
      </c>
      <c r="B51" s="45" t="s">
        <v>493</v>
      </c>
      <c r="C51" s="45"/>
      <c r="D51" s="45" t="s">
        <v>462</v>
      </c>
      <c r="E51" s="107">
        <v>44223</v>
      </c>
      <c r="F51" s="107">
        <v>43944</v>
      </c>
      <c r="G51" s="107">
        <v>44589</v>
      </c>
      <c r="H51" s="93" t="s">
        <v>0</v>
      </c>
      <c r="I51" s="64">
        <v>26544900</v>
      </c>
      <c r="J51" s="64" t="s">
        <v>4</v>
      </c>
      <c r="K51" s="66">
        <v>950000</v>
      </c>
      <c r="L51" s="55">
        <v>27.942</v>
      </c>
      <c r="M51" s="46">
        <v>-950000</v>
      </c>
      <c r="N51" s="48">
        <v>46</v>
      </c>
      <c r="O51" s="58">
        <v>27.733899681531422</v>
      </c>
      <c r="P51" s="61">
        <v>-0.20809110931569838</v>
      </c>
      <c r="Q51" s="13">
        <v>197686.55384991347</v>
      </c>
      <c r="R51" s="41">
        <v>7127.163929960373</v>
      </c>
      <c r="S51" s="38"/>
      <c r="U51" s="51">
        <v>197363</v>
      </c>
    </row>
    <row r="52" spans="1:21" s="7" customFormat="1" x14ac:dyDescent="0.25">
      <c r="A52" s="90">
        <v>829621</v>
      </c>
      <c r="B52" s="45" t="s">
        <v>493</v>
      </c>
      <c r="C52" s="45"/>
      <c r="D52" s="45" t="s">
        <v>463</v>
      </c>
      <c r="E52" s="107">
        <v>44223</v>
      </c>
      <c r="F52" s="107">
        <v>44225</v>
      </c>
      <c r="G52" s="107">
        <v>44589</v>
      </c>
      <c r="H52" s="93" t="s">
        <v>4</v>
      </c>
      <c r="I52" s="64">
        <v>5000000</v>
      </c>
      <c r="J52" s="64" t="s">
        <v>0</v>
      </c>
      <c r="K52" s="66">
        <v>139420000</v>
      </c>
      <c r="L52" s="55">
        <v>27.884</v>
      </c>
      <c r="M52" s="46">
        <v>5000000</v>
      </c>
      <c r="N52" s="48">
        <v>46</v>
      </c>
      <c r="O52" s="58">
        <v>27.733899681531422</v>
      </c>
      <c r="P52" s="61">
        <v>-0.15009367601463938</v>
      </c>
      <c r="Q52" s="13">
        <v>-750468.38007319707</v>
      </c>
      <c r="R52" s="41">
        <v>-27056.524912130855</v>
      </c>
      <c r="S52" s="38"/>
      <c r="U52" s="51">
        <v>-748768</v>
      </c>
    </row>
    <row r="53" spans="1:21" s="7" customFormat="1" x14ac:dyDescent="0.25">
      <c r="A53" s="90">
        <v>849699</v>
      </c>
      <c r="B53" s="45" t="s">
        <v>493</v>
      </c>
      <c r="C53" s="45"/>
      <c r="D53" s="45" t="s">
        <v>464</v>
      </c>
      <c r="E53" s="107">
        <v>44253</v>
      </c>
      <c r="F53" s="107">
        <v>44258</v>
      </c>
      <c r="G53" s="107">
        <v>44623</v>
      </c>
      <c r="H53" s="93" t="s">
        <v>4</v>
      </c>
      <c r="I53" s="64">
        <v>10000000</v>
      </c>
      <c r="J53" s="64" t="s">
        <v>0</v>
      </c>
      <c r="K53" s="66">
        <v>277100000</v>
      </c>
      <c r="L53" s="55">
        <v>27.71</v>
      </c>
      <c r="M53" s="46">
        <v>10000000</v>
      </c>
      <c r="N53" s="48">
        <v>80</v>
      </c>
      <c r="O53" s="58">
        <v>27.730199781415966</v>
      </c>
      <c r="P53" s="61">
        <v>2.0193241912459813E-2</v>
      </c>
      <c r="Q53" s="13">
        <v>201932.41912459815</v>
      </c>
      <c r="R53" s="41">
        <v>7280.2394793484127</v>
      </c>
      <c r="S53" s="38"/>
      <c r="U53" s="51">
        <v>205813</v>
      </c>
    </row>
    <row r="54" spans="1:21" s="7" customFormat="1" x14ac:dyDescent="0.25">
      <c r="A54" s="90">
        <v>872144</v>
      </c>
      <c r="B54" s="45" t="s">
        <v>493</v>
      </c>
      <c r="C54" s="45"/>
      <c r="D54" s="45" t="s">
        <v>465</v>
      </c>
      <c r="E54" s="107">
        <v>44284</v>
      </c>
      <c r="F54" s="107">
        <v>44286</v>
      </c>
      <c r="G54" s="107">
        <v>44651</v>
      </c>
      <c r="H54" s="93" t="s">
        <v>4</v>
      </c>
      <c r="I54" s="64">
        <v>10000000</v>
      </c>
      <c r="J54" s="64" t="s">
        <v>0</v>
      </c>
      <c r="K54" s="66">
        <v>284380000</v>
      </c>
      <c r="L54" s="55">
        <v>28.437999999999999</v>
      </c>
      <c r="M54" s="46">
        <v>10000000</v>
      </c>
      <c r="N54" s="48">
        <v>108</v>
      </c>
      <c r="O54" s="58">
        <v>27.725832352837003</v>
      </c>
      <c r="P54" s="61">
        <v>-0.71174472415952861</v>
      </c>
      <c r="Q54" s="13">
        <v>-7117447.2415952859</v>
      </c>
      <c r="R54" s="41">
        <v>-256604.26703683002</v>
      </c>
      <c r="S54" s="38"/>
      <c r="U54" s="51">
        <v>-7095984</v>
      </c>
    </row>
    <row r="55" spans="1:21" s="7" customFormat="1" x14ac:dyDescent="0.25">
      <c r="A55" s="90">
        <v>876139</v>
      </c>
      <c r="B55" s="45" t="s">
        <v>493</v>
      </c>
      <c r="C55" s="45"/>
      <c r="D55" s="45" t="s">
        <v>466</v>
      </c>
      <c r="E55" s="107">
        <v>44287</v>
      </c>
      <c r="F55" s="107">
        <v>44293</v>
      </c>
      <c r="G55" s="107">
        <v>44658</v>
      </c>
      <c r="H55" s="93" t="s">
        <v>4</v>
      </c>
      <c r="I55" s="64">
        <v>10000000</v>
      </c>
      <c r="J55" s="64" t="s">
        <v>0</v>
      </c>
      <c r="K55" s="66">
        <v>284435000</v>
      </c>
      <c r="L55" s="55">
        <v>28.4435</v>
      </c>
      <c r="M55" s="46">
        <v>10000000</v>
      </c>
      <c r="N55" s="48">
        <v>115</v>
      </c>
      <c r="O55" s="58">
        <v>27.724343435030665</v>
      </c>
      <c r="P55" s="61">
        <v>-0.71871672433079958</v>
      </c>
      <c r="Q55" s="13">
        <v>-7187167.2433079965</v>
      </c>
      <c r="R55" s="41">
        <v>-259117.8718912141</v>
      </c>
      <c r="S55" s="38"/>
      <c r="U55" s="51">
        <v>-7164892</v>
      </c>
    </row>
    <row r="56" spans="1:21" s="7" customFormat="1" x14ac:dyDescent="0.25">
      <c r="A56" s="90">
        <v>876165</v>
      </c>
      <c r="B56" s="45" t="s">
        <v>493</v>
      </c>
      <c r="C56" s="45"/>
      <c r="D56" s="45" t="s">
        <v>466</v>
      </c>
      <c r="E56" s="107">
        <v>44287</v>
      </c>
      <c r="F56" s="107">
        <v>44293</v>
      </c>
      <c r="G56" s="107">
        <v>44658</v>
      </c>
      <c r="H56" s="93" t="s">
        <v>4</v>
      </c>
      <c r="I56" s="64">
        <v>10000000</v>
      </c>
      <c r="J56" s="64" t="s">
        <v>0</v>
      </c>
      <c r="K56" s="66">
        <v>284270000</v>
      </c>
      <c r="L56" s="55">
        <v>28.427</v>
      </c>
      <c r="M56" s="46">
        <v>10000000</v>
      </c>
      <c r="N56" s="48">
        <v>115</v>
      </c>
      <c r="O56" s="58">
        <v>27.724343435030665</v>
      </c>
      <c r="P56" s="61">
        <v>-0.70222681583366398</v>
      </c>
      <c r="Q56" s="13">
        <v>-7022268.1583366394</v>
      </c>
      <c r="R56" s="41">
        <v>-253172.78970123571</v>
      </c>
      <c r="S56" s="38"/>
      <c r="U56" s="51">
        <v>-7000007</v>
      </c>
    </row>
    <row r="57" spans="1:21" s="7" customFormat="1" x14ac:dyDescent="0.25">
      <c r="A57" s="90">
        <v>885307</v>
      </c>
      <c r="B57" s="45" t="s">
        <v>493</v>
      </c>
      <c r="C57" s="45"/>
      <c r="D57" s="45" t="s">
        <v>467</v>
      </c>
      <c r="E57" s="107">
        <v>44301</v>
      </c>
      <c r="F57" s="107">
        <v>44215</v>
      </c>
      <c r="G57" s="107">
        <v>44580</v>
      </c>
      <c r="H57" s="93" t="s">
        <v>4</v>
      </c>
      <c r="I57" s="64">
        <v>10000000</v>
      </c>
      <c r="J57" s="64" t="s">
        <v>0</v>
      </c>
      <c r="K57" s="66">
        <v>283930000</v>
      </c>
      <c r="L57" s="55">
        <v>28.393000000000001</v>
      </c>
      <c r="M57" s="46">
        <v>10000000</v>
      </c>
      <c r="N57" s="48">
        <v>37</v>
      </c>
      <c r="O57" s="58">
        <v>27.734866909986714</v>
      </c>
      <c r="P57" s="61">
        <v>-0.65809793780954029</v>
      </c>
      <c r="Q57" s="13">
        <v>-6580979.3780954042</v>
      </c>
      <c r="R57" s="41">
        <v>-237263.07092684007</v>
      </c>
      <c r="S57" s="38"/>
      <c r="U57" s="51">
        <v>-6582075</v>
      </c>
    </row>
    <row r="58" spans="1:21" s="7" customFormat="1" x14ac:dyDescent="0.25">
      <c r="A58" s="90">
        <v>896510</v>
      </c>
      <c r="B58" s="45" t="s">
        <v>493</v>
      </c>
      <c r="C58" s="45"/>
      <c r="D58" s="45" t="s">
        <v>461</v>
      </c>
      <c r="E58" s="107">
        <v>44314</v>
      </c>
      <c r="F58" s="107">
        <v>44042</v>
      </c>
      <c r="G58" s="107">
        <v>44680</v>
      </c>
      <c r="H58" s="93" t="s">
        <v>0</v>
      </c>
      <c r="I58" s="64">
        <v>13926500</v>
      </c>
      <c r="J58" s="64" t="s">
        <v>4</v>
      </c>
      <c r="K58" s="66">
        <v>500000</v>
      </c>
      <c r="L58" s="55">
        <v>27.853000000000002</v>
      </c>
      <c r="M58" s="46">
        <v>-500000</v>
      </c>
      <c r="N58" s="48">
        <v>137</v>
      </c>
      <c r="O58" s="58">
        <v>27.719061490884059</v>
      </c>
      <c r="P58" s="61">
        <v>-0.13385131746653259</v>
      </c>
      <c r="Q58" s="13">
        <v>66925.658733266304</v>
      </c>
      <c r="R58" s="41">
        <v>2412.8608224649961</v>
      </c>
      <c r="S58" s="38"/>
      <c r="U58" s="51">
        <v>65786</v>
      </c>
    </row>
    <row r="59" spans="1:21" s="7" customFormat="1" x14ac:dyDescent="0.25">
      <c r="A59" s="90">
        <v>896513</v>
      </c>
      <c r="B59" s="45" t="s">
        <v>493</v>
      </c>
      <c r="C59" s="45"/>
      <c r="D59" s="45" t="s">
        <v>461</v>
      </c>
      <c r="E59" s="107">
        <v>44314</v>
      </c>
      <c r="F59" s="107">
        <v>44042</v>
      </c>
      <c r="G59" s="107">
        <v>44680</v>
      </c>
      <c r="H59" s="93" t="s">
        <v>0</v>
      </c>
      <c r="I59" s="64">
        <v>13926500</v>
      </c>
      <c r="J59" s="64" t="s">
        <v>4</v>
      </c>
      <c r="K59" s="66">
        <v>500000</v>
      </c>
      <c r="L59" s="55">
        <v>27.853000000000002</v>
      </c>
      <c r="M59" s="46">
        <v>-500000</v>
      </c>
      <c r="N59" s="48">
        <v>137</v>
      </c>
      <c r="O59" s="58">
        <v>27.719061490884059</v>
      </c>
      <c r="P59" s="61">
        <v>-0.13385131746653259</v>
      </c>
      <c r="Q59" s="13">
        <v>66925.658733266304</v>
      </c>
      <c r="R59" s="41">
        <v>2412.8608224649961</v>
      </c>
      <c r="S59" s="38"/>
      <c r="U59" s="51">
        <v>65786</v>
      </c>
    </row>
    <row r="60" spans="1:21" s="7" customFormat="1" x14ac:dyDescent="0.25">
      <c r="A60" s="90">
        <v>903561</v>
      </c>
      <c r="B60" s="45" t="s">
        <v>493</v>
      </c>
      <c r="C60" s="45"/>
      <c r="D60" s="45" t="s">
        <v>468</v>
      </c>
      <c r="E60" s="107">
        <v>44323</v>
      </c>
      <c r="F60" s="107">
        <v>43776</v>
      </c>
      <c r="G60" s="107">
        <v>44601</v>
      </c>
      <c r="H60" s="93" t="s">
        <v>0</v>
      </c>
      <c r="I60" s="64">
        <v>55830000</v>
      </c>
      <c r="J60" s="64" t="s">
        <v>4</v>
      </c>
      <c r="K60" s="66">
        <v>2000000</v>
      </c>
      <c r="L60" s="55">
        <v>27.914999999999999</v>
      </c>
      <c r="M60" s="46">
        <v>-2000000</v>
      </c>
      <c r="N60" s="48">
        <v>58</v>
      </c>
      <c r="O60" s="58">
        <v>27.732345623035084</v>
      </c>
      <c r="P60" s="61">
        <v>-0.18265098718479739</v>
      </c>
      <c r="Q60" s="13">
        <v>365301.97436959477</v>
      </c>
      <c r="R60" s="41">
        <v>13170.177761543411</v>
      </c>
      <c r="S60" s="38"/>
      <c r="U60" s="51">
        <v>363179</v>
      </c>
    </row>
    <row r="61" spans="1:21" s="7" customFormat="1" x14ac:dyDescent="0.25">
      <c r="A61" s="90">
        <v>909521</v>
      </c>
      <c r="B61" s="45" t="s">
        <v>493</v>
      </c>
      <c r="C61" s="45"/>
      <c r="D61" s="45" t="s">
        <v>468</v>
      </c>
      <c r="E61" s="107">
        <v>44330</v>
      </c>
      <c r="F61" s="107">
        <v>44057</v>
      </c>
      <c r="G61" s="107">
        <v>44606</v>
      </c>
      <c r="H61" s="93" t="s">
        <v>0</v>
      </c>
      <c r="I61" s="64">
        <v>58629900</v>
      </c>
      <c r="J61" s="64" t="s">
        <v>4</v>
      </c>
      <c r="K61" s="66">
        <v>2100000</v>
      </c>
      <c r="L61" s="55">
        <v>27.919</v>
      </c>
      <c r="M61" s="46">
        <v>-2100000</v>
      </c>
      <c r="N61" s="48">
        <v>63</v>
      </c>
      <c r="O61" s="58">
        <v>27.731784637169284</v>
      </c>
      <c r="P61" s="61">
        <v>-0.18720606645681007</v>
      </c>
      <c r="Q61" s="13">
        <v>393132.73955930112</v>
      </c>
      <c r="R61" s="41">
        <v>14173.556200493111</v>
      </c>
      <c r="S61" s="38"/>
      <c r="U61" s="51">
        <v>390577</v>
      </c>
    </row>
    <row r="62" spans="1:21" s="7" customFormat="1" x14ac:dyDescent="0.25">
      <c r="A62" s="90">
        <v>911832</v>
      </c>
      <c r="B62" s="45" t="s">
        <v>493</v>
      </c>
      <c r="C62" s="45"/>
      <c r="D62" s="45" t="s">
        <v>468</v>
      </c>
      <c r="E62" s="107">
        <v>44334</v>
      </c>
      <c r="F62" s="107">
        <v>43875</v>
      </c>
      <c r="G62" s="107">
        <v>44610</v>
      </c>
      <c r="H62" s="93" t="s">
        <v>0</v>
      </c>
      <c r="I62" s="64">
        <v>41955000</v>
      </c>
      <c r="J62" s="64" t="s">
        <v>4</v>
      </c>
      <c r="K62" s="66">
        <v>1500000</v>
      </c>
      <c r="L62" s="55">
        <v>27.97</v>
      </c>
      <c r="M62" s="46">
        <v>-1500000</v>
      </c>
      <c r="N62" s="48">
        <v>67</v>
      </c>
      <c r="O62" s="58">
        <v>27.731417861953876</v>
      </c>
      <c r="P62" s="61">
        <v>-0.23855727991230954</v>
      </c>
      <c r="Q62" s="13">
        <v>357835.91986846435</v>
      </c>
      <c r="R62" s="41">
        <v>12901.005208816459</v>
      </c>
      <c r="S62" s="38"/>
      <c r="U62" s="51">
        <v>356768</v>
      </c>
    </row>
    <row r="63" spans="1:21" s="7" customFormat="1" x14ac:dyDescent="0.25">
      <c r="A63" s="90">
        <v>911836</v>
      </c>
      <c r="B63" s="45" t="s">
        <v>493</v>
      </c>
      <c r="C63" s="45"/>
      <c r="D63" s="45" t="s">
        <v>468</v>
      </c>
      <c r="E63" s="107">
        <v>44334</v>
      </c>
      <c r="F63" s="107">
        <v>43784</v>
      </c>
      <c r="G63" s="107">
        <v>44610</v>
      </c>
      <c r="H63" s="93" t="s">
        <v>0</v>
      </c>
      <c r="I63" s="64">
        <v>27970000</v>
      </c>
      <c r="J63" s="64" t="s">
        <v>4</v>
      </c>
      <c r="K63" s="66">
        <v>1000000</v>
      </c>
      <c r="L63" s="55">
        <v>27.97</v>
      </c>
      <c r="M63" s="46">
        <v>-1000000</v>
      </c>
      <c r="N63" s="48">
        <v>67</v>
      </c>
      <c r="O63" s="58">
        <v>27.731417861953876</v>
      </c>
      <c r="P63" s="61">
        <v>-0.23855727991230954</v>
      </c>
      <c r="Q63" s="13">
        <v>238557.27991230958</v>
      </c>
      <c r="R63" s="41">
        <v>8600.6701392109735</v>
      </c>
      <c r="S63" s="38"/>
      <c r="U63" s="51">
        <v>237845</v>
      </c>
    </row>
    <row r="64" spans="1:21" s="7" customFormat="1" x14ac:dyDescent="0.25">
      <c r="A64" s="90">
        <v>916945</v>
      </c>
      <c r="B64" s="45" t="s">
        <v>493</v>
      </c>
      <c r="C64" s="45"/>
      <c r="D64" s="45" t="s">
        <v>461</v>
      </c>
      <c r="E64" s="107">
        <v>44341</v>
      </c>
      <c r="F64" s="107">
        <v>44343</v>
      </c>
      <c r="G64" s="107">
        <v>44617</v>
      </c>
      <c r="H64" s="93" t="s">
        <v>0</v>
      </c>
      <c r="I64" s="64">
        <v>13929500</v>
      </c>
      <c r="J64" s="64" t="s">
        <v>4</v>
      </c>
      <c r="K64" s="66">
        <v>500000</v>
      </c>
      <c r="L64" s="55">
        <v>27.859000000000002</v>
      </c>
      <c r="M64" s="46">
        <v>-500000</v>
      </c>
      <c r="N64" s="48">
        <v>74</v>
      </c>
      <c r="O64" s="58">
        <v>27.730766915736041</v>
      </c>
      <c r="P64" s="61">
        <v>-0.12820559465603659</v>
      </c>
      <c r="Q64" s="13">
        <v>64102.7973280183</v>
      </c>
      <c r="R64" s="41">
        <v>2311.0886199810811</v>
      </c>
      <c r="S64" s="38"/>
      <c r="U64" s="51">
        <v>63959</v>
      </c>
    </row>
    <row r="65" spans="1:21" s="7" customFormat="1" x14ac:dyDescent="0.25">
      <c r="A65" s="90">
        <v>916964</v>
      </c>
      <c r="B65" s="45" t="s">
        <v>493</v>
      </c>
      <c r="C65" s="45"/>
      <c r="D65" s="45" t="s">
        <v>461</v>
      </c>
      <c r="E65" s="107">
        <v>44341</v>
      </c>
      <c r="F65" s="107">
        <v>44343</v>
      </c>
      <c r="G65" s="107">
        <v>44617</v>
      </c>
      <c r="H65" s="93" t="s">
        <v>0</v>
      </c>
      <c r="I65" s="64">
        <v>13929500</v>
      </c>
      <c r="J65" s="64" t="s">
        <v>4</v>
      </c>
      <c r="K65" s="66">
        <v>500000</v>
      </c>
      <c r="L65" s="55">
        <v>27.859000000000002</v>
      </c>
      <c r="M65" s="46">
        <v>-500000</v>
      </c>
      <c r="N65" s="48">
        <v>74</v>
      </c>
      <c r="O65" s="58">
        <v>27.730766915736041</v>
      </c>
      <c r="P65" s="61">
        <v>-0.12820559465603659</v>
      </c>
      <c r="Q65" s="13">
        <v>64102.7973280183</v>
      </c>
      <c r="R65" s="41">
        <v>2311.0886199810811</v>
      </c>
      <c r="S65" s="38"/>
      <c r="U65" s="51">
        <v>63959</v>
      </c>
    </row>
    <row r="66" spans="1:21" s="7" customFormat="1" x14ac:dyDescent="0.25">
      <c r="A66" s="90">
        <v>916975</v>
      </c>
      <c r="B66" s="45" t="s">
        <v>493</v>
      </c>
      <c r="C66" s="45"/>
      <c r="D66" s="45" t="s">
        <v>461</v>
      </c>
      <c r="E66" s="107">
        <v>44341</v>
      </c>
      <c r="F66" s="107">
        <v>44343</v>
      </c>
      <c r="G66" s="107">
        <v>44617</v>
      </c>
      <c r="H66" s="93" t="s">
        <v>0</v>
      </c>
      <c r="I66" s="64">
        <v>13929500</v>
      </c>
      <c r="J66" s="64" t="s">
        <v>4</v>
      </c>
      <c r="K66" s="66">
        <v>500000</v>
      </c>
      <c r="L66" s="55">
        <v>27.859000000000002</v>
      </c>
      <c r="M66" s="46">
        <v>-500000</v>
      </c>
      <c r="N66" s="48">
        <v>74</v>
      </c>
      <c r="O66" s="58">
        <v>27.730766915736041</v>
      </c>
      <c r="P66" s="61">
        <v>-0.12820559465603659</v>
      </c>
      <c r="Q66" s="13">
        <v>64102.7973280183</v>
      </c>
      <c r="R66" s="41">
        <v>2311.0886199810811</v>
      </c>
      <c r="S66" s="38"/>
      <c r="U66" s="51">
        <v>63959</v>
      </c>
    </row>
    <row r="67" spans="1:21" s="7" customFormat="1" x14ac:dyDescent="0.25">
      <c r="A67" s="90">
        <v>916983</v>
      </c>
      <c r="B67" s="45" t="s">
        <v>493</v>
      </c>
      <c r="C67" s="45"/>
      <c r="D67" s="45" t="s">
        <v>461</v>
      </c>
      <c r="E67" s="107">
        <v>44341</v>
      </c>
      <c r="F67" s="107">
        <v>44343</v>
      </c>
      <c r="G67" s="107">
        <v>44617</v>
      </c>
      <c r="H67" s="93" t="s">
        <v>0</v>
      </c>
      <c r="I67" s="64">
        <v>13929500</v>
      </c>
      <c r="J67" s="64" t="s">
        <v>4</v>
      </c>
      <c r="K67" s="66">
        <v>500000</v>
      </c>
      <c r="L67" s="55">
        <v>27.859000000000002</v>
      </c>
      <c r="M67" s="46">
        <v>-500000</v>
      </c>
      <c r="N67" s="48">
        <v>74</v>
      </c>
      <c r="O67" s="58">
        <v>27.730766915736041</v>
      </c>
      <c r="P67" s="61">
        <v>-0.12820559465603659</v>
      </c>
      <c r="Q67" s="13">
        <v>64102.7973280183</v>
      </c>
      <c r="R67" s="41">
        <v>2311.0886199810811</v>
      </c>
      <c r="S67" s="38"/>
      <c r="U67" s="51">
        <v>63959</v>
      </c>
    </row>
    <row r="68" spans="1:21" s="7" customFormat="1" x14ac:dyDescent="0.25">
      <c r="A68" s="90">
        <v>918003</v>
      </c>
      <c r="B68" s="45" t="s">
        <v>493</v>
      </c>
      <c r="C68" s="45"/>
      <c r="D68" s="45" t="s">
        <v>468</v>
      </c>
      <c r="E68" s="107">
        <v>44342</v>
      </c>
      <c r="F68" s="107">
        <v>44069</v>
      </c>
      <c r="G68" s="107">
        <v>44617</v>
      </c>
      <c r="H68" s="93" t="s">
        <v>0</v>
      </c>
      <c r="I68" s="64">
        <v>16694400</v>
      </c>
      <c r="J68" s="64" t="s">
        <v>4</v>
      </c>
      <c r="K68" s="66">
        <v>600000</v>
      </c>
      <c r="L68" s="55">
        <v>27.824000000000002</v>
      </c>
      <c r="M68" s="46">
        <v>-600000</v>
      </c>
      <c r="N68" s="48">
        <v>74</v>
      </c>
      <c r="O68" s="58">
        <v>27.730766915736041</v>
      </c>
      <c r="P68" s="61">
        <v>-9.3213097682910334E-2</v>
      </c>
      <c r="Q68" s="13">
        <v>55927.858609746203</v>
      </c>
      <c r="R68" s="41">
        <v>2016.3587699846046</v>
      </c>
      <c r="S68" s="38"/>
      <c r="U68" s="51">
        <v>55756</v>
      </c>
    </row>
    <row r="69" spans="1:21" s="7" customFormat="1" x14ac:dyDescent="0.25">
      <c r="A69" s="90">
        <v>918011</v>
      </c>
      <c r="B69" s="45" t="s">
        <v>493</v>
      </c>
      <c r="C69" s="45"/>
      <c r="D69" s="45" t="s">
        <v>468</v>
      </c>
      <c r="E69" s="107">
        <v>44342</v>
      </c>
      <c r="F69" s="107">
        <v>43798</v>
      </c>
      <c r="G69" s="107">
        <v>44617</v>
      </c>
      <c r="H69" s="93" t="s">
        <v>0</v>
      </c>
      <c r="I69" s="64">
        <v>83472000</v>
      </c>
      <c r="J69" s="64" t="s">
        <v>4</v>
      </c>
      <c r="K69" s="66">
        <v>3000000</v>
      </c>
      <c r="L69" s="55">
        <v>27.824000000000002</v>
      </c>
      <c r="M69" s="46">
        <v>-3000000</v>
      </c>
      <c r="N69" s="48">
        <v>74</v>
      </c>
      <c r="O69" s="58">
        <v>27.730766915736041</v>
      </c>
      <c r="P69" s="61">
        <v>-9.3213097682910334E-2</v>
      </c>
      <c r="Q69" s="13">
        <v>279639.29304873099</v>
      </c>
      <c r="R69" s="41">
        <v>10081.793849923022</v>
      </c>
      <c r="S69" s="38"/>
      <c r="U69" s="51">
        <v>278780</v>
      </c>
    </row>
    <row r="70" spans="1:21" s="7" customFormat="1" x14ac:dyDescent="0.25">
      <c r="A70" s="90">
        <v>923355</v>
      </c>
      <c r="B70" s="45" t="s">
        <v>493</v>
      </c>
      <c r="C70" s="45"/>
      <c r="D70" s="45" t="s">
        <v>469</v>
      </c>
      <c r="E70" s="107">
        <v>44349</v>
      </c>
      <c r="F70" s="107">
        <v>44349</v>
      </c>
      <c r="G70" s="107">
        <v>44714</v>
      </c>
      <c r="H70" s="93" t="s">
        <v>0</v>
      </c>
      <c r="I70" s="64">
        <v>13759500</v>
      </c>
      <c r="J70" s="64" t="s">
        <v>4</v>
      </c>
      <c r="K70" s="66">
        <v>500000</v>
      </c>
      <c r="L70" s="55">
        <v>27.518999999999998</v>
      </c>
      <c r="M70" s="46">
        <v>-500000</v>
      </c>
      <c r="N70" s="48">
        <v>171</v>
      </c>
      <c r="O70" s="58">
        <v>27.709101915989631</v>
      </c>
      <c r="P70" s="61">
        <v>0.18997590758264465</v>
      </c>
      <c r="Q70" s="13">
        <v>-94987.953791322347</v>
      </c>
      <c r="R70" s="41">
        <v>-3424.5865733298156</v>
      </c>
      <c r="S70" s="38"/>
      <c r="U70" s="51">
        <v>-96176</v>
      </c>
    </row>
    <row r="71" spans="1:21" s="7" customFormat="1" x14ac:dyDescent="0.25">
      <c r="A71" s="90">
        <v>924572</v>
      </c>
      <c r="B71" s="45" t="s">
        <v>493</v>
      </c>
      <c r="C71" s="45"/>
      <c r="D71" s="45" t="s">
        <v>468</v>
      </c>
      <c r="E71" s="107">
        <v>44350</v>
      </c>
      <c r="F71" s="107">
        <v>44078</v>
      </c>
      <c r="G71" s="107">
        <v>44624</v>
      </c>
      <c r="H71" s="93" t="s">
        <v>0</v>
      </c>
      <c r="I71" s="64">
        <v>82986000</v>
      </c>
      <c r="J71" s="64" t="s">
        <v>4</v>
      </c>
      <c r="K71" s="66">
        <v>3000000</v>
      </c>
      <c r="L71" s="55">
        <v>27.661999999999999</v>
      </c>
      <c r="M71" s="46">
        <v>-3000000</v>
      </c>
      <c r="N71" s="48">
        <v>81</v>
      </c>
      <c r="O71" s="58">
        <v>27.730104437197127</v>
      </c>
      <c r="P71" s="61">
        <v>6.8081056363028969E-2</v>
      </c>
      <c r="Q71" s="13">
        <v>-204243.16908908694</v>
      </c>
      <c r="R71" s="41">
        <v>-7363.5486042096072</v>
      </c>
      <c r="S71" s="38"/>
      <c r="U71" s="51">
        <v>-205579</v>
      </c>
    </row>
    <row r="72" spans="1:21" s="7" customFormat="1" x14ac:dyDescent="0.25">
      <c r="A72" s="90">
        <v>929046</v>
      </c>
      <c r="B72" s="45" t="s">
        <v>493</v>
      </c>
      <c r="C72" s="45"/>
      <c r="D72" s="45" t="s">
        <v>465</v>
      </c>
      <c r="E72" s="107">
        <v>44356</v>
      </c>
      <c r="F72" s="107">
        <v>44358</v>
      </c>
      <c r="G72" s="107">
        <v>44725</v>
      </c>
      <c r="H72" s="93" t="s">
        <v>4</v>
      </c>
      <c r="I72" s="64">
        <v>10000000</v>
      </c>
      <c r="J72" s="64" t="s">
        <v>0</v>
      </c>
      <c r="K72" s="66">
        <v>276338000</v>
      </c>
      <c r="L72" s="55">
        <v>27.633800000000001</v>
      </c>
      <c r="M72" s="46">
        <v>10000000</v>
      </c>
      <c r="N72" s="48">
        <v>182</v>
      </c>
      <c r="O72" s="58">
        <v>27.705426319802761</v>
      </c>
      <c r="P72" s="61">
        <v>7.1579135172664232E-2</v>
      </c>
      <c r="Q72" s="13">
        <v>715791.35172664234</v>
      </c>
      <c r="R72" s="41">
        <v>25806.319165626635</v>
      </c>
      <c r="S72" s="38"/>
      <c r="U72" s="51">
        <v>744266</v>
      </c>
    </row>
    <row r="73" spans="1:21" s="7" customFormat="1" x14ac:dyDescent="0.25">
      <c r="A73" s="90">
        <v>929051</v>
      </c>
      <c r="B73" s="45" t="s">
        <v>493</v>
      </c>
      <c r="C73" s="45"/>
      <c r="D73" s="45" t="s">
        <v>470</v>
      </c>
      <c r="E73" s="107">
        <v>44356</v>
      </c>
      <c r="F73" s="107">
        <v>43657</v>
      </c>
      <c r="G73" s="107">
        <v>44725</v>
      </c>
      <c r="H73" s="93" t="s">
        <v>0</v>
      </c>
      <c r="I73" s="64">
        <v>553320000</v>
      </c>
      <c r="J73" s="64" t="s">
        <v>4</v>
      </c>
      <c r="K73" s="66">
        <v>20000000</v>
      </c>
      <c r="L73" s="55">
        <v>27.666</v>
      </c>
      <c r="M73" s="46">
        <v>-20000000</v>
      </c>
      <c r="N73" s="48">
        <v>182</v>
      </c>
      <c r="O73" s="58">
        <v>27.705426319802761</v>
      </c>
      <c r="P73" s="61">
        <v>3.940034727867936E-2</v>
      </c>
      <c r="Q73" s="13">
        <v>-788006.94557358732</v>
      </c>
      <c r="R73" s="41">
        <v>-28409.897232131734</v>
      </c>
      <c r="S73" s="38"/>
      <c r="U73" s="51">
        <v>-845036</v>
      </c>
    </row>
    <row r="74" spans="1:21" s="7" customFormat="1" x14ac:dyDescent="0.25">
      <c r="A74" s="90">
        <v>929064</v>
      </c>
      <c r="B74" s="45" t="s">
        <v>493</v>
      </c>
      <c r="C74" s="45"/>
      <c r="D74" s="45" t="s">
        <v>471</v>
      </c>
      <c r="E74" s="107">
        <v>44356</v>
      </c>
      <c r="F74" s="107">
        <v>44358</v>
      </c>
      <c r="G74" s="107">
        <v>44725</v>
      </c>
      <c r="H74" s="93" t="s">
        <v>4</v>
      </c>
      <c r="I74" s="64">
        <v>10000000</v>
      </c>
      <c r="J74" s="64" t="s">
        <v>0</v>
      </c>
      <c r="K74" s="66">
        <v>276460000</v>
      </c>
      <c r="L74" s="55">
        <v>27.646000000000001</v>
      </c>
      <c r="M74" s="46">
        <v>10000000</v>
      </c>
      <c r="N74" s="48">
        <v>182</v>
      </c>
      <c r="O74" s="58">
        <v>27.705426319802761</v>
      </c>
      <c r="P74" s="61">
        <v>5.9387172057551792E-2</v>
      </c>
      <c r="Q74" s="13">
        <v>593871.72057551809</v>
      </c>
      <c r="R74" s="41">
        <v>21410.768833184302</v>
      </c>
      <c r="S74" s="38"/>
      <c r="U74" s="51">
        <v>622362</v>
      </c>
    </row>
    <row r="75" spans="1:21" s="7" customFormat="1" x14ac:dyDescent="0.25">
      <c r="A75" s="90">
        <v>930311</v>
      </c>
      <c r="B75" s="45" t="s">
        <v>493</v>
      </c>
      <c r="C75" s="45"/>
      <c r="D75" s="45" t="s">
        <v>328</v>
      </c>
      <c r="E75" s="107">
        <v>44357</v>
      </c>
      <c r="F75" s="107">
        <v>44362</v>
      </c>
      <c r="G75" s="107">
        <v>44543</v>
      </c>
      <c r="H75" s="93" t="s">
        <v>4</v>
      </c>
      <c r="I75" s="64">
        <v>1100000</v>
      </c>
      <c r="J75" s="64" t="s">
        <v>3</v>
      </c>
      <c r="K75" s="66">
        <v>7098016.4199999999</v>
      </c>
      <c r="L75" s="55">
        <v>6.4527422000000003</v>
      </c>
      <c r="M75" s="46">
        <v>1100000</v>
      </c>
      <c r="N75" s="48">
        <v>0</v>
      </c>
      <c r="O75" s="58">
        <v>6.3735499878204322</v>
      </c>
      <c r="P75" s="61">
        <v>-7.9192212179568067E-2</v>
      </c>
      <c r="Q75" s="13">
        <v>-379100.3159313291</v>
      </c>
      <c r="R75" s="41">
        <v>-13667.647318055229</v>
      </c>
      <c r="S75" s="38"/>
      <c r="U75" s="51">
        <v>-374979</v>
      </c>
    </row>
    <row r="76" spans="1:21" s="7" customFormat="1" x14ac:dyDescent="0.25">
      <c r="A76" s="90">
        <v>932627</v>
      </c>
      <c r="B76" s="45" t="s">
        <v>493</v>
      </c>
      <c r="C76" s="45"/>
      <c r="D76" s="45" t="s">
        <v>337</v>
      </c>
      <c r="E76" s="107">
        <v>44362</v>
      </c>
      <c r="F76" s="107">
        <v>44364</v>
      </c>
      <c r="G76" s="107">
        <v>44547</v>
      </c>
      <c r="H76" s="93" t="s">
        <v>4</v>
      </c>
      <c r="I76" s="64">
        <v>10000000</v>
      </c>
      <c r="J76" s="64" t="s">
        <v>0</v>
      </c>
      <c r="K76" s="66">
        <v>276250000</v>
      </c>
      <c r="L76" s="55">
        <v>27.625</v>
      </c>
      <c r="M76" s="46">
        <v>10000000</v>
      </c>
      <c r="N76" s="48">
        <v>4</v>
      </c>
      <c r="O76" s="58">
        <v>27.737084290307809</v>
      </c>
      <c r="P76" s="61">
        <v>0.11208327039682213</v>
      </c>
      <c r="Q76" s="13">
        <v>1120832.7039682213</v>
      </c>
      <c r="R76" s="41">
        <v>40409.214808343204</v>
      </c>
      <c r="S76" s="38"/>
      <c r="U76" s="51">
        <v>1119558</v>
      </c>
    </row>
    <row r="77" spans="1:21" s="7" customFormat="1" x14ac:dyDescent="0.25">
      <c r="A77" s="90">
        <v>932629</v>
      </c>
      <c r="B77" s="45" t="s">
        <v>493</v>
      </c>
      <c r="C77" s="45"/>
      <c r="D77" s="45" t="s">
        <v>337</v>
      </c>
      <c r="E77" s="107">
        <v>44362</v>
      </c>
      <c r="F77" s="107">
        <v>44364</v>
      </c>
      <c r="G77" s="107">
        <v>44547</v>
      </c>
      <c r="H77" s="93" t="s">
        <v>4</v>
      </c>
      <c r="I77" s="64">
        <v>10000000</v>
      </c>
      <c r="J77" s="64" t="s">
        <v>0</v>
      </c>
      <c r="K77" s="66">
        <v>276220000</v>
      </c>
      <c r="L77" s="55">
        <v>27.622</v>
      </c>
      <c r="M77" s="46">
        <v>10000000</v>
      </c>
      <c r="N77" s="48">
        <v>4</v>
      </c>
      <c r="O77" s="58">
        <v>27.737084290307809</v>
      </c>
      <c r="P77" s="61">
        <v>0.11508324309832257</v>
      </c>
      <c r="Q77" s="13">
        <v>1150832.4309832258</v>
      </c>
      <c r="R77" s="41">
        <v>41490.790505455756</v>
      </c>
      <c r="S77" s="38"/>
      <c r="U77" s="51">
        <v>1149558</v>
      </c>
    </row>
    <row r="78" spans="1:21" s="7" customFormat="1" x14ac:dyDescent="0.25">
      <c r="A78" s="90">
        <v>934552</v>
      </c>
      <c r="B78" s="45" t="s">
        <v>493</v>
      </c>
      <c r="C78" s="45"/>
      <c r="D78" s="45" t="s">
        <v>468</v>
      </c>
      <c r="E78" s="107">
        <v>44364</v>
      </c>
      <c r="F78" s="107">
        <v>43816</v>
      </c>
      <c r="G78" s="107">
        <v>44637</v>
      </c>
      <c r="H78" s="93" t="s">
        <v>0</v>
      </c>
      <c r="I78" s="64">
        <v>41650500</v>
      </c>
      <c r="J78" s="64" t="s">
        <v>4</v>
      </c>
      <c r="K78" s="66">
        <v>1500000</v>
      </c>
      <c r="L78" s="55">
        <v>27.766999999999999</v>
      </c>
      <c r="M78" s="46">
        <v>-1500000</v>
      </c>
      <c r="N78" s="48">
        <v>94</v>
      </c>
      <c r="O78" s="58">
        <v>27.728532407521048</v>
      </c>
      <c r="P78" s="61">
        <v>-3.8446405324915174E-2</v>
      </c>
      <c r="Q78" s="13">
        <v>57669.607987372758</v>
      </c>
      <c r="R78" s="41">
        <v>2079.1538012980423</v>
      </c>
      <c r="S78" s="38"/>
      <c r="U78" s="51">
        <v>54895</v>
      </c>
    </row>
    <row r="79" spans="1:21" s="7" customFormat="1" x14ac:dyDescent="0.25">
      <c r="A79" s="90">
        <v>937033</v>
      </c>
      <c r="B79" s="45" t="s">
        <v>493</v>
      </c>
      <c r="C79" s="45"/>
      <c r="D79" s="45" t="s">
        <v>468</v>
      </c>
      <c r="E79" s="107">
        <v>44368</v>
      </c>
      <c r="F79" s="107">
        <v>43909</v>
      </c>
      <c r="G79" s="107">
        <v>44641</v>
      </c>
      <c r="H79" s="93" t="s">
        <v>0</v>
      </c>
      <c r="I79" s="64">
        <v>33398400</v>
      </c>
      <c r="J79" s="64" t="s">
        <v>4</v>
      </c>
      <c r="K79" s="66">
        <v>1200000</v>
      </c>
      <c r="L79" s="55">
        <v>27.832000000000001</v>
      </c>
      <c r="M79" s="46">
        <v>-1200000</v>
      </c>
      <c r="N79" s="48">
        <v>98</v>
      </c>
      <c r="O79" s="58">
        <v>27.727798764257752</v>
      </c>
      <c r="P79" s="61">
        <v>-0.10414245417439999</v>
      </c>
      <c r="Q79" s="13">
        <v>124970.94500927998</v>
      </c>
      <c r="R79" s="41">
        <v>4505.5588972400483</v>
      </c>
      <c r="S79" s="38"/>
      <c r="U79" s="51">
        <v>122652</v>
      </c>
    </row>
    <row r="80" spans="1:21" s="7" customFormat="1" x14ac:dyDescent="0.25">
      <c r="A80" s="90">
        <v>937315</v>
      </c>
      <c r="B80" s="45" t="s">
        <v>493</v>
      </c>
      <c r="C80" s="45"/>
      <c r="D80" s="45" t="s">
        <v>467</v>
      </c>
      <c r="E80" s="107">
        <v>44368</v>
      </c>
      <c r="F80" s="107">
        <v>42691</v>
      </c>
      <c r="G80" s="107">
        <v>44553</v>
      </c>
      <c r="H80" s="93" t="s">
        <v>4</v>
      </c>
      <c r="I80" s="64">
        <v>17000000</v>
      </c>
      <c r="J80" s="64" t="s">
        <v>0</v>
      </c>
      <c r="K80" s="66">
        <v>473722000</v>
      </c>
      <c r="L80" s="55">
        <v>27.866</v>
      </c>
      <c r="M80" s="46">
        <v>17000000</v>
      </c>
      <c r="N80" s="48">
        <v>10</v>
      </c>
      <c r="O80" s="58">
        <v>27.736989594575089</v>
      </c>
      <c r="P80" s="61">
        <v>-0.12900760659930241</v>
      </c>
      <c r="Q80" s="13">
        <v>-2193129.312188141</v>
      </c>
      <c r="R80" s="41">
        <v>-79068.564973990331</v>
      </c>
      <c r="S80" s="38"/>
      <c r="U80" s="51">
        <v>-2196251</v>
      </c>
    </row>
    <row r="81" spans="1:21" s="7" customFormat="1" x14ac:dyDescent="0.25">
      <c r="A81" s="90">
        <v>942567</v>
      </c>
      <c r="B81" s="45" t="s">
        <v>493</v>
      </c>
      <c r="C81" s="45"/>
      <c r="D81" s="45" t="s">
        <v>472</v>
      </c>
      <c r="E81" s="107">
        <v>44375</v>
      </c>
      <c r="F81" s="107">
        <v>44375</v>
      </c>
      <c r="G81" s="107">
        <v>44589</v>
      </c>
      <c r="H81" s="93" t="s">
        <v>0</v>
      </c>
      <c r="I81" s="64">
        <v>44704000</v>
      </c>
      <c r="J81" s="64" t="s">
        <v>4</v>
      </c>
      <c r="K81" s="66">
        <v>1600000</v>
      </c>
      <c r="L81" s="55">
        <v>27.94</v>
      </c>
      <c r="M81" s="46">
        <v>-1600000</v>
      </c>
      <c r="N81" s="48">
        <v>46</v>
      </c>
      <c r="O81" s="58">
        <v>27.733899681531422</v>
      </c>
      <c r="P81" s="61">
        <v>-0.20609119782255952</v>
      </c>
      <c r="Q81" s="13">
        <v>329745.91651609523</v>
      </c>
      <c r="R81" s="41">
        <v>11888.280494936995</v>
      </c>
      <c r="S81" s="38"/>
      <c r="U81" s="51">
        <v>329200</v>
      </c>
    </row>
    <row r="82" spans="1:21" s="7" customFormat="1" x14ac:dyDescent="0.25">
      <c r="A82" s="90">
        <v>948334</v>
      </c>
      <c r="B82" s="45" t="s">
        <v>493</v>
      </c>
      <c r="C82" s="45"/>
      <c r="D82" s="45" t="s">
        <v>469</v>
      </c>
      <c r="E82" s="107">
        <v>44383</v>
      </c>
      <c r="F82" s="107">
        <v>44201</v>
      </c>
      <c r="G82" s="107">
        <v>44567</v>
      </c>
      <c r="H82" s="93" t="s">
        <v>0</v>
      </c>
      <c r="I82" s="64">
        <v>13960000</v>
      </c>
      <c r="J82" s="64" t="s">
        <v>4</v>
      </c>
      <c r="K82" s="66">
        <v>500000</v>
      </c>
      <c r="L82" s="55">
        <v>27.92</v>
      </c>
      <c r="M82" s="46">
        <v>-500000</v>
      </c>
      <c r="N82" s="48">
        <v>24</v>
      </c>
      <c r="O82" s="58">
        <v>27.73613739547778</v>
      </c>
      <c r="P82" s="61">
        <v>-0.18385411667840351</v>
      </c>
      <c r="Q82" s="13">
        <v>91927.058339201758</v>
      </c>
      <c r="R82" s="41">
        <v>3314.2325647496659</v>
      </c>
      <c r="S82" s="38"/>
      <c r="U82" s="51">
        <v>96008</v>
      </c>
    </row>
    <row r="83" spans="1:21" s="7" customFormat="1" x14ac:dyDescent="0.25">
      <c r="A83" s="90">
        <v>948337</v>
      </c>
      <c r="B83" s="45" t="s">
        <v>493</v>
      </c>
      <c r="C83" s="45"/>
      <c r="D83" s="45" t="s">
        <v>469</v>
      </c>
      <c r="E83" s="107">
        <v>44383</v>
      </c>
      <c r="F83" s="107">
        <v>44201</v>
      </c>
      <c r="G83" s="107">
        <v>44567</v>
      </c>
      <c r="H83" s="93" t="s">
        <v>0</v>
      </c>
      <c r="I83" s="64">
        <v>13960000</v>
      </c>
      <c r="J83" s="64" t="s">
        <v>4</v>
      </c>
      <c r="K83" s="66">
        <v>500000</v>
      </c>
      <c r="L83" s="55">
        <v>27.92</v>
      </c>
      <c r="M83" s="46">
        <v>-500000</v>
      </c>
      <c r="N83" s="48">
        <v>24</v>
      </c>
      <c r="O83" s="58">
        <v>27.73613739547778</v>
      </c>
      <c r="P83" s="61">
        <v>-0.18385411667840351</v>
      </c>
      <c r="Q83" s="13">
        <v>91927.058339201758</v>
      </c>
      <c r="R83" s="41">
        <v>3314.2325647496659</v>
      </c>
      <c r="S83" s="38"/>
      <c r="U83" s="51">
        <v>96008</v>
      </c>
    </row>
    <row r="84" spans="1:21" s="7" customFormat="1" x14ac:dyDescent="0.25">
      <c r="A84" s="90">
        <v>948340</v>
      </c>
      <c r="B84" s="45" t="s">
        <v>493</v>
      </c>
      <c r="C84" s="45"/>
      <c r="D84" s="45" t="s">
        <v>469</v>
      </c>
      <c r="E84" s="107">
        <v>44383</v>
      </c>
      <c r="F84" s="107">
        <v>44201</v>
      </c>
      <c r="G84" s="107">
        <v>44567</v>
      </c>
      <c r="H84" s="93" t="s">
        <v>0</v>
      </c>
      <c r="I84" s="64">
        <v>11168000</v>
      </c>
      <c r="J84" s="64" t="s">
        <v>4</v>
      </c>
      <c r="K84" s="66">
        <v>400000</v>
      </c>
      <c r="L84" s="55">
        <v>27.92</v>
      </c>
      <c r="M84" s="46">
        <v>-400000</v>
      </c>
      <c r="N84" s="48">
        <v>24</v>
      </c>
      <c r="O84" s="58">
        <v>27.73613739547778</v>
      </c>
      <c r="P84" s="61">
        <v>-0.18385411667840351</v>
      </c>
      <c r="Q84" s="13">
        <v>73541.646671361406</v>
      </c>
      <c r="R84" s="41">
        <v>2651.3860517997327</v>
      </c>
      <c r="S84" s="38"/>
      <c r="U84" s="51">
        <v>76807</v>
      </c>
    </row>
    <row r="85" spans="1:21" s="7" customFormat="1" x14ac:dyDescent="0.25">
      <c r="A85" s="90">
        <v>950540</v>
      </c>
      <c r="B85" s="45" t="s">
        <v>493</v>
      </c>
      <c r="C85" s="45"/>
      <c r="D85" s="45" t="s">
        <v>467</v>
      </c>
      <c r="E85" s="107">
        <v>44385</v>
      </c>
      <c r="F85" s="107">
        <v>42585</v>
      </c>
      <c r="G85" s="107">
        <v>44573</v>
      </c>
      <c r="H85" s="93" t="s">
        <v>4</v>
      </c>
      <c r="I85" s="64">
        <v>20000000</v>
      </c>
      <c r="J85" s="64" t="s">
        <v>0</v>
      </c>
      <c r="K85" s="66">
        <v>560040000</v>
      </c>
      <c r="L85" s="55">
        <v>28.001999999999999</v>
      </c>
      <c r="M85" s="46">
        <v>20000000</v>
      </c>
      <c r="N85" s="48">
        <v>30</v>
      </c>
      <c r="O85" s="58">
        <v>27.735501674671418</v>
      </c>
      <c r="P85" s="61">
        <v>-0.26648378970502296</v>
      </c>
      <c r="Q85" s="13">
        <v>-5329675.7941004587</v>
      </c>
      <c r="R85" s="41">
        <v>-192150.00888191327</v>
      </c>
      <c r="S85" s="38"/>
      <c r="U85" s="51">
        <v>-5374816</v>
      </c>
    </row>
    <row r="86" spans="1:21" s="7" customFormat="1" x14ac:dyDescent="0.25">
      <c r="A86" s="90">
        <v>951571</v>
      </c>
      <c r="B86" s="45" t="s">
        <v>493</v>
      </c>
      <c r="C86" s="45"/>
      <c r="D86" s="45" t="s">
        <v>470</v>
      </c>
      <c r="E86" s="107">
        <v>44386</v>
      </c>
      <c r="F86" s="107">
        <v>43628</v>
      </c>
      <c r="G86" s="107">
        <v>44755</v>
      </c>
      <c r="H86" s="93" t="s">
        <v>0</v>
      </c>
      <c r="I86" s="64">
        <v>560100000</v>
      </c>
      <c r="J86" s="64" t="s">
        <v>4</v>
      </c>
      <c r="K86" s="66">
        <v>20000000</v>
      </c>
      <c r="L86" s="55">
        <v>28.004999999999999</v>
      </c>
      <c r="M86" s="46">
        <v>-20000000</v>
      </c>
      <c r="N86" s="48">
        <v>212</v>
      </c>
      <c r="O86" s="58">
        <v>27.694442300206457</v>
      </c>
      <c r="P86" s="61">
        <v>-0.31034412428227803</v>
      </c>
      <c r="Q86" s="13">
        <v>6206882.4856455605</v>
      </c>
      <c r="R86" s="41">
        <v>223775.81129155378</v>
      </c>
      <c r="S86" s="38"/>
      <c r="U86" s="51">
        <v>6163481</v>
      </c>
    </row>
    <row r="87" spans="1:21" s="7" customFormat="1" x14ac:dyDescent="0.25">
      <c r="A87" s="90">
        <v>951617</v>
      </c>
      <c r="B87" s="45" t="s">
        <v>493</v>
      </c>
      <c r="C87" s="45"/>
      <c r="D87" s="45" t="s">
        <v>465</v>
      </c>
      <c r="E87" s="107">
        <v>44386</v>
      </c>
      <c r="F87" s="107">
        <v>44390</v>
      </c>
      <c r="G87" s="107">
        <v>44755</v>
      </c>
      <c r="H87" s="93" t="s">
        <v>4</v>
      </c>
      <c r="I87" s="64">
        <v>10000000</v>
      </c>
      <c r="J87" s="64" t="s">
        <v>0</v>
      </c>
      <c r="K87" s="66">
        <v>279735000</v>
      </c>
      <c r="L87" s="55">
        <v>27.973500000000001</v>
      </c>
      <c r="M87" s="46">
        <v>10000000</v>
      </c>
      <c r="N87" s="48">
        <v>212</v>
      </c>
      <c r="O87" s="58">
        <v>27.694442300206457</v>
      </c>
      <c r="P87" s="61">
        <v>-0.27886578733751705</v>
      </c>
      <c r="Q87" s="13">
        <v>-2788657.8733751709</v>
      </c>
      <c r="R87" s="41">
        <v>-100539.06763536925</v>
      </c>
      <c r="S87" s="38"/>
      <c r="U87" s="51">
        <v>-2766999</v>
      </c>
    </row>
    <row r="88" spans="1:21" s="7" customFormat="1" x14ac:dyDescent="0.25">
      <c r="A88" s="90">
        <v>951688</v>
      </c>
      <c r="B88" s="45" t="s">
        <v>493</v>
      </c>
      <c r="C88" s="45"/>
      <c r="D88" s="45" t="s">
        <v>462</v>
      </c>
      <c r="E88" s="107">
        <v>44386</v>
      </c>
      <c r="F88" s="107">
        <v>43934</v>
      </c>
      <c r="G88" s="107">
        <v>44558</v>
      </c>
      <c r="H88" s="93" t="s">
        <v>0</v>
      </c>
      <c r="I88" s="64">
        <v>26676950</v>
      </c>
      <c r="J88" s="64" t="s">
        <v>4</v>
      </c>
      <c r="K88" s="66">
        <v>950000</v>
      </c>
      <c r="L88" s="55">
        <v>28.081</v>
      </c>
      <c r="M88" s="46">
        <v>-950000</v>
      </c>
      <c r="N88" s="48">
        <v>15</v>
      </c>
      <c r="O88" s="58">
        <v>27.736786682171044</v>
      </c>
      <c r="P88" s="61">
        <v>-0.34420257004412258</v>
      </c>
      <c r="Q88" s="13">
        <v>326992.44154191646</v>
      </c>
      <c r="R88" s="41">
        <v>11789.009871134656</v>
      </c>
      <c r="S88" s="38"/>
      <c r="U88" s="51">
        <v>327203</v>
      </c>
    </row>
    <row r="89" spans="1:21" s="7" customFormat="1" x14ac:dyDescent="0.25">
      <c r="A89" s="90">
        <v>951691</v>
      </c>
      <c r="B89" s="45" t="s">
        <v>493</v>
      </c>
      <c r="C89" s="45"/>
      <c r="D89" s="45" t="s">
        <v>462</v>
      </c>
      <c r="E89" s="107">
        <v>44386</v>
      </c>
      <c r="F89" s="107">
        <v>43934</v>
      </c>
      <c r="G89" s="107">
        <v>44558</v>
      </c>
      <c r="H89" s="93" t="s">
        <v>0</v>
      </c>
      <c r="I89" s="64">
        <v>26676950</v>
      </c>
      <c r="J89" s="64" t="s">
        <v>4</v>
      </c>
      <c r="K89" s="66">
        <v>950000</v>
      </c>
      <c r="L89" s="55">
        <v>28.081</v>
      </c>
      <c r="M89" s="46">
        <v>-950000</v>
      </c>
      <c r="N89" s="48">
        <v>15</v>
      </c>
      <c r="O89" s="58">
        <v>27.736786682171044</v>
      </c>
      <c r="P89" s="61">
        <v>-0.34420257004412258</v>
      </c>
      <c r="Q89" s="13">
        <v>326992.44154191646</v>
      </c>
      <c r="R89" s="41">
        <v>11789.009871134656</v>
      </c>
      <c r="S89" s="38"/>
      <c r="U89" s="51">
        <v>327203</v>
      </c>
    </row>
    <row r="90" spans="1:21" s="7" customFormat="1" x14ac:dyDescent="0.25">
      <c r="A90" s="90">
        <v>951697</v>
      </c>
      <c r="B90" s="45" t="s">
        <v>493</v>
      </c>
      <c r="C90" s="45"/>
      <c r="D90" s="45" t="s">
        <v>463</v>
      </c>
      <c r="E90" s="107">
        <v>44386</v>
      </c>
      <c r="F90" s="107">
        <v>44390</v>
      </c>
      <c r="G90" s="107">
        <v>44755</v>
      </c>
      <c r="H90" s="93" t="s">
        <v>4</v>
      </c>
      <c r="I90" s="64">
        <v>10000000</v>
      </c>
      <c r="J90" s="64" t="s">
        <v>0</v>
      </c>
      <c r="K90" s="66">
        <v>279745000</v>
      </c>
      <c r="L90" s="55">
        <v>27.974499999999999</v>
      </c>
      <c r="M90" s="46">
        <v>10000000</v>
      </c>
      <c r="N90" s="48">
        <v>212</v>
      </c>
      <c r="O90" s="58">
        <v>27.694442300206457</v>
      </c>
      <c r="P90" s="61">
        <v>-0.27986509962147549</v>
      </c>
      <c r="Q90" s="13">
        <v>-2798650.9962147549</v>
      </c>
      <c r="R90" s="41">
        <v>-100899.34820712742</v>
      </c>
      <c r="S90" s="38"/>
      <c r="U90" s="51">
        <v>-2776991</v>
      </c>
    </row>
    <row r="91" spans="1:21" s="7" customFormat="1" ht="15.75" customHeight="1" x14ac:dyDescent="0.25">
      <c r="A91" s="90">
        <v>952861</v>
      </c>
      <c r="B91" s="45" t="s">
        <v>493</v>
      </c>
      <c r="C91" s="45"/>
      <c r="D91" s="45" t="s">
        <v>467</v>
      </c>
      <c r="E91" s="107">
        <v>44389</v>
      </c>
      <c r="F91" s="107">
        <v>42367</v>
      </c>
      <c r="G91" s="107">
        <v>44575</v>
      </c>
      <c r="H91" s="93" t="s">
        <v>4</v>
      </c>
      <c r="I91" s="64">
        <v>21613700</v>
      </c>
      <c r="J91" s="64" t="s">
        <v>0</v>
      </c>
      <c r="K91" s="66">
        <v>605442964.39999998</v>
      </c>
      <c r="L91" s="55">
        <v>28.012</v>
      </c>
      <c r="M91" s="46">
        <v>21613700</v>
      </c>
      <c r="N91" s="48">
        <v>32</v>
      </c>
      <c r="O91" s="58">
        <v>27.735330806789836</v>
      </c>
      <c r="P91" s="61">
        <v>-0.27665404421835421</v>
      </c>
      <c r="Q91" s="13">
        <v>-5979517.5155222425</v>
      </c>
      <c r="R91" s="41">
        <v>-215578.65583286886</v>
      </c>
      <c r="S91" s="38"/>
      <c r="U91" s="51">
        <v>-5986674</v>
      </c>
    </row>
    <row r="92" spans="1:21" s="7" customFormat="1" x14ac:dyDescent="0.25">
      <c r="A92" s="90">
        <v>955797</v>
      </c>
      <c r="B92" s="45" t="s">
        <v>493</v>
      </c>
      <c r="C92" s="45"/>
      <c r="D92" s="45" t="s">
        <v>462</v>
      </c>
      <c r="E92" s="107">
        <v>44392</v>
      </c>
      <c r="F92" s="107">
        <v>43937</v>
      </c>
      <c r="G92" s="107">
        <v>44560</v>
      </c>
      <c r="H92" s="93" t="s">
        <v>0</v>
      </c>
      <c r="I92" s="64">
        <v>26637050</v>
      </c>
      <c r="J92" s="64" t="s">
        <v>4</v>
      </c>
      <c r="K92" s="66">
        <v>950000</v>
      </c>
      <c r="L92" s="55">
        <v>28.039000000000001</v>
      </c>
      <c r="M92" s="46">
        <v>-950000</v>
      </c>
      <c r="N92" s="48">
        <v>17</v>
      </c>
      <c r="O92" s="58">
        <v>27.73667395550137</v>
      </c>
      <c r="P92" s="61">
        <v>-0.30231552654485477</v>
      </c>
      <c r="Q92" s="13">
        <v>287199.75021761202</v>
      </c>
      <c r="R92" s="41">
        <v>10354.369887992709</v>
      </c>
      <c r="S92" s="38"/>
      <c r="U92" s="51">
        <v>290111</v>
      </c>
    </row>
    <row r="93" spans="1:21" s="7" customFormat="1" x14ac:dyDescent="0.25">
      <c r="A93" s="90">
        <v>965615</v>
      </c>
      <c r="B93" s="45" t="s">
        <v>493</v>
      </c>
      <c r="C93" s="45"/>
      <c r="D93" s="45" t="s">
        <v>462</v>
      </c>
      <c r="E93" s="107">
        <v>44405</v>
      </c>
      <c r="F93" s="107">
        <v>44225</v>
      </c>
      <c r="G93" s="107">
        <v>44560</v>
      </c>
      <c r="H93" s="93" t="s">
        <v>0</v>
      </c>
      <c r="I93" s="64">
        <v>22429600</v>
      </c>
      <c r="J93" s="64" t="s">
        <v>4</v>
      </c>
      <c r="K93" s="66">
        <v>800000</v>
      </c>
      <c r="L93" s="55">
        <v>28.036999999999999</v>
      </c>
      <c r="M93" s="46">
        <v>-800000</v>
      </c>
      <c r="N93" s="48">
        <v>17</v>
      </c>
      <c r="O93" s="58">
        <v>27.73667395550137</v>
      </c>
      <c r="P93" s="61">
        <v>-0.30031559612505537</v>
      </c>
      <c r="Q93" s="13">
        <v>240252.4769000443</v>
      </c>
      <c r="R93" s="41">
        <v>8661.786824133982</v>
      </c>
      <c r="S93" s="38"/>
      <c r="U93" s="51">
        <v>242704</v>
      </c>
    </row>
    <row r="94" spans="1:21" s="7" customFormat="1" x14ac:dyDescent="0.25">
      <c r="A94" s="90">
        <v>966967</v>
      </c>
      <c r="B94" s="45" t="s">
        <v>493</v>
      </c>
      <c r="C94" s="45"/>
      <c r="D94" s="45" t="s">
        <v>472</v>
      </c>
      <c r="E94" s="107">
        <v>44406</v>
      </c>
      <c r="F94" s="107">
        <v>44406</v>
      </c>
      <c r="G94" s="107">
        <v>44589</v>
      </c>
      <c r="H94" s="93" t="s">
        <v>0</v>
      </c>
      <c r="I94" s="64">
        <v>39195800</v>
      </c>
      <c r="J94" s="64" t="s">
        <v>4</v>
      </c>
      <c r="K94" s="66">
        <v>1400000</v>
      </c>
      <c r="L94" s="55">
        <v>27.997</v>
      </c>
      <c r="M94" s="46">
        <v>-1400000</v>
      </c>
      <c r="N94" s="48">
        <v>46</v>
      </c>
      <c r="O94" s="58">
        <v>27.733899681531422</v>
      </c>
      <c r="P94" s="61">
        <v>-0.26308867537704733</v>
      </c>
      <c r="Q94" s="13">
        <v>368324.14552786626</v>
      </c>
      <c r="R94" s="41">
        <v>13279.135648915722</v>
      </c>
      <c r="S94" s="38"/>
      <c r="U94" s="51">
        <v>367845</v>
      </c>
    </row>
    <row r="95" spans="1:21" s="7" customFormat="1" x14ac:dyDescent="0.25">
      <c r="A95" s="90">
        <v>970167</v>
      </c>
      <c r="B95" s="45" t="s">
        <v>493</v>
      </c>
      <c r="C95" s="45"/>
      <c r="D95" s="45" t="s">
        <v>473</v>
      </c>
      <c r="E95" s="107">
        <v>44410</v>
      </c>
      <c r="F95" s="107">
        <v>44412</v>
      </c>
      <c r="G95" s="107">
        <v>44599</v>
      </c>
      <c r="H95" s="93" t="s">
        <v>3</v>
      </c>
      <c r="I95" s="64">
        <v>6563290</v>
      </c>
      <c r="J95" s="64" t="s">
        <v>4</v>
      </c>
      <c r="K95" s="66">
        <v>1000000</v>
      </c>
      <c r="L95" s="55">
        <v>6.5632900000000003</v>
      </c>
      <c r="M95" s="46">
        <v>-1000000</v>
      </c>
      <c r="N95" s="48">
        <v>56</v>
      </c>
      <c r="O95" s="58">
        <v>6.3952404241652623</v>
      </c>
      <c r="P95" s="61">
        <v>-0.16744884737553775</v>
      </c>
      <c r="Q95" s="13">
        <v>728720.77139080747</v>
      </c>
      <c r="R95" s="41">
        <v>26272.461610174076</v>
      </c>
      <c r="S95" s="38"/>
      <c r="U95" s="51">
        <v>715125</v>
      </c>
    </row>
    <row r="96" spans="1:21" s="7" customFormat="1" x14ac:dyDescent="0.25">
      <c r="A96" s="90">
        <v>970170</v>
      </c>
      <c r="B96" s="45" t="s">
        <v>493</v>
      </c>
      <c r="C96" s="45"/>
      <c r="D96" s="45" t="s">
        <v>474</v>
      </c>
      <c r="E96" s="107">
        <v>44410</v>
      </c>
      <c r="F96" s="107">
        <v>44411</v>
      </c>
      <c r="G96" s="107">
        <v>44599</v>
      </c>
      <c r="H96" s="93" t="s">
        <v>0</v>
      </c>
      <c r="I96" s="64">
        <v>27690000</v>
      </c>
      <c r="J96" s="64" t="s">
        <v>3</v>
      </c>
      <c r="K96" s="66">
        <v>6500000</v>
      </c>
      <c r="L96" s="55">
        <v>0.23474178403755869</v>
      </c>
      <c r="M96" s="46">
        <v>-6500000</v>
      </c>
      <c r="N96" s="48">
        <v>56</v>
      </c>
      <c r="O96" s="58">
        <v>27.732625618236714</v>
      </c>
      <c r="P96" s="61">
        <v>27.49722632853361</v>
      </c>
      <c r="Q96" s="13"/>
      <c r="R96" s="41">
        <v>-6443797.1779029379</v>
      </c>
      <c r="S96" s="38"/>
      <c r="U96" s="51"/>
    </row>
    <row r="97" spans="1:21" s="7" customFormat="1" x14ac:dyDescent="0.25">
      <c r="A97" s="90">
        <v>975381</v>
      </c>
      <c r="B97" s="45" t="s">
        <v>493</v>
      </c>
      <c r="C97" s="45"/>
      <c r="D97" s="45" t="s">
        <v>475</v>
      </c>
      <c r="E97" s="107">
        <v>44417</v>
      </c>
      <c r="F97" s="107">
        <v>44419</v>
      </c>
      <c r="G97" s="107">
        <v>44603</v>
      </c>
      <c r="H97" s="93" t="s">
        <v>4</v>
      </c>
      <c r="I97" s="64">
        <v>10000000</v>
      </c>
      <c r="J97" s="64" t="s">
        <v>0</v>
      </c>
      <c r="K97" s="66">
        <v>278265000</v>
      </c>
      <c r="L97" s="55">
        <v>27.826499999999999</v>
      </c>
      <c r="M97" s="46">
        <v>10000000</v>
      </c>
      <c r="N97" s="48">
        <v>60</v>
      </c>
      <c r="O97" s="58">
        <v>27.732057233700473</v>
      </c>
      <c r="P97" s="61">
        <v>-9.444155954462656E-2</v>
      </c>
      <c r="Q97" s="13">
        <v>-944415.59544626577</v>
      </c>
      <c r="R97" s="41">
        <v>-34048.875028025177</v>
      </c>
      <c r="S97" s="38"/>
      <c r="U97" s="51">
        <v>-932513</v>
      </c>
    </row>
    <row r="98" spans="1:21" s="7" customFormat="1" x14ac:dyDescent="0.25">
      <c r="A98" s="90">
        <v>975422</v>
      </c>
      <c r="B98" s="45" t="s">
        <v>493</v>
      </c>
      <c r="C98" s="45"/>
      <c r="D98" s="45" t="s">
        <v>476</v>
      </c>
      <c r="E98" s="107">
        <v>44417</v>
      </c>
      <c r="F98" s="107">
        <v>44298</v>
      </c>
      <c r="G98" s="107">
        <v>44784</v>
      </c>
      <c r="H98" s="93" t="s">
        <v>4</v>
      </c>
      <c r="I98" s="64">
        <v>20000000</v>
      </c>
      <c r="J98" s="64" t="s">
        <v>0</v>
      </c>
      <c r="K98" s="66">
        <v>556430000</v>
      </c>
      <c r="L98" s="55">
        <v>27.8215</v>
      </c>
      <c r="M98" s="46">
        <v>20000000</v>
      </c>
      <c r="N98" s="48">
        <v>241</v>
      </c>
      <c r="O98" s="58">
        <v>27.682279308539076</v>
      </c>
      <c r="P98" s="61">
        <v>-0.13912403015904573</v>
      </c>
      <c r="Q98" s="13">
        <v>-2782480.6031809147</v>
      </c>
      <c r="R98" s="41">
        <v>-100316.35943161583</v>
      </c>
      <c r="S98" s="38"/>
      <c r="U98" s="51">
        <v>-2737862</v>
      </c>
    </row>
    <row r="99" spans="1:21" s="7" customFormat="1" x14ac:dyDescent="0.25">
      <c r="A99" s="90">
        <v>977179</v>
      </c>
      <c r="B99" s="45" t="s">
        <v>493</v>
      </c>
      <c r="C99" s="45"/>
      <c r="D99" s="45" t="s">
        <v>472</v>
      </c>
      <c r="E99" s="107">
        <v>44419</v>
      </c>
      <c r="F99" s="107">
        <v>44419</v>
      </c>
      <c r="G99" s="107">
        <v>44606</v>
      </c>
      <c r="H99" s="93" t="s">
        <v>0</v>
      </c>
      <c r="I99" s="64">
        <v>55790000</v>
      </c>
      <c r="J99" s="64" t="s">
        <v>4</v>
      </c>
      <c r="K99" s="66">
        <v>2000000</v>
      </c>
      <c r="L99" s="55">
        <v>27.895</v>
      </c>
      <c r="M99" s="46">
        <v>-2000000</v>
      </c>
      <c r="N99" s="48">
        <v>63</v>
      </c>
      <c r="O99" s="58">
        <v>27.731784637169284</v>
      </c>
      <c r="P99" s="61">
        <v>-0.16320725820181547</v>
      </c>
      <c r="Q99" s="13">
        <v>326414.51640363096</v>
      </c>
      <c r="R99" s="41">
        <v>11768.174022061517</v>
      </c>
      <c r="S99" s="38"/>
      <c r="U99" s="51">
        <v>323981</v>
      </c>
    </row>
    <row r="100" spans="1:21" s="7" customFormat="1" x14ac:dyDescent="0.25">
      <c r="A100" s="90">
        <v>977213</v>
      </c>
      <c r="B100" s="45" t="s">
        <v>493</v>
      </c>
      <c r="C100" s="45"/>
      <c r="D100" s="45" t="s">
        <v>475</v>
      </c>
      <c r="E100" s="107">
        <v>44419</v>
      </c>
      <c r="F100" s="107">
        <v>44421</v>
      </c>
      <c r="G100" s="107">
        <v>44606</v>
      </c>
      <c r="H100" s="93" t="s">
        <v>4</v>
      </c>
      <c r="I100" s="64">
        <v>10000000</v>
      </c>
      <c r="J100" s="64" t="s">
        <v>0</v>
      </c>
      <c r="K100" s="66">
        <v>278155000</v>
      </c>
      <c r="L100" s="55">
        <v>27.8155</v>
      </c>
      <c r="M100" s="46">
        <v>10000000</v>
      </c>
      <c r="N100" s="48">
        <v>63</v>
      </c>
      <c r="O100" s="58">
        <v>27.731784637169284</v>
      </c>
      <c r="P100" s="61">
        <v>-8.3711205857149446E-2</v>
      </c>
      <c r="Q100" s="13">
        <v>-837112.05857149442</v>
      </c>
      <c r="R100" s="41">
        <v>-30180.27656911498</v>
      </c>
      <c r="S100" s="38"/>
      <c r="U100" s="51">
        <v>-824951</v>
      </c>
    </row>
    <row r="101" spans="1:21" s="7" customFormat="1" x14ac:dyDescent="0.25">
      <c r="A101" s="90">
        <v>978129</v>
      </c>
      <c r="B101" s="45" t="s">
        <v>493</v>
      </c>
      <c r="C101" s="45"/>
      <c r="D101" s="45" t="s">
        <v>458</v>
      </c>
      <c r="E101" s="107">
        <v>44420</v>
      </c>
      <c r="F101" s="107">
        <v>44424</v>
      </c>
      <c r="G101" s="107">
        <v>44546</v>
      </c>
      <c r="H101" s="93" t="s">
        <v>4</v>
      </c>
      <c r="I101" s="64">
        <v>368429</v>
      </c>
      <c r="J101" s="64" t="s">
        <v>6</v>
      </c>
      <c r="K101" s="66">
        <v>500000</v>
      </c>
      <c r="L101" s="55">
        <v>1.357113582264154</v>
      </c>
      <c r="M101" s="46">
        <v>368429</v>
      </c>
      <c r="N101" s="48">
        <v>3</v>
      </c>
      <c r="O101" s="58">
        <v>1.3986257760158425</v>
      </c>
      <c r="P101" s="61">
        <v>4.1511608408963827E-2</v>
      </c>
      <c r="Q101" s="13">
        <v>303309.33975760685</v>
      </c>
      <c r="R101" s="41">
        <v>10935.166524182177</v>
      </c>
      <c r="S101" s="38"/>
      <c r="U101" s="51">
        <v>303147</v>
      </c>
    </row>
    <row r="102" spans="1:21" s="7" customFormat="1" x14ac:dyDescent="0.25">
      <c r="A102" s="90">
        <v>981110</v>
      </c>
      <c r="B102" s="45" t="s">
        <v>493</v>
      </c>
      <c r="C102" s="45"/>
      <c r="D102" s="45" t="s">
        <v>466</v>
      </c>
      <c r="E102" s="107">
        <v>44425</v>
      </c>
      <c r="F102" s="107">
        <v>44427</v>
      </c>
      <c r="G102" s="107">
        <v>44614</v>
      </c>
      <c r="H102" s="93" t="s">
        <v>4</v>
      </c>
      <c r="I102" s="64">
        <v>10000000</v>
      </c>
      <c r="J102" s="64" t="s">
        <v>0</v>
      </c>
      <c r="K102" s="66">
        <v>278498000</v>
      </c>
      <c r="L102" s="55">
        <v>27.849799999999998</v>
      </c>
      <c r="M102" s="46">
        <v>10000000</v>
      </c>
      <c r="N102" s="48">
        <v>71</v>
      </c>
      <c r="O102" s="58">
        <v>27.731047307295217</v>
      </c>
      <c r="P102" s="61">
        <v>-0.11873311580171669</v>
      </c>
      <c r="Q102" s="13">
        <v>-1187331.1580171669</v>
      </c>
      <c r="R102" s="41">
        <v>-42806.673683849724</v>
      </c>
      <c r="S102" s="38"/>
      <c r="U102" s="51">
        <v>-1183371</v>
      </c>
    </row>
    <row r="103" spans="1:21" s="7" customFormat="1" x14ac:dyDescent="0.25">
      <c r="A103" s="90">
        <v>981166</v>
      </c>
      <c r="B103" s="45" t="s">
        <v>493</v>
      </c>
      <c r="C103" s="45"/>
      <c r="D103" s="45" t="s">
        <v>477</v>
      </c>
      <c r="E103" s="107">
        <v>44425</v>
      </c>
      <c r="F103" s="107">
        <v>44427</v>
      </c>
      <c r="G103" s="107">
        <v>44550</v>
      </c>
      <c r="H103" s="93" t="s">
        <v>4</v>
      </c>
      <c r="I103" s="64">
        <v>10000000</v>
      </c>
      <c r="J103" s="64" t="s">
        <v>0</v>
      </c>
      <c r="K103" s="66">
        <v>278657000</v>
      </c>
      <c r="L103" s="55">
        <v>27.8657</v>
      </c>
      <c r="M103" s="46">
        <v>10000000</v>
      </c>
      <c r="N103" s="48">
        <v>7</v>
      </c>
      <c r="O103" s="58">
        <v>27.737057233823201</v>
      </c>
      <c r="P103" s="61">
        <v>-0.12864076511824174</v>
      </c>
      <c r="Q103" s="13">
        <v>-1286407.6511824173</v>
      </c>
      <c r="R103" s="41">
        <v>-46378.663759261959</v>
      </c>
      <c r="S103" s="38"/>
      <c r="U103" s="51">
        <v>-1287835</v>
      </c>
    </row>
    <row r="104" spans="1:21" s="7" customFormat="1" x14ac:dyDescent="0.25">
      <c r="A104" s="90">
        <v>984092</v>
      </c>
      <c r="B104" s="45" t="s">
        <v>493</v>
      </c>
      <c r="C104" s="45"/>
      <c r="D104" s="45" t="s">
        <v>467</v>
      </c>
      <c r="E104" s="107">
        <v>44428</v>
      </c>
      <c r="F104" s="107">
        <v>42626</v>
      </c>
      <c r="G104" s="107">
        <v>44616</v>
      </c>
      <c r="H104" s="93" t="s">
        <v>4</v>
      </c>
      <c r="I104" s="64">
        <v>20000000</v>
      </c>
      <c r="J104" s="64" t="s">
        <v>0</v>
      </c>
      <c r="K104" s="66">
        <v>559680000</v>
      </c>
      <c r="L104" s="55">
        <v>27.984000000000002</v>
      </c>
      <c r="M104" s="46">
        <v>20000000</v>
      </c>
      <c r="N104" s="48">
        <v>73</v>
      </c>
      <c r="O104" s="58">
        <v>27.730860615110618</v>
      </c>
      <c r="P104" s="61">
        <v>-0.2530893940510458</v>
      </c>
      <c r="Q104" s="13">
        <v>-5061787.8810209157</v>
      </c>
      <c r="R104" s="41">
        <v>-182491.88578658918</v>
      </c>
      <c r="S104" s="38"/>
      <c r="U104" s="51">
        <v>-5055467</v>
      </c>
    </row>
    <row r="105" spans="1:21" s="7" customFormat="1" x14ac:dyDescent="0.25">
      <c r="A105" s="90">
        <v>984189</v>
      </c>
      <c r="B105" s="45" t="s">
        <v>493</v>
      </c>
      <c r="C105" s="45"/>
      <c r="D105" s="45" t="s">
        <v>468</v>
      </c>
      <c r="E105" s="107">
        <v>44428</v>
      </c>
      <c r="F105" s="107">
        <v>44251</v>
      </c>
      <c r="G105" s="107">
        <v>44705</v>
      </c>
      <c r="H105" s="93" t="s">
        <v>0</v>
      </c>
      <c r="I105" s="64">
        <v>25458000</v>
      </c>
      <c r="J105" s="64" t="s">
        <v>3</v>
      </c>
      <c r="K105" s="66">
        <v>6000000</v>
      </c>
      <c r="L105" s="55">
        <v>0.23568230025925052</v>
      </c>
      <c r="M105" s="46">
        <v>-6000000</v>
      </c>
      <c r="N105" s="48">
        <v>162</v>
      </c>
      <c r="O105" s="58">
        <v>27.711950446478884</v>
      </c>
      <c r="P105" s="61">
        <v>27.457982825338664</v>
      </c>
      <c r="Q105" s="13"/>
      <c r="R105" s="41">
        <v>-5939631.4307993334</v>
      </c>
      <c r="S105" s="38"/>
      <c r="U105" s="51"/>
    </row>
    <row r="106" spans="1:21" s="7" customFormat="1" x14ac:dyDescent="0.25">
      <c r="A106" s="90">
        <v>984195</v>
      </c>
      <c r="B106" s="45" t="s">
        <v>493</v>
      </c>
      <c r="C106" s="45"/>
      <c r="D106" s="45" t="s">
        <v>328</v>
      </c>
      <c r="E106" s="107">
        <v>44428</v>
      </c>
      <c r="F106" s="107">
        <v>44432</v>
      </c>
      <c r="G106" s="107">
        <v>44705</v>
      </c>
      <c r="H106" s="93" t="s">
        <v>4</v>
      </c>
      <c r="I106" s="64">
        <v>930000</v>
      </c>
      <c r="J106" s="64" t="s">
        <v>3</v>
      </c>
      <c r="K106" s="66">
        <v>6173488.8930000002</v>
      </c>
      <c r="L106" s="55">
        <v>6.6381601000000003</v>
      </c>
      <c r="M106" s="46">
        <v>930000</v>
      </c>
      <c r="N106" s="48">
        <v>162</v>
      </c>
      <c r="O106" s="58">
        <v>6.4399114395866714</v>
      </c>
      <c r="P106" s="61">
        <v>-0.19589770886894858</v>
      </c>
      <c r="Q106" s="13">
        <v>-792850.47663827566</v>
      </c>
      <c r="R106" s="41">
        <v>-28584.520337373877</v>
      </c>
      <c r="S106" s="38"/>
      <c r="U106" s="51">
        <v>-774092</v>
      </c>
    </row>
    <row r="107" spans="1:21" s="7" customFormat="1" x14ac:dyDescent="0.25">
      <c r="A107" s="90">
        <v>985371</v>
      </c>
      <c r="B107" s="45" t="s">
        <v>493</v>
      </c>
      <c r="C107" s="45"/>
      <c r="D107" s="45" t="s">
        <v>330</v>
      </c>
      <c r="E107" s="107">
        <v>44431</v>
      </c>
      <c r="F107" s="107">
        <v>44068</v>
      </c>
      <c r="G107" s="107">
        <v>44617</v>
      </c>
      <c r="H107" s="93" t="s">
        <v>4</v>
      </c>
      <c r="I107" s="64">
        <v>8000000</v>
      </c>
      <c r="J107" s="64" t="s">
        <v>0</v>
      </c>
      <c r="K107" s="66">
        <v>223760000</v>
      </c>
      <c r="L107" s="55">
        <v>27.97</v>
      </c>
      <c r="M107" s="46">
        <v>8000000</v>
      </c>
      <c r="N107" s="48">
        <v>74</v>
      </c>
      <c r="O107" s="58">
        <v>27.730766915736041</v>
      </c>
      <c r="P107" s="61">
        <v>-0.23918179934223369</v>
      </c>
      <c r="Q107" s="13">
        <v>-1913454.3947378695</v>
      </c>
      <c r="R107" s="41">
        <v>-68985.486762815912</v>
      </c>
      <c r="S107" s="38"/>
      <c r="U107" s="51">
        <v>-1911121</v>
      </c>
    </row>
    <row r="108" spans="1:21" s="7" customFormat="1" x14ac:dyDescent="0.25">
      <c r="A108" s="90">
        <v>988062</v>
      </c>
      <c r="B108" s="45" t="s">
        <v>493</v>
      </c>
      <c r="C108" s="45"/>
      <c r="D108" s="45" t="s">
        <v>478</v>
      </c>
      <c r="E108" s="107">
        <v>44434</v>
      </c>
      <c r="F108" s="107">
        <v>44067</v>
      </c>
      <c r="G108" s="107">
        <v>44650</v>
      </c>
      <c r="H108" s="93" t="s">
        <v>4</v>
      </c>
      <c r="I108" s="64">
        <v>5000000</v>
      </c>
      <c r="J108" s="64" t="s">
        <v>0</v>
      </c>
      <c r="K108" s="66">
        <v>139435000</v>
      </c>
      <c r="L108" s="55">
        <v>27.887</v>
      </c>
      <c r="M108" s="46">
        <v>5000000</v>
      </c>
      <c r="N108" s="48">
        <v>107</v>
      </c>
      <c r="O108" s="58">
        <v>27.72603749788702</v>
      </c>
      <c r="P108" s="61">
        <v>-0.16086735539267377</v>
      </c>
      <c r="Q108" s="13">
        <v>-804336.77696336887</v>
      </c>
      <c r="R108" s="41">
        <v>-28998.634214981605</v>
      </c>
      <c r="S108" s="38"/>
      <c r="U108" s="51">
        <v>-793927</v>
      </c>
    </row>
    <row r="109" spans="1:21" s="7" customFormat="1" x14ac:dyDescent="0.25">
      <c r="A109" s="90">
        <v>991171</v>
      </c>
      <c r="B109" s="45" t="s">
        <v>493</v>
      </c>
      <c r="C109" s="45"/>
      <c r="D109" s="45" t="s">
        <v>467</v>
      </c>
      <c r="E109" s="107">
        <v>44439</v>
      </c>
      <c r="F109" s="107">
        <v>42145</v>
      </c>
      <c r="G109" s="107">
        <v>44622</v>
      </c>
      <c r="H109" s="93" t="s">
        <v>4</v>
      </c>
      <c r="I109" s="64">
        <v>21800000</v>
      </c>
      <c r="J109" s="64" t="s">
        <v>0</v>
      </c>
      <c r="K109" s="66">
        <v>606258000</v>
      </c>
      <c r="L109" s="55">
        <v>27.81</v>
      </c>
      <c r="M109" s="46">
        <v>21800000</v>
      </c>
      <c r="N109" s="48">
        <v>79</v>
      </c>
      <c r="O109" s="58">
        <v>27.73029489103768</v>
      </c>
      <c r="P109" s="61">
        <v>-7.9680834246555685E-2</v>
      </c>
      <c r="Q109" s="13">
        <v>-1737042.186574914</v>
      </c>
      <c r="R109" s="41">
        <v>-62625.323654412234</v>
      </c>
      <c r="S109" s="38"/>
      <c r="U109" s="51">
        <v>-1729515</v>
      </c>
    </row>
    <row r="110" spans="1:21" s="7" customFormat="1" x14ac:dyDescent="0.25">
      <c r="A110" s="90">
        <v>992341</v>
      </c>
      <c r="B110" s="45" t="s">
        <v>493</v>
      </c>
      <c r="C110" s="45"/>
      <c r="D110" s="45" t="s">
        <v>475</v>
      </c>
      <c r="E110" s="107">
        <v>44440</v>
      </c>
      <c r="F110" s="107">
        <v>44442</v>
      </c>
      <c r="G110" s="107">
        <v>44810</v>
      </c>
      <c r="H110" s="93" t="s">
        <v>0</v>
      </c>
      <c r="I110" s="64">
        <v>276320000</v>
      </c>
      <c r="J110" s="64" t="s">
        <v>4</v>
      </c>
      <c r="K110" s="66">
        <v>10000000</v>
      </c>
      <c r="L110" s="55">
        <v>27.632000000000001</v>
      </c>
      <c r="M110" s="46">
        <v>-10000000</v>
      </c>
      <c r="N110" s="48">
        <v>267</v>
      </c>
      <c r="O110" s="58">
        <v>27.670085917930869</v>
      </c>
      <c r="P110" s="61">
        <v>3.8059931122111965E-2</v>
      </c>
      <c r="Q110" s="13">
        <v>-380599.31122111966</v>
      </c>
      <c r="R110" s="41">
        <v>-13721.690372337449</v>
      </c>
      <c r="S110" s="38"/>
      <c r="U110" s="51">
        <v>-410706</v>
      </c>
    </row>
    <row r="111" spans="1:21" s="7" customFormat="1" x14ac:dyDescent="0.25">
      <c r="A111" s="90">
        <v>992343</v>
      </c>
      <c r="B111" s="45" t="s">
        <v>493</v>
      </c>
      <c r="C111" s="45"/>
      <c r="D111" s="45" t="s">
        <v>465</v>
      </c>
      <c r="E111" s="107">
        <v>44440</v>
      </c>
      <c r="F111" s="107">
        <v>44442</v>
      </c>
      <c r="G111" s="107">
        <v>44810</v>
      </c>
      <c r="H111" s="93" t="s">
        <v>4</v>
      </c>
      <c r="I111" s="64">
        <v>10000000</v>
      </c>
      <c r="J111" s="64" t="s">
        <v>0</v>
      </c>
      <c r="K111" s="66">
        <v>276320000</v>
      </c>
      <c r="L111" s="55">
        <v>27.632000000000001</v>
      </c>
      <c r="M111" s="46">
        <v>10000000</v>
      </c>
      <c r="N111" s="48">
        <v>267</v>
      </c>
      <c r="O111" s="58">
        <v>27.670085917930869</v>
      </c>
      <c r="P111" s="61">
        <v>3.8059931122111965E-2</v>
      </c>
      <c r="Q111" s="13">
        <v>380599.31122111966</v>
      </c>
      <c r="R111" s="41">
        <v>13721.690372337449</v>
      </c>
      <c r="S111" s="38"/>
      <c r="U111" s="51">
        <v>410706</v>
      </c>
    </row>
    <row r="112" spans="1:21" s="7" customFormat="1" x14ac:dyDescent="0.25">
      <c r="A112" s="90">
        <v>994203</v>
      </c>
      <c r="B112" s="45" t="s">
        <v>493</v>
      </c>
      <c r="C112" s="45"/>
      <c r="D112" s="45" t="s">
        <v>475</v>
      </c>
      <c r="E112" s="107">
        <v>44442</v>
      </c>
      <c r="F112" s="107">
        <v>44446</v>
      </c>
      <c r="G112" s="107">
        <v>44627</v>
      </c>
      <c r="H112" s="93" t="s">
        <v>0</v>
      </c>
      <c r="I112" s="64">
        <v>553280000</v>
      </c>
      <c r="J112" s="64" t="s">
        <v>4</v>
      </c>
      <c r="K112" s="66">
        <v>20000000</v>
      </c>
      <c r="L112" s="55">
        <v>27.664000000000001</v>
      </c>
      <c r="M112" s="46">
        <v>-20000000</v>
      </c>
      <c r="N112" s="48">
        <v>84</v>
      </c>
      <c r="O112" s="58">
        <v>27.729816998243667</v>
      </c>
      <c r="P112" s="61">
        <v>6.5790388113455847E-2</v>
      </c>
      <c r="Q112" s="13">
        <v>-1315807.7622691172</v>
      </c>
      <c r="R112" s="41">
        <v>-47438.621592474228</v>
      </c>
      <c r="S112" s="38"/>
      <c r="U112" s="51">
        <v>-1329738</v>
      </c>
    </row>
    <row r="113" spans="1:21" s="7" customFormat="1" x14ac:dyDescent="0.25">
      <c r="A113" s="90">
        <v>994205</v>
      </c>
      <c r="B113" s="45" t="s">
        <v>493</v>
      </c>
      <c r="C113" s="45"/>
      <c r="D113" s="45" t="s">
        <v>465</v>
      </c>
      <c r="E113" s="107">
        <v>44442</v>
      </c>
      <c r="F113" s="107">
        <v>44446</v>
      </c>
      <c r="G113" s="107">
        <v>44627</v>
      </c>
      <c r="H113" s="93" t="s">
        <v>4</v>
      </c>
      <c r="I113" s="64">
        <v>20000000</v>
      </c>
      <c r="J113" s="64" t="s">
        <v>0</v>
      </c>
      <c r="K113" s="66">
        <v>553280000</v>
      </c>
      <c r="L113" s="55">
        <v>27.664000000000001</v>
      </c>
      <c r="M113" s="46">
        <v>20000000</v>
      </c>
      <c r="N113" s="48">
        <v>84</v>
      </c>
      <c r="O113" s="58">
        <v>27.729816998243667</v>
      </c>
      <c r="P113" s="61">
        <v>6.5790388113455847E-2</v>
      </c>
      <c r="Q113" s="13">
        <v>1315807.7622691172</v>
      </c>
      <c r="R113" s="41">
        <v>47438.621592474228</v>
      </c>
      <c r="S113" s="38"/>
      <c r="U113" s="51">
        <v>1329738</v>
      </c>
    </row>
    <row r="114" spans="1:21" s="7" customFormat="1" x14ac:dyDescent="0.25">
      <c r="A114" s="90">
        <v>996204</v>
      </c>
      <c r="B114" s="45" t="s">
        <v>493</v>
      </c>
      <c r="C114" s="45"/>
      <c r="D114" s="45" t="s">
        <v>329</v>
      </c>
      <c r="E114" s="107">
        <v>44446</v>
      </c>
      <c r="F114" s="107">
        <v>44448</v>
      </c>
      <c r="G114" s="107">
        <v>44816</v>
      </c>
      <c r="H114" s="93" t="s">
        <v>4</v>
      </c>
      <c r="I114" s="64">
        <v>10000000</v>
      </c>
      <c r="J114" s="64" t="s">
        <v>0</v>
      </c>
      <c r="K114" s="66">
        <v>275390000</v>
      </c>
      <c r="L114" s="55">
        <v>27.539000000000001</v>
      </c>
      <c r="M114" s="46">
        <v>10000000</v>
      </c>
      <c r="N114" s="48">
        <v>273</v>
      </c>
      <c r="O114" s="58">
        <v>27.667308462329945</v>
      </c>
      <c r="P114" s="61">
        <v>0.1282216816744266</v>
      </c>
      <c r="Q114" s="13">
        <v>1282216.8167442661</v>
      </c>
      <c r="R114" s="41">
        <v>46227.572228440375</v>
      </c>
      <c r="S114" s="38"/>
      <c r="U114" s="51">
        <v>1312942</v>
      </c>
    </row>
    <row r="115" spans="1:21" s="7" customFormat="1" x14ac:dyDescent="0.25">
      <c r="A115" s="90">
        <v>998065</v>
      </c>
      <c r="B115" s="45" t="s">
        <v>493</v>
      </c>
      <c r="C115" s="45"/>
      <c r="D115" s="45" t="s">
        <v>328</v>
      </c>
      <c r="E115" s="107">
        <v>44448</v>
      </c>
      <c r="F115" s="107">
        <v>44452</v>
      </c>
      <c r="G115" s="107">
        <v>44546</v>
      </c>
      <c r="H115" s="93" t="s">
        <v>3</v>
      </c>
      <c r="I115" s="64">
        <v>3252504.65</v>
      </c>
      <c r="J115" s="64" t="s">
        <v>4</v>
      </c>
      <c r="K115" s="66">
        <v>500000</v>
      </c>
      <c r="L115" s="55">
        <v>6.5050093000000002</v>
      </c>
      <c r="M115" s="46">
        <v>-500000</v>
      </c>
      <c r="N115" s="48">
        <v>3</v>
      </c>
      <c r="O115" s="58">
        <v>6.3739083336789131</v>
      </c>
      <c r="P115" s="61">
        <v>-0.13109282202366887</v>
      </c>
      <c r="Q115" s="13">
        <v>285251.47794729343</v>
      </c>
      <c r="R115" s="41">
        <v>10284.129117539</v>
      </c>
      <c r="S115" s="38"/>
      <c r="U115" s="51">
        <v>282770</v>
      </c>
    </row>
    <row r="116" spans="1:21" s="7" customFormat="1" x14ac:dyDescent="0.25">
      <c r="A116" s="90">
        <v>998081</v>
      </c>
      <c r="B116" s="45" t="s">
        <v>493</v>
      </c>
      <c r="C116" s="45"/>
      <c r="D116" s="45" t="s">
        <v>329</v>
      </c>
      <c r="E116" s="107">
        <v>44448</v>
      </c>
      <c r="F116" s="107">
        <v>44452</v>
      </c>
      <c r="G116" s="107">
        <v>44634</v>
      </c>
      <c r="H116" s="93" t="s">
        <v>4</v>
      </c>
      <c r="I116" s="64">
        <v>10000000</v>
      </c>
      <c r="J116" s="64" t="s">
        <v>0</v>
      </c>
      <c r="K116" s="66">
        <v>276720000</v>
      </c>
      <c r="L116" s="55">
        <v>27.672000000000001</v>
      </c>
      <c r="M116" s="46">
        <v>10000000</v>
      </c>
      <c r="N116" s="48">
        <v>91</v>
      </c>
      <c r="O116" s="58">
        <v>27.729062790551758</v>
      </c>
      <c r="P116" s="61">
        <v>5.7031963163878874E-2</v>
      </c>
      <c r="Q116" s="13">
        <v>570319.63163878873</v>
      </c>
      <c r="R116" s="41">
        <v>20561.648872944024</v>
      </c>
      <c r="S116" s="38"/>
      <c r="U116" s="51">
        <v>588109</v>
      </c>
    </row>
    <row r="117" spans="1:21" s="7" customFormat="1" x14ac:dyDescent="0.25">
      <c r="A117" s="90">
        <v>998089</v>
      </c>
      <c r="B117" s="45" t="s">
        <v>493</v>
      </c>
      <c r="C117" s="45"/>
      <c r="D117" s="45" t="s">
        <v>478</v>
      </c>
      <c r="E117" s="107">
        <v>44448</v>
      </c>
      <c r="F117" s="107">
        <v>44123</v>
      </c>
      <c r="G117" s="107">
        <v>44665</v>
      </c>
      <c r="H117" s="93" t="s">
        <v>4</v>
      </c>
      <c r="I117" s="64">
        <v>5000000</v>
      </c>
      <c r="J117" s="64" t="s">
        <v>0</v>
      </c>
      <c r="K117" s="66">
        <v>138400000</v>
      </c>
      <c r="L117" s="55">
        <v>27.68</v>
      </c>
      <c r="M117" s="46">
        <v>5000000</v>
      </c>
      <c r="N117" s="48">
        <v>122</v>
      </c>
      <c r="O117" s="58">
        <v>27.722761954799367</v>
      </c>
      <c r="P117" s="61">
        <v>4.2735150018589116E-2</v>
      </c>
      <c r="Q117" s="13">
        <v>213675.75009294561</v>
      </c>
      <c r="R117" s="41">
        <v>7703.6200445169288</v>
      </c>
      <c r="S117" s="38"/>
      <c r="U117" s="51">
        <v>224833</v>
      </c>
    </row>
    <row r="118" spans="1:21" s="7" customFormat="1" x14ac:dyDescent="0.25">
      <c r="A118" s="90">
        <v>998125</v>
      </c>
      <c r="B118" s="45" t="s">
        <v>493</v>
      </c>
      <c r="C118" s="45"/>
      <c r="D118" s="45" t="s">
        <v>458</v>
      </c>
      <c r="E118" s="107">
        <v>44448</v>
      </c>
      <c r="F118" s="107">
        <v>44452</v>
      </c>
      <c r="G118" s="107">
        <v>44634</v>
      </c>
      <c r="H118" s="93" t="s">
        <v>6</v>
      </c>
      <c r="I118" s="64">
        <v>500000</v>
      </c>
      <c r="J118" s="64" t="s">
        <v>4</v>
      </c>
      <c r="K118" s="66">
        <v>367986</v>
      </c>
      <c r="L118" s="55">
        <v>1.3587473436489432</v>
      </c>
      <c r="M118" s="46">
        <v>-367986</v>
      </c>
      <c r="N118" s="48">
        <v>91</v>
      </c>
      <c r="O118" s="58">
        <v>1.398149336599025</v>
      </c>
      <c r="P118" s="61">
        <v>3.9382448945939813E-2</v>
      </c>
      <c r="Q118" s="13">
        <v>-287406.39710149262</v>
      </c>
      <c r="R118" s="41">
        <v>-10361.820097368864</v>
      </c>
      <c r="S118" s="38"/>
      <c r="U118" s="51">
        <v>-287300</v>
      </c>
    </row>
    <row r="119" spans="1:21" s="7" customFormat="1" x14ac:dyDescent="0.25">
      <c r="A119" s="90">
        <v>999199</v>
      </c>
      <c r="B119" s="45" t="s">
        <v>493</v>
      </c>
      <c r="C119" s="45"/>
      <c r="D119" s="45" t="s">
        <v>336</v>
      </c>
      <c r="E119" s="107">
        <v>44449</v>
      </c>
      <c r="F119" s="107">
        <v>44453</v>
      </c>
      <c r="G119" s="107">
        <v>44634</v>
      </c>
      <c r="H119" s="93" t="s">
        <v>4</v>
      </c>
      <c r="I119" s="64">
        <v>10000000</v>
      </c>
      <c r="J119" s="64" t="s">
        <v>0</v>
      </c>
      <c r="K119" s="66">
        <v>276360000</v>
      </c>
      <c r="L119" s="55">
        <v>27.635999999999999</v>
      </c>
      <c r="M119" s="46">
        <v>10000000</v>
      </c>
      <c r="N119" s="48">
        <v>91</v>
      </c>
      <c r="O119" s="58">
        <v>27.729062790551758</v>
      </c>
      <c r="P119" s="61">
        <v>9.3012514658945555E-2</v>
      </c>
      <c r="Q119" s="13">
        <v>930125.14658945554</v>
      </c>
      <c r="R119" s="41">
        <v>33533.663600380343</v>
      </c>
      <c r="S119" s="38"/>
      <c r="U119" s="51">
        <v>947876</v>
      </c>
    </row>
    <row r="120" spans="1:21" s="7" customFormat="1" x14ac:dyDescent="0.25">
      <c r="A120" s="90">
        <v>1000766</v>
      </c>
      <c r="B120" s="45" t="s">
        <v>493</v>
      </c>
      <c r="C120" s="45"/>
      <c r="D120" s="45" t="s">
        <v>467</v>
      </c>
      <c r="E120" s="107">
        <v>44452</v>
      </c>
      <c r="F120" s="107">
        <v>43073</v>
      </c>
      <c r="G120" s="107">
        <v>44635</v>
      </c>
      <c r="H120" s="93" t="s">
        <v>4</v>
      </c>
      <c r="I120" s="64">
        <v>5000000</v>
      </c>
      <c r="J120" s="64" t="s">
        <v>0</v>
      </c>
      <c r="K120" s="66">
        <v>138725000</v>
      </c>
      <c r="L120" s="55">
        <v>27.745000000000001</v>
      </c>
      <c r="M120" s="46">
        <v>5000000</v>
      </c>
      <c r="N120" s="48">
        <v>92</v>
      </c>
      <c r="O120" s="58">
        <v>27.728887886759338</v>
      </c>
      <c r="P120" s="61">
        <v>-1.6103351439713656E-2</v>
      </c>
      <c r="Q120" s="13">
        <v>-80516.757198568303</v>
      </c>
      <c r="R120" s="41">
        <v>-2902.8586744381873</v>
      </c>
      <c r="S120" s="38"/>
      <c r="U120" s="51">
        <v>-71479</v>
      </c>
    </row>
    <row r="121" spans="1:21" s="7" customFormat="1" x14ac:dyDescent="0.25">
      <c r="A121" s="90">
        <v>1000767</v>
      </c>
      <c r="B121" s="45" t="s">
        <v>493</v>
      </c>
      <c r="C121" s="45"/>
      <c r="D121" s="45" t="s">
        <v>467</v>
      </c>
      <c r="E121" s="107">
        <v>44452</v>
      </c>
      <c r="F121" s="107">
        <v>43286</v>
      </c>
      <c r="G121" s="107">
        <v>44635</v>
      </c>
      <c r="H121" s="93" t="s">
        <v>4</v>
      </c>
      <c r="I121" s="64">
        <v>10000000</v>
      </c>
      <c r="J121" s="64" t="s">
        <v>0</v>
      </c>
      <c r="K121" s="66">
        <v>277450000</v>
      </c>
      <c r="L121" s="55">
        <v>27.745000000000001</v>
      </c>
      <c r="M121" s="46">
        <v>10000000</v>
      </c>
      <c r="N121" s="48">
        <v>92</v>
      </c>
      <c r="O121" s="58">
        <v>27.728887886759338</v>
      </c>
      <c r="P121" s="61">
        <v>-1.6103351439713656E-2</v>
      </c>
      <c r="Q121" s="13">
        <v>-161033.51439713661</v>
      </c>
      <c r="R121" s="41">
        <v>-5805.7173488763747</v>
      </c>
      <c r="S121" s="38"/>
      <c r="U121" s="51">
        <v>-142959</v>
      </c>
    </row>
    <row r="122" spans="1:21" s="7" customFormat="1" x14ac:dyDescent="0.25">
      <c r="A122" s="90">
        <v>1001633</v>
      </c>
      <c r="B122" s="45" t="s">
        <v>493</v>
      </c>
      <c r="C122" s="45"/>
      <c r="D122" s="45" t="s">
        <v>466</v>
      </c>
      <c r="E122" s="107">
        <v>44453</v>
      </c>
      <c r="F122" s="107">
        <v>44455</v>
      </c>
      <c r="G122" s="107">
        <v>44820</v>
      </c>
      <c r="H122" s="93" t="s">
        <v>4</v>
      </c>
      <c r="I122" s="64">
        <v>20000000</v>
      </c>
      <c r="J122" s="64" t="s">
        <v>0</v>
      </c>
      <c r="K122" s="66">
        <v>552280000</v>
      </c>
      <c r="L122" s="55">
        <v>27.614000000000001</v>
      </c>
      <c r="M122" s="46">
        <v>20000000</v>
      </c>
      <c r="N122" s="48">
        <v>277</v>
      </c>
      <c r="O122" s="58">
        <v>27.665567384351839</v>
      </c>
      <c r="P122" s="61">
        <v>5.1532767604016927E-2</v>
      </c>
      <c r="Q122" s="13">
        <v>1030655.3520803386</v>
      </c>
      <c r="R122" s="41">
        <v>37158.064150101593</v>
      </c>
      <c r="S122" s="38"/>
      <c r="U122" s="51">
        <v>1090479</v>
      </c>
    </row>
    <row r="123" spans="1:21" s="7" customFormat="1" x14ac:dyDescent="0.25">
      <c r="A123" s="90">
        <v>1001641</v>
      </c>
      <c r="B123" s="45" t="s">
        <v>493</v>
      </c>
      <c r="C123" s="45"/>
      <c r="D123" s="45" t="s">
        <v>479</v>
      </c>
      <c r="E123" s="107">
        <v>44453</v>
      </c>
      <c r="F123" s="107">
        <v>44455</v>
      </c>
      <c r="G123" s="107">
        <v>44820</v>
      </c>
      <c r="H123" s="93" t="s">
        <v>0</v>
      </c>
      <c r="I123" s="64">
        <v>552280000</v>
      </c>
      <c r="J123" s="64" t="s">
        <v>4</v>
      </c>
      <c r="K123" s="66">
        <v>20000000</v>
      </c>
      <c r="L123" s="55">
        <v>27.614000000000001</v>
      </c>
      <c r="M123" s="46">
        <v>-20000000</v>
      </c>
      <c r="N123" s="48">
        <v>277</v>
      </c>
      <c r="O123" s="58">
        <v>27.665567384351839</v>
      </c>
      <c r="P123" s="61">
        <v>5.1532767604016927E-2</v>
      </c>
      <c r="Q123" s="13">
        <v>-1030655.3520803386</v>
      </c>
      <c r="R123" s="41">
        <v>-37158.064150101593</v>
      </c>
      <c r="S123" s="38"/>
      <c r="U123" s="51">
        <v>-1090479</v>
      </c>
    </row>
    <row r="124" spans="1:21" s="7" customFormat="1" x14ac:dyDescent="0.25">
      <c r="A124" s="90">
        <v>1001709</v>
      </c>
      <c r="B124" s="45" t="s">
        <v>493</v>
      </c>
      <c r="C124" s="45"/>
      <c r="D124" s="45" t="s">
        <v>328</v>
      </c>
      <c r="E124" s="107">
        <v>44453</v>
      </c>
      <c r="F124" s="107">
        <v>44455</v>
      </c>
      <c r="G124" s="107">
        <v>44546</v>
      </c>
      <c r="H124" s="93" t="s">
        <v>3</v>
      </c>
      <c r="I124" s="64">
        <v>3244204.8</v>
      </c>
      <c r="J124" s="64" t="s">
        <v>4</v>
      </c>
      <c r="K124" s="66">
        <v>500000</v>
      </c>
      <c r="L124" s="55">
        <v>6.4884095999999998</v>
      </c>
      <c r="M124" s="46">
        <v>-500000</v>
      </c>
      <c r="N124" s="48">
        <v>3</v>
      </c>
      <c r="O124" s="58">
        <v>6.3739083336789131</v>
      </c>
      <c r="P124" s="61">
        <v>-0.11449415323570025</v>
      </c>
      <c r="Q124" s="13">
        <v>249133.59803110102</v>
      </c>
      <c r="R124" s="41">
        <v>8981.9765636492575</v>
      </c>
      <c r="S124" s="38"/>
      <c r="U124" s="51">
        <v>246659</v>
      </c>
    </row>
    <row r="125" spans="1:21" s="7" customFormat="1" x14ac:dyDescent="0.25">
      <c r="A125" s="90">
        <v>1002528</v>
      </c>
      <c r="B125" s="45" t="s">
        <v>493</v>
      </c>
      <c r="C125" s="45"/>
      <c r="D125" s="45" t="s">
        <v>328</v>
      </c>
      <c r="E125" s="107">
        <v>44454</v>
      </c>
      <c r="F125" s="107">
        <v>44456</v>
      </c>
      <c r="G125" s="107">
        <v>44637</v>
      </c>
      <c r="H125" s="93" t="s">
        <v>4</v>
      </c>
      <c r="I125" s="64">
        <v>1250000</v>
      </c>
      <c r="J125" s="64" t="s">
        <v>3</v>
      </c>
      <c r="K125" s="66">
        <v>8165759.625</v>
      </c>
      <c r="L125" s="55">
        <v>6.5326076999999998</v>
      </c>
      <c r="M125" s="46">
        <v>1250000</v>
      </c>
      <c r="N125" s="48">
        <v>94</v>
      </c>
      <c r="O125" s="58">
        <v>6.4109674473165477</v>
      </c>
      <c r="P125" s="61">
        <v>-0.1208265495509588</v>
      </c>
      <c r="Q125" s="13">
        <v>-657281.44574651145</v>
      </c>
      <c r="R125" s="41">
        <v>-23696.870225747993</v>
      </c>
      <c r="S125" s="38"/>
      <c r="U125" s="51">
        <v>-636919</v>
      </c>
    </row>
    <row r="126" spans="1:21" s="7" customFormat="1" x14ac:dyDescent="0.25">
      <c r="A126" s="90">
        <v>1002536</v>
      </c>
      <c r="B126" s="45" t="s">
        <v>493</v>
      </c>
      <c r="C126" s="45"/>
      <c r="D126" s="45" t="s">
        <v>474</v>
      </c>
      <c r="E126" s="107">
        <v>44454</v>
      </c>
      <c r="F126" s="107">
        <v>44272</v>
      </c>
      <c r="G126" s="107">
        <v>44637</v>
      </c>
      <c r="H126" s="93" t="s">
        <v>0</v>
      </c>
      <c r="I126" s="64">
        <v>33936000</v>
      </c>
      <c r="J126" s="64" t="s">
        <v>3</v>
      </c>
      <c r="K126" s="66">
        <v>8000000</v>
      </c>
      <c r="L126" s="55">
        <v>0.23573785950023574</v>
      </c>
      <c r="M126" s="46">
        <v>-8000000</v>
      </c>
      <c r="N126" s="48">
        <v>94</v>
      </c>
      <c r="O126" s="58">
        <v>27.728532407521048</v>
      </c>
      <c r="P126" s="61">
        <v>27.477652085614089</v>
      </c>
      <c r="Q126" s="13"/>
      <c r="R126" s="41">
        <v>-7925181.6377262371</v>
      </c>
      <c r="S126" s="38"/>
      <c r="U126" s="51"/>
    </row>
    <row r="127" spans="1:21" s="7" customFormat="1" x14ac:dyDescent="0.25">
      <c r="A127" s="90">
        <v>1003592</v>
      </c>
      <c r="B127" s="45" t="s">
        <v>493</v>
      </c>
      <c r="C127" s="45"/>
      <c r="D127" s="45" t="s">
        <v>480</v>
      </c>
      <c r="E127" s="107">
        <v>44455</v>
      </c>
      <c r="F127" s="107">
        <v>44461</v>
      </c>
      <c r="G127" s="107">
        <v>44614</v>
      </c>
      <c r="H127" s="93" t="s">
        <v>0</v>
      </c>
      <c r="I127" s="64">
        <v>276515000</v>
      </c>
      <c r="J127" s="64" t="s">
        <v>4</v>
      </c>
      <c r="K127" s="66">
        <v>10000000</v>
      </c>
      <c r="L127" s="55">
        <v>27.651499999999999</v>
      </c>
      <c r="M127" s="46">
        <v>-10000000</v>
      </c>
      <c r="N127" s="48">
        <v>71</v>
      </c>
      <c r="O127" s="58">
        <v>27.731047307295217</v>
      </c>
      <c r="P127" s="61">
        <v>7.9534193572165096E-2</v>
      </c>
      <c r="Q127" s="13">
        <v>-795341.93572165095</v>
      </c>
      <c r="R127" s="41">
        <v>-28674.344541226841</v>
      </c>
      <c r="S127" s="38"/>
      <c r="U127" s="51">
        <v>-799244</v>
      </c>
    </row>
    <row r="128" spans="1:21" s="7" customFormat="1" x14ac:dyDescent="0.25">
      <c r="A128" s="90">
        <v>1003647</v>
      </c>
      <c r="B128" s="45" t="s">
        <v>493</v>
      </c>
      <c r="C128" s="45"/>
      <c r="D128" s="45" t="s">
        <v>463</v>
      </c>
      <c r="E128" s="107">
        <v>44455</v>
      </c>
      <c r="F128" s="107">
        <v>44461</v>
      </c>
      <c r="G128" s="107">
        <v>44614</v>
      </c>
      <c r="H128" s="93" t="s">
        <v>4</v>
      </c>
      <c r="I128" s="64">
        <v>10000000</v>
      </c>
      <c r="J128" s="64" t="s">
        <v>0</v>
      </c>
      <c r="K128" s="66">
        <v>276515000</v>
      </c>
      <c r="L128" s="55">
        <v>27.651499999999999</v>
      </c>
      <c r="M128" s="46">
        <v>10000000</v>
      </c>
      <c r="N128" s="48">
        <v>71</v>
      </c>
      <c r="O128" s="58">
        <v>27.731047307295217</v>
      </c>
      <c r="P128" s="61">
        <v>7.9534193572165096E-2</v>
      </c>
      <c r="Q128" s="13">
        <v>795341.93572165095</v>
      </c>
      <c r="R128" s="41">
        <v>28674.344541226841</v>
      </c>
      <c r="S128" s="38"/>
      <c r="U128" s="51">
        <v>799244</v>
      </c>
    </row>
    <row r="129" spans="1:21" s="7" customFormat="1" x14ac:dyDescent="0.25">
      <c r="A129" s="90">
        <v>1003709</v>
      </c>
      <c r="B129" s="45" t="s">
        <v>493</v>
      </c>
      <c r="C129" s="45"/>
      <c r="D129" s="45" t="s">
        <v>467</v>
      </c>
      <c r="E129" s="107">
        <v>44455</v>
      </c>
      <c r="F129" s="107">
        <v>42079</v>
      </c>
      <c r="G129" s="107">
        <v>44642</v>
      </c>
      <c r="H129" s="93" t="s">
        <v>4</v>
      </c>
      <c r="I129" s="64">
        <v>15100000</v>
      </c>
      <c r="J129" s="64" t="s">
        <v>0</v>
      </c>
      <c r="K129" s="66">
        <v>417907600</v>
      </c>
      <c r="L129" s="55">
        <v>27.675999999999998</v>
      </c>
      <c r="M129" s="46">
        <v>15100000</v>
      </c>
      <c r="N129" s="48">
        <v>99</v>
      </c>
      <c r="O129" s="58">
        <v>27.727610627827541</v>
      </c>
      <c r="P129" s="61">
        <v>5.1581348021499329E-2</v>
      </c>
      <c r="Q129" s="13">
        <v>778878.35512463981</v>
      </c>
      <c r="R129" s="41">
        <v>28080.785518097233</v>
      </c>
      <c r="S129" s="38"/>
      <c r="U129" s="51">
        <v>808084</v>
      </c>
    </row>
    <row r="130" spans="1:21" s="7" customFormat="1" x14ac:dyDescent="0.25">
      <c r="A130" s="90">
        <v>1003711</v>
      </c>
      <c r="B130" s="45" t="s">
        <v>493</v>
      </c>
      <c r="C130" s="45"/>
      <c r="D130" s="45" t="s">
        <v>467</v>
      </c>
      <c r="E130" s="107">
        <v>44455</v>
      </c>
      <c r="F130" s="107">
        <v>42290</v>
      </c>
      <c r="G130" s="107">
        <v>44642</v>
      </c>
      <c r="H130" s="93" t="s">
        <v>4</v>
      </c>
      <c r="I130" s="64">
        <v>20000000</v>
      </c>
      <c r="J130" s="64" t="s">
        <v>0</v>
      </c>
      <c r="K130" s="66">
        <v>553520000</v>
      </c>
      <c r="L130" s="55">
        <v>27.675999999999998</v>
      </c>
      <c r="M130" s="46">
        <v>20000000</v>
      </c>
      <c r="N130" s="48">
        <v>99</v>
      </c>
      <c r="O130" s="58">
        <v>27.727610627827541</v>
      </c>
      <c r="P130" s="61">
        <v>5.1581348021499329E-2</v>
      </c>
      <c r="Q130" s="13">
        <v>1031626.9604299866</v>
      </c>
      <c r="R130" s="41">
        <v>37193.09340145329</v>
      </c>
      <c r="S130" s="38"/>
      <c r="U130" s="51">
        <v>1070310</v>
      </c>
    </row>
    <row r="131" spans="1:21" s="7" customFormat="1" x14ac:dyDescent="0.25">
      <c r="A131" s="90">
        <v>1003712</v>
      </c>
      <c r="B131" s="45" t="s">
        <v>493</v>
      </c>
      <c r="C131" s="45"/>
      <c r="D131" s="45" t="s">
        <v>467</v>
      </c>
      <c r="E131" s="107">
        <v>44455</v>
      </c>
      <c r="F131" s="107">
        <v>42873</v>
      </c>
      <c r="G131" s="107">
        <v>44614</v>
      </c>
      <c r="H131" s="93" t="s">
        <v>4</v>
      </c>
      <c r="I131" s="64">
        <v>25000000</v>
      </c>
      <c r="J131" s="64" t="s">
        <v>0</v>
      </c>
      <c r="K131" s="66">
        <v>691975000</v>
      </c>
      <c r="L131" s="55">
        <v>27.678999999999998</v>
      </c>
      <c r="M131" s="46">
        <v>25000000</v>
      </c>
      <c r="N131" s="48">
        <v>71</v>
      </c>
      <c r="O131" s="58">
        <v>27.731047307295217</v>
      </c>
      <c r="P131" s="61">
        <v>5.2038727067970796E-2</v>
      </c>
      <c r="Q131" s="13">
        <v>1300968.17669927</v>
      </c>
      <c r="R131" s="41">
        <v>46903.612220570903</v>
      </c>
      <c r="S131" s="38"/>
      <c r="U131" s="51">
        <v>1310743</v>
      </c>
    </row>
    <row r="132" spans="1:21" s="7" customFormat="1" x14ac:dyDescent="0.25">
      <c r="A132" s="90">
        <v>1004519</v>
      </c>
      <c r="B132" s="45" t="s">
        <v>493</v>
      </c>
      <c r="C132" s="45"/>
      <c r="D132" s="45" t="s">
        <v>465</v>
      </c>
      <c r="E132" s="107">
        <v>44456</v>
      </c>
      <c r="F132" s="107">
        <v>44462</v>
      </c>
      <c r="G132" s="107">
        <v>44553</v>
      </c>
      <c r="H132" s="93" t="s">
        <v>4</v>
      </c>
      <c r="I132" s="64">
        <v>10000000</v>
      </c>
      <c r="J132" s="64" t="s">
        <v>0</v>
      </c>
      <c r="K132" s="66">
        <v>277158000</v>
      </c>
      <c r="L132" s="55">
        <v>27.715800000000002</v>
      </c>
      <c r="M132" s="46">
        <v>10000000</v>
      </c>
      <c r="N132" s="48">
        <v>10</v>
      </c>
      <c r="O132" s="58">
        <v>27.736989594575089</v>
      </c>
      <c r="P132" s="61">
        <v>2.1189134875889384E-2</v>
      </c>
      <c r="Q132" s="13">
        <v>211891.34875889384</v>
      </c>
      <c r="R132" s="41">
        <v>7639.2872885608394</v>
      </c>
      <c r="S132" s="38"/>
      <c r="U132" s="51">
        <v>210054</v>
      </c>
    </row>
    <row r="133" spans="1:21" s="7" customFormat="1" x14ac:dyDescent="0.25">
      <c r="A133" s="90">
        <v>1005927</v>
      </c>
      <c r="B133" s="45" t="s">
        <v>493</v>
      </c>
      <c r="C133" s="45"/>
      <c r="D133" s="45" t="s">
        <v>330</v>
      </c>
      <c r="E133" s="107">
        <v>44461</v>
      </c>
      <c r="F133" s="107">
        <v>44462</v>
      </c>
      <c r="G133" s="107">
        <v>44643</v>
      </c>
      <c r="H133" s="93" t="s">
        <v>4</v>
      </c>
      <c r="I133" s="64">
        <v>4000000</v>
      </c>
      <c r="J133" s="64" t="s">
        <v>0</v>
      </c>
      <c r="K133" s="66">
        <v>111188000</v>
      </c>
      <c r="L133" s="55">
        <v>27.797000000000001</v>
      </c>
      <c r="M133" s="46">
        <v>4000000</v>
      </c>
      <c r="N133" s="48">
        <v>100</v>
      </c>
      <c r="O133" s="58">
        <v>27.727420601283598</v>
      </c>
      <c r="P133" s="61">
        <v>-6.953970539661361E-2</v>
      </c>
      <c r="Q133" s="13">
        <v>-278158.82158645446</v>
      </c>
      <c r="R133" s="41">
        <v>-10028.418632439672</v>
      </c>
      <c r="S133" s="38"/>
      <c r="U133" s="51">
        <v>-270304</v>
      </c>
    </row>
    <row r="134" spans="1:21" s="7" customFormat="1" x14ac:dyDescent="0.25">
      <c r="A134" s="90">
        <v>1005953</v>
      </c>
      <c r="B134" s="45" t="s">
        <v>493</v>
      </c>
      <c r="C134" s="45"/>
      <c r="D134" s="45" t="s">
        <v>481</v>
      </c>
      <c r="E134" s="107">
        <v>44461</v>
      </c>
      <c r="F134" s="107">
        <v>44462</v>
      </c>
      <c r="G134" s="107">
        <v>44735</v>
      </c>
      <c r="H134" s="93" t="s">
        <v>0</v>
      </c>
      <c r="I134" s="64">
        <v>55500000</v>
      </c>
      <c r="J134" s="64" t="s">
        <v>4</v>
      </c>
      <c r="K134" s="66">
        <v>2000000</v>
      </c>
      <c r="L134" s="55">
        <v>27.75</v>
      </c>
      <c r="M134" s="46">
        <v>-2000000</v>
      </c>
      <c r="N134" s="48">
        <v>192</v>
      </c>
      <c r="O134" s="58">
        <v>27.70194579387719</v>
      </c>
      <c r="P134" s="61">
        <v>-4.8021965848352464E-2</v>
      </c>
      <c r="Q134" s="13">
        <v>96043.931696704938</v>
      </c>
      <c r="R134" s="41">
        <v>3462.6575877286596</v>
      </c>
      <c r="S134" s="38"/>
      <c r="U134" s="51">
        <v>90887</v>
      </c>
    </row>
    <row r="135" spans="1:21" s="7" customFormat="1" x14ac:dyDescent="0.25">
      <c r="A135" s="90">
        <v>1005961</v>
      </c>
      <c r="B135" s="45" t="s">
        <v>493</v>
      </c>
      <c r="C135" s="45"/>
      <c r="D135" s="45" t="s">
        <v>458</v>
      </c>
      <c r="E135" s="107">
        <v>44461</v>
      </c>
      <c r="F135" s="107">
        <v>44463</v>
      </c>
      <c r="G135" s="107">
        <v>44552</v>
      </c>
      <c r="H135" s="93" t="s">
        <v>15</v>
      </c>
      <c r="I135" s="64">
        <v>1000000</v>
      </c>
      <c r="J135" s="64" t="s">
        <v>4</v>
      </c>
      <c r="K135" s="66">
        <v>1365159.3</v>
      </c>
      <c r="L135" s="55">
        <v>0.73251524565667903</v>
      </c>
      <c r="M135" s="46">
        <v>-1365159.3</v>
      </c>
      <c r="N135" s="48">
        <v>9</v>
      </c>
      <c r="O135" s="58">
        <v>0.75687823957921907</v>
      </c>
      <c r="P135" s="61">
        <v>2.4362736434380552E-2</v>
      </c>
      <c r="Q135" s="13">
        <v>-1218818.866909272</v>
      </c>
      <c r="R135" s="41">
        <v>-43941.895370314473</v>
      </c>
      <c r="S135" s="38"/>
      <c r="U135" s="51">
        <v>-1219442</v>
      </c>
    </row>
    <row r="136" spans="1:21" s="7" customFormat="1" x14ac:dyDescent="0.25">
      <c r="A136" s="90">
        <v>1006716</v>
      </c>
      <c r="B136" s="45" t="s">
        <v>493</v>
      </c>
      <c r="C136" s="45"/>
      <c r="D136" s="45" t="s">
        <v>458</v>
      </c>
      <c r="E136" s="107">
        <v>44462</v>
      </c>
      <c r="F136" s="107">
        <v>44466</v>
      </c>
      <c r="G136" s="107">
        <v>44553</v>
      </c>
      <c r="H136" s="93" t="s">
        <v>15</v>
      </c>
      <c r="I136" s="64">
        <v>1000000</v>
      </c>
      <c r="J136" s="64" t="s">
        <v>4</v>
      </c>
      <c r="K136" s="66">
        <v>1362421.8</v>
      </c>
      <c r="L136" s="55">
        <v>0.73398708094659082</v>
      </c>
      <c r="M136" s="46">
        <v>-1362421.8</v>
      </c>
      <c r="N136" s="48">
        <v>10</v>
      </c>
      <c r="O136" s="58">
        <v>0.75687290220521941</v>
      </c>
      <c r="P136" s="61">
        <v>2.2885672413530428E-2</v>
      </c>
      <c r="Q136" s="13">
        <v>-1142628.4433431278</v>
      </c>
      <c r="R136" s="41">
        <v>-41195.013359000266</v>
      </c>
      <c r="S136" s="38"/>
      <c r="U136" s="51">
        <v>-1143637</v>
      </c>
    </row>
    <row r="137" spans="1:21" s="7" customFormat="1" x14ac:dyDescent="0.25">
      <c r="A137" s="90">
        <v>1006799</v>
      </c>
      <c r="B137" s="45" t="s">
        <v>493</v>
      </c>
      <c r="C137" s="45"/>
      <c r="D137" s="45" t="s">
        <v>467</v>
      </c>
      <c r="E137" s="107">
        <v>44462</v>
      </c>
      <c r="F137" s="107">
        <v>42079</v>
      </c>
      <c r="G137" s="107">
        <v>44648</v>
      </c>
      <c r="H137" s="93" t="s">
        <v>4</v>
      </c>
      <c r="I137" s="64">
        <v>5300000</v>
      </c>
      <c r="J137" s="64" t="s">
        <v>0</v>
      </c>
      <c r="K137" s="66">
        <v>147361200</v>
      </c>
      <c r="L137" s="55">
        <v>27.803999999999998</v>
      </c>
      <c r="M137" s="46">
        <v>5300000</v>
      </c>
      <c r="N137" s="48">
        <v>105</v>
      </c>
      <c r="O137" s="58">
        <v>27.726442119186022</v>
      </c>
      <c r="P137" s="61">
        <v>-7.7512472805522911E-2</v>
      </c>
      <c r="Q137" s="13">
        <v>-410816.10586927144</v>
      </c>
      <c r="R137" s="41">
        <v>-14811.0919765499</v>
      </c>
      <c r="S137" s="38"/>
      <c r="U137" s="51">
        <v>-399978</v>
      </c>
    </row>
    <row r="138" spans="1:21" s="7" customFormat="1" x14ac:dyDescent="0.25">
      <c r="A138" s="90">
        <v>1006805</v>
      </c>
      <c r="B138" s="45" t="s">
        <v>493</v>
      </c>
      <c r="C138" s="45"/>
      <c r="D138" s="45" t="s">
        <v>467</v>
      </c>
      <c r="E138" s="107">
        <v>44462</v>
      </c>
      <c r="F138" s="107">
        <v>42079</v>
      </c>
      <c r="G138" s="107">
        <v>44648</v>
      </c>
      <c r="H138" s="93" t="s">
        <v>4</v>
      </c>
      <c r="I138" s="64">
        <v>7500000</v>
      </c>
      <c r="J138" s="64" t="s">
        <v>0</v>
      </c>
      <c r="K138" s="66">
        <v>208530000</v>
      </c>
      <c r="L138" s="55">
        <v>27.803999999999998</v>
      </c>
      <c r="M138" s="46">
        <v>7500000</v>
      </c>
      <c r="N138" s="48">
        <v>105</v>
      </c>
      <c r="O138" s="58">
        <v>27.726442119186022</v>
      </c>
      <c r="P138" s="61">
        <v>-7.7512472805522911E-2</v>
      </c>
      <c r="Q138" s="13">
        <v>-581343.54604142183</v>
      </c>
      <c r="R138" s="41">
        <v>-20959.092419646084</v>
      </c>
      <c r="S138" s="38"/>
      <c r="U138" s="51">
        <v>-566006</v>
      </c>
    </row>
    <row r="139" spans="1:21" s="7" customFormat="1" x14ac:dyDescent="0.25">
      <c r="A139" s="90">
        <v>1006806</v>
      </c>
      <c r="B139" s="45" t="s">
        <v>493</v>
      </c>
      <c r="C139" s="45"/>
      <c r="D139" s="45" t="s">
        <v>467</v>
      </c>
      <c r="E139" s="107">
        <v>44462</v>
      </c>
      <c r="F139" s="107">
        <v>42079</v>
      </c>
      <c r="G139" s="107">
        <v>44648</v>
      </c>
      <c r="H139" s="93" t="s">
        <v>4</v>
      </c>
      <c r="I139" s="64">
        <v>4811600</v>
      </c>
      <c r="J139" s="64" t="s">
        <v>0</v>
      </c>
      <c r="K139" s="66">
        <v>133781726.40000001</v>
      </c>
      <c r="L139" s="55">
        <v>27.804000000000002</v>
      </c>
      <c r="M139" s="46">
        <v>4811600</v>
      </c>
      <c r="N139" s="48">
        <v>105</v>
      </c>
      <c r="O139" s="58">
        <v>27.726442119186022</v>
      </c>
      <c r="P139" s="61">
        <v>-7.7512472805526464E-2</v>
      </c>
      <c r="Q139" s="13">
        <v>-372959.0141510712</v>
      </c>
      <c r="R139" s="41">
        <v>-13446.235878183164</v>
      </c>
      <c r="S139" s="38"/>
      <c r="U139" s="51">
        <v>-363120</v>
      </c>
    </row>
    <row r="140" spans="1:21" s="7" customFormat="1" x14ac:dyDescent="0.25">
      <c r="A140" s="90">
        <v>1006809</v>
      </c>
      <c r="B140" s="45" t="s">
        <v>493</v>
      </c>
      <c r="C140" s="45"/>
      <c r="D140" s="45" t="s">
        <v>467</v>
      </c>
      <c r="E140" s="107">
        <v>44462</v>
      </c>
      <c r="F140" s="107">
        <v>42079</v>
      </c>
      <c r="G140" s="107">
        <v>44648</v>
      </c>
      <c r="H140" s="93" t="s">
        <v>4</v>
      </c>
      <c r="I140" s="64">
        <v>8296640.9699999997</v>
      </c>
      <c r="J140" s="64" t="s">
        <v>0</v>
      </c>
      <c r="K140" s="66">
        <v>230679805.53</v>
      </c>
      <c r="L140" s="55">
        <v>27.804000000014465</v>
      </c>
      <c r="M140" s="46">
        <v>8296640.9699999997</v>
      </c>
      <c r="N140" s="48">
        <v>105</v>
      </c>
      <c r="O140" s="58">
        <v>27.726442119186022</v>
      </c>
      <c r="P140" s="61">
        <v>-7.7512472819981096E-2</v>
      </c>
      <c r="Q140" s="13">
        <v>-643093.15768426657</v>
      </c>
      <c r="R140" s="41">
        <v>-23185.341986038315</v>
      </c>
      <c r="S140" s="38"/>
      <c r="U140" s="51">
        <v>-626127</v>
      </c>
    </row>
    <row r="141" spans="1:21" s="7" customFormat="1" x14ac:dyDescent="0.25">
      <c r="A141" s="90">
        <v>1007980</v>
      </c>
      <c r="B141" s="45" t="s">
        <v>493</v>
      </c>
      <c r="C141" s="45"/>
      <c r="D141" s="45" t="s">
        <v>482</v>
      </c>
      <c r="E141" s="107">
        <v>44463</v>
      </c>
      <c r="F141" s="107">
        <v>43809</v>
      </c>
      <c r="G141" s="107">
        <v>44546</v>
      </c>
      <c r="H141" s="93" t="s">
        <v>4</v>
      </c>
      <c r="I141" s="64">
        <v>14000000</v>
      </c>
      <c r="J141" s="64" t="s">
        <v>0</v>
      </c>
      <c r="K141" s="66">
        <v>388487400</v>
      </c>
      <c r="L141" s="55">
        <v>27.749099999999999</v>
      </c>
      <c r="M141" s="46">
        <v>14000000</v>
      </c>
      <c r="N141" s="48">
        <v>3</v>
      </c>
      <c r="O141" s="58">
        <v>27.737084290563608</v>
      </c>
      <c r="P141" s="61">
        <v>-1.201562680032665E-2</v>
      </c>
      <c r="Q141" s="13">
        <v>-168218.77520457309</v>
      </c>
      <c r="R141" s="41">
        <v>-6064.7664883186008</v>
      </c>
      <c r="S141" s="38"/>
      <c r="U141" s="51">
        <v>-169798</v>
      </c>
    </row>
    <row r="142" spans="1:21" s="7" customFormat="1" x14ac:dyDescent="0.25">
      <c r="A142" s="90">
        <v>1007981</v>
      </c>
      <c r="B142" s="45" t="s">
        <v>493</v>
      </c>
      <c r="C142" s="45"/>
      <c r="D142" s="45" t="s">
        <v>482</v>
      </c>
      <c r="E142" s="107">
        <v>44463</v>
      </c>
      <c r="F142" s="107">
        <v>43839</v>
      </c>
      <c r="G142" s="107">
        <v>44546</v>
      </c>
      <c r="H142" s="93" t="s">
        <v>4</v>
      </c>
      <c r="I142" s="64">
        <v>37000000</v>
      </c>
      <c r="J142" s="64" t="s">
        <v>0</v>
      </c>
      <c r="K142" s="66">
        <v>1026716700</v>
      </c>
      <c r="L142" s="55">
        <v>27.749099999999999</v>
      </c>
      <c r="M142" s="46">
        <v>37000000</v>
      </c>
      <c r="N142" s="48">
        <v>3</v>
      </c>
      <c r="O142" s="58">
        <v>27.737084290563608</v>
      </c>
      <c r="P142" s="61">
        <v>-1.201562680032665E-2</v>
      </c>
      <c r="Q142" s="13">
        <v>-444578.19161208614</v>
      </c>
      <c r="R142" s="41">
        <v>-16028.311433413448</v>
      </c>
      <c r="S142" s="38"/>
      <c r="U142" s="51">
        <v>-448753</v>
      </c>
    </row>
    <row r="143" spans="1:21" s="7" customFormat="1" x14ac:dyDescent="0.25">
      <c r="A143" s="90">
        <v>1009133</v>
      </c>
      <c r="B143" s="45" t="s">
        <v>493</v>
      </c>
      <c r="C143" s="45"/>
      <c r="D143" s="45" t="s">
        <v>467</v>
      </c>
      <c r="E143" s="107">
        <v>44466</v>
      </c>
      <c r="F143" s="107">
        <v>42272</v>
      </c>
      <c r="G143" s="107">
        <v>44741</v>
      </c>
      <c r="H143" s="93" t="s">
        <v>4</v>
      </c>
      <c r="I143" s="64">
        <v>20000000</v>
      </c>
      <c r="J143" s="64" t="s">
        <v>0</v>
      </c>
      <c r="K143" s="66">
        <v>553580000</v>
      </c>
      <c r="L143" s="55">
        <v>27.678999999999998</v>
      </c>
      <c r="M143" s="46">
        <v>20000000</v>
      </c>
      <c r="N143" s="48">
        <v>198</v>
      </c>
      <c r="O143" s="58">
        <v>27.699770660504115</v>
      </c>
      <c r="P143" s="61">
        <v>2.075659864381546E-2</v>
      </c>
      <c r="Q143" s="13">
        <v>415131.97287630918</v>
      </c>
      <c r="R143" s="41">
        <v>14966.691287985208</v>
      </c>
      <c r="S143" s="38"/>
      <c r="U143" s="51">
        <v>463005</v>
      </c>
    </row>
    <row r="144" spans="1:21" s="7" customFormat="1" x14ac:dyDescent="0.25">
      <c r="A144" s="90">
        <v>1010181</v>
      </c>
      <c r="B144" s="45" t="s">
        <v>493</v>
      </c>
      <c r="C144" s="45"/>
      <c r="D144" s="45" t="s">
        <v>467</v>
      </c>
      <c r="E144" s="107">
        <v>44467</v>
      </c>
      <c r="F144" s="107">
        <v>42367</v>
      </c>
      <c r="G144" s="107">
        <v>44742</v>
      </c>
      <c r="H144" s="93" t="s">
        <v>4</v>
      </c>
      <c r="I144" s="64">
        <v>5000000</v>
      </c>
      <c r="J144" s="64" t="s">
        <v>0</v>
      </c>
      <c r="K144" s="66">
        <v>138655000</v>
      </c>
      <c r="L144" s="55">
        <v>27.731000000000002</v>
      </c>
      <c r="M144" s="46">
        <v>5000000</v>
      </c>
      <c r="N144" s="48">
        <v>199</v>
      </c>
      <c r="O144" s="58">
        <v>27.699401810183272</v>
      </c>
      <c r="P144" s="61">
        <v>-3.1576768343426952E-2</v>
      </c>
      <c r="Q144" s="13">
        <v>-157883.84171713478</v>
      </c>
      <c r="R144" s="41">
        <v>-5692.1626681005964</v>
      </c>
      <c r="S144" s="38"/>
      <c r="U144" s="51">
        <v>-146010</v>
      </c>
    </row>
    <row r="145" spans="1:21" s="7" customFormat="1" x14ac:dyDescent="0.25">
      <c r="A145" s="90">
        <v>1010182</v>
      </c>
      <c r="B145" s="45" t="s">
        <v>493</v>
      </c>
      <c r="C145" s="45"/>
      <c r="D145" s="45" t="s">
        <v>467</v>
      </c>
      <c r="E145" s="107">
        <v>44467</v>
      </c>
      <c r="F145" s="107">
        <v>42331</v>
      </c>
      <c r="G145" s="107">
        <v>44742</v>
      </c>
      <c r="H145" s="93" t="s">
        <v>4</v>
      </c>
      <c r="I145" s="64">
        <v>15000000</v>
      </c>
      <c r="J145" s="64" t="s">
        <v>0</v>
      </c>
      <c r="K145" s="66">
        <v>415965000</v>
      </c>
      <c r="L145" s="55">
        <v>27.731000000000002</v>
      </c>
      <c r="M145" s="46">
        <v>15000000</v>
      </c>
      <c r="N145" s="48">
        <v>199</v>
      </c>
      <c r="O145" s="58">
        <v>27.699401810183272</v>
      </c>
      <c r="P145" s="61">
        <v>-3.1576768343426952E-2</v>
      </c>
      <c r="Q145" s="13">
        <v>-473651.52515140426</v>
      </c>
      <c r="R145" s="41">
        <v>-17076.488004301787</v>
      </c>
      <c r="S145" s="38"/>
      <c r="U145" s="51">
        <v>-438031</v>
      </c>
    </row>
    <row r="146" spans="1:21" s="7" customFormat="1" x14ac:dyDescent="0.25">
      <c r="A146" s="90">
        <v>1012932</v>
      </c>
      <c r="B146" s="45" t="s">
        <v>493</v>
      </c>
      <c r="C146" s="45"/>
      <c r="D146" s="45" t="s">
        <v>475</v>
      </c>
      <c r="E146" s="107">
        <v>44470</v>
      </c>
      <c r="F146" s="107">
        <v>44474</v>
      </c>
      <c r="G146" s="107">
        <v>44747</v>
      </c>
      <c r="H146" s="93" t="s">
        <v>4</v>
      </c>
      <c r="I146" s="64">
        <v>10000000</v>
      </c>
      <c r="J146" s="64" t="s">
        <v>0</v>
      </c>
      <c r="K146" s="66">
        <v>278170000</v>
      </c>
      <c r="L146" s="55">
        <v>27.817</v>
      </c>
      <c r="M146" s="46">
        <v>10000000</v>
      </c>
      <c r="N146" s="48">
        <v>204</v>
      </c>
      <c r="O146" s="58">
        <v>27.697530445509447</v>
      </c>
      <c r="P146" s="61">
        <v>-0.11938805278742289</v>
      </c>
      <c r="Q146" s="13">
        <v>-1193880.5278742288</v>
      </c>
      <c r="R146" s="41">
        <v>-43042.797141415074</v>
      </c>
      <c r="S146" s="38"/>
      <c r="U146" s="51">
        <v>-1171152</v>
      </c>
    </row>
    <row r="147" spans="1:21" s="7" customFormat="1" x14ac:dyDescent="0.25">
      <c r="A147" s="90">
        <v>1012934</v>
      </c>
      <c r="B147" s="45" t="s">
        <v>493</v>
      </c>
      <c r="C147" s="45"/>
      <c r="D147" s="45" t="s">
        <v>466</v>
      </c>
      <c r="E147" s="107">
        <v>44470</v>
      </c>
      <c r="F147" s="107">
        <v>44474</v>
      </c>
      <c r="G147" s="107">
        <v>44747</v>
      </c>
      <c r="H147" s="93" t="s">
        <v>0</v>
      </c>
      <c r="I147" s="64">
        <v>278170000</v>
      </c>
      <c r="J147" s="64" t="s">
        <v>4</v>
      </c>
      <c r="K147" s="66">
        <v>10000000</v>
      </c>
      <c r="L147" s="55">
        <v>27.817</v>
      </c>
      <c r="M147" s="46">
        <v>-10000000</v>
      </c>
      <c r="N147" s="48">
        <v>204</v>
      </c>
      <c r="O147" s="58">
        <v>27.697530445509447</v>
      </c>
      <c r="P147" s="61">
        <v>-0.11938805278742289</v>
      </c>
      <c r="Q147" s="13">
        <v>1193880.5278742288</v>
      </c>
      <c r="R147" s="41">
        <v>43042.797141415074</v>
      </c>
      <c r="S147" s="38"/>
      <c r="U147" s="51">
        <v>1171152</v>
      </c>
    </row>
    <row r="148" spans="1:21" s="7" customFormat="1" x14ac:dyDescent="0.25">
      <c r="A148" s="90">
        <v>1013017</v>
      </c>
      <c r="B148" s="45" t="s">
        <v>493</v>
      </c>
      <c r="C148" s="45"/>
      <c r="D148" s="45" t="s">
        <v>483</v>
      </c>
      <c r="E148" s="107">
        <v>44470</v>
      </c>
      <c r="F148" s="107">
        <v>44474</v>
      </c>
      <c r="G148" s="107">
        <v>44566</v>
      </c>
      <c r="H148" s="93" t="s">
        <v>0</v>
      </c>
      <c r="I148" s="64">
        <v>278625000</v>
      </c>
      <c r="J148" s="64" t="s">
        <v>4</v>
      </c>
      <c r="K148" s="66">
        <v>10000000</v>
      </c>
      <c r="L148" s="55">
        <v>27.862500000000001</v>
      </c>
      <c r="M148" s="46">
        <v>-10000000</v>
      </c>
      <c r="N148" s="48">
        <v>23</v>
      </c>
      <c r="O148" s="58">
        <v>27.736227571619192</v>
      </c>
      <c r="P148" s="61">
        <v>-0.12626679099820962</v>
      </c>
      <c r="Q148" s="13">
        <v>1262667.9099820962</v>
      </c>
      <c r="R148" s="41">
        <v>45522.7783998663</v>
      </c>
      <c r="S148" s="38"/>
      <c r="U148" s="51">
        <v>1353983</v>
      </c>
    </row>
    <row r="149" spans="1:21" s="7" customFormat="1" x14ac:dyDescent="0.25">
      <c r="A149" s="90">
        <v>1013024</v>
      </c>
      <c r="B149" s="45" t="s">
        <v>493</v>
      </c>
      <c r="C149" s="45"/>
      <c r="D149" s="45" t="s">
        <v>476</v>
      </c>
      <c r="E149" s="107">
        <v>44470</v>
      </c>
      <c r="F149" s="107">
        <v>44441</v>
      </c>
      <c r="G149" s="107">
        <v>44566</v>
      </c>
      <c r="H149" s="93" t="s">
        <v>4</v>
      </c>
      <c r="I149" s="64">
        <v>22000000</v>
      </c>
      <c r="J149" s="64" t="s">
        <v>0</v>
      </c>
      <c r="K149" s="66">
        <v>613058600</v>
      </c>
      <c r="L149" s="55">
        <v>27.866299999999999</v>
      </c>
      <c r="M149" s="46">
        <v>22000000</v>
      </c>
      <c r="N149" s="48">
        <v>23</v>
      </c>
      <c r="O149" s="58">
        <v>27.736227571619192</v>
      </c>
      <c r="P149" s="61">
        <v>-0.13006662134871155</v>
      </c>
      <c r="Q149" s="13">
        <v>-2861465.6696716542</v>
      </c>
      <c r="R149" s="41">
        <v>-103163.99628872707</v>
      </c>
      <c r="S149" s="38"/>
      <c r="U149" s="51">
        <v>-3062358</v>
      </c>
    </row>
    <row r="150" spans="1:21" s="7" customFormat="1" x14ac:dyDescent="0.25">
      <c r="A150" s="90">
        <v>1014811</v>
      </c>
      <c r="B150" s="45" t="s">
        <v>493</v>
      </c>
      <c r="C150" s="45"/>
      <c r="D150" s="45" t="s">
        <v>330</v>
      </c>
      <c r="E150" s="107">
        <v>44474</v>
      </c>
      <c r="F150" s="107">
        <v>44476</v>
      </c>
      <c r="G150" s="107">
        <v>44659</v>
      </c>
      <c r="H150" s="93" t="s">
        <v>4</v>
      </c>
      <c r="I150" s="64">
        <v>6000000</v>
      </c>
      <c r="J150" s="64" t="s">
        <v>0</v>
      </c>
      <c r="K150" s="66">
        <v>167406000</v>
      </c>
      <c r="L150" s="55">
        <v>27.901</v>
      </c>
      <c r="M150" s="46">
        <v>6000000</v>
      </c>
      <c r="N150" s="48">
        <v>116</v>
      </c>
      <c r="O150" s="58">
        <v>27.724123175816231</v>
      </c>
      <c r="P150" s="61">
        <v>-0.17676823304721934</v>
      </c>
      <c r="Q150" s="13">
        <v>-1060609.3982833161</v>
      </c>
      <c r="R150" s="41">
        <v>-38237.992923690872</v>
      </c>
      <c r="S150" s="38"/>
      <c r="U150" s="51">
        <v>-1047450</v>
      </c>
    </row>
    <row r="151" spans="1:21" s="7" customFormat="1" x14ac:dyDescent="0.25">
      <c r="A151" s="90">
        <v>1015602</v>
      </c>
      <c r="B151" s="45" t="s">
        <v>493</v>
      </c>
      <c r="C151" s="45"/>
      <c r="D151" s="45" t="s">
        <v>469</v>
      </c>
      <c r="E151" s="107">
        <v>44475</v>
      </c>
      <c r="F151" s="107">
        <v>43649</v>
      </c>
      <c r="G151" s="107">
        <v>44657</v>
      </c>
      <c r="H151" s="93" t="s">
        <v>0</v>
      </c>
      <c r="I151" s="64">
        <v>13952500</v>
      </c>
      <c r="J151" s="64" t="s">
        <v>4</v>
      </c>
      <c r="K151" s="66">
        <v>500000</v>
      </c>
      <c r="L151" s="55">
        <v>27.905000000000001</v>
      </c>
      <c r="M151" s="46">
        <v>-500000</v>
      </c>
      <c r="N151" s="48">
        <v>114</v>
      </c>
      <c r="O151" s="58">
        <v>27.724561805215263</v>
      </c>
      <c r="P151" s="61">
        <v>-0.1803282674147309</v>
      </c>
      <c r="Q151" s="13">
        <v>90164.133707365458</v>
      </c>
      <c r="R151" s="41">
        <v>3250.6741051449644</v>
      </c>
      <c r="S151" s="38"/>
      <c r="U151" s="51">
        <v>89078</v>
      </c>
    </row>
    <row r="152" spans="1:21" s="7" customFormat="1" x14ac:dyDescent="0.25">
      <c r="A152" s="90">
        <v>1016480</v>
      </c>
      <c r="B152" s="45" t="s">
        <v>493</v>
      </c>
      <c r="C152" s="45"/>
      <c r="D152" s="45" t="s">
        <v>471</v>
      </c>
      <c r="E152" s="107">
        <v>44476</v>
      </c>
      <c r="F152" s="107">
        <v>44481</v>
      </c>
      <c r="G152" s="107">
        <v>44846</v>
      </c>
      <c r="H152" s="93" t="s">
        <v>4</v>
      </c>
      <c r="I152" s="64">
        <v>10000000</v>
      </c>
      <c r="J152" s="64" t="s">
        <v>0</v>
      </c>
      <c r="K152" s="66">
        <v>278790000</v>
      </c>
      <c r="L152" s="55">
        <v>27.879000000000001</v>
      </c>
      <c r="M152" s="46">
        <v>10000000</v>
      </c>
      <c r="N152" s="48">
        <v>303</v>
      </c>
      <c r="O152" s="58">
        <v>27.653747011197904</v>
      </c>
      <c r="P152" s="61">
        <v>-0.22511154791328347</v>
      </c>
      <c r="Q152" s="13">
        <v>-2251115.4791328348</v>
      </c>
      <c r="R152" s="41">
        <v>-81159.131628304342</v>
      </c>
      <c r="S152" s="38"/>
      <c r="U152" s="51">
        <v>-2226004</v>
      </c>
    </row>
    <row r="153" spans="1:21" s="7" customFormat="1" x14ac:dyDescent="0.25">
      <c r="A153" s="90">
        <v>1016535</v>
      </c>
      <c r="B153" s="45" t="s">
        <v>493</v>
      </c>
      <c r="C153" s="45"/>
      <c r="D153" s="45" t="s">
        <v>476</v>
      </c>
      <c r="E153" s="107">
        <v>44476</v>
      </c>
      <c r="F153" s="107">
        <v>44294</v>
      </c>
      <c r="G153" s="107">
        <v>44573</v>
      </c>
      <c r="H153" s="93" t="s">
        <v>4</v>
      </c>
      <c r="I153" s="64">
        <v>20000000</v>
      </c>
      <c r="J153" s="64" t="s">
        <v>0</v>
      </c>
      <c r="K153" s="66">
        <v>559670000</v>
      </c>
      <c r="L153" s="55">
        <v>27.983499999999999</v>
      </c>
      <c r="M153" s="46">
        <v>20000000</v>
      </c>
      <c r="N153" s="48">
        <v>30</v>
      </c>
      <c r="O153" s="58">
        <v>27.735501674671418</v>
      </c>
      <c r="P153" s="61">
        <v>-0.24798479875089827</v>
      </c>
      <c r="Q153" s="13">
        <v>-4959695.9750179658</v>
      </c>
      <c r="R153" s="41">
        <v>-178811.18148053123</v>
      </c>
      <c r="S153" s="38"/>
      <c r="U153" s="51">
        <v>-5004836</v>
      </c>
    </row>
    <row r="154" spans="1:21" s="7" customFormat="1" x14ac:dyDescent="0.25">
      <c r="A154" s="90">
        <v>1017420</v>
      </c>
      <c r="B154" s="45" t="s">
        <v>493</v>
      </c>
      <c r="C154" s="45"/>
      <c r="D154" s="45" t="s">
        <v>458</v>
      </c>
      <c r="E154" s="107">
        <v>44477</v>
      </c>
      <c r="F154" s="107">
        <v>44481</v>
      </c>
      <c r="G154" s="107">
        <v>44573</v>
      </c>
      <c r="H154" s="93" t="s">
        <v>4</v>
      </c>
      <c r="I154" s="64">
        <v>7312459</v>
      </c>
      <c r="J154" s="64" t="s">
        <v>6</v>
      </c>
      <c r="K154" s="66">
        <v>10000000</v>
      </c>
      <c r="L154" s="55">
        <v>1.3675290350345897</v>
      </c>
      <c r="M154" s="46">
        <v>7312459</v>
      </c>
      <c r="N154" s="48">
        <v>30</v>
      </c>
      <c r="O154" s="58">
        <v>1.398298575464922</v>
      </c>
      <c r="P154" s="61">
        <v>3.0773083579167259E-2</v>
      </c>
      <c r="Q154" s="13">
        <v>4462691.6053727465</v>
      </c>
      <c r="R154" s="41">
        <v>160892.75684626191</v>
      </c>
      <c r="S154" s="38"/>
      <c r="U154" s="51">
        <v>4455176</v>
      </c>
    </row>
    <row r="155" spans="1:21" s="7" customFormat="1" x14ac:dyDescent="0.25">
      <c r="A155" s="90">
        <v>1019003</v>
      </c>
      <c r="B155" s="45" t="s">
        <v>493</v>
      </c>
      <c r="C155" s="45"/>
      <c r="D155" s="45" t="s">
        <v>465</v>
      </c>
      <c r="E155" s="107">
        <v>44481</v>
      </c>
      <c r="F155" s="107">
        <v>44483</v>
      </c>
      <c r="G155" s="107">
        <v>44665</v>
      </c>
      <c r="H155" s="93" t="s">
        <v>4</v>
      </c>
      <c r="I155" s="64">
        <v>10000000</v>
      </c>
      <c r="J155" s="64" t="s">
        <v>0</v>
      </c>
      <c r="K155" s="66">
        <v>280900000</v>
      </c>
      <c r="L155" s="55">
        <v>28.09</v>
      </c>
      <c r="M155" s="46">
        <v>10000000</v>
      </c>
      <c r="N155" s="48">
        <v>122</v>
      </c>
      <c r="O155" s="58">
        <v>27.722761954799367</v>
      </c>
      <c r="P155" s="61">
        <v>-0.36700784676042719</v>
      </c>
      <c r="Q155" s="13">
        <v>-3670078.4676042721</v>
      </c>
      <c r="R155" s="41">
        <v>-132316.79325186869</v>
      </c>
      <c r="S155" s="38"/>
      <c r="U155" s="51">
        <v>-3647467</v>
      </c>
    </row>
    <row r="156" spans="1:21" s="7" customFormat="1" x14ac:dyDescent="0.25">
      <c r="A156" s="90">
        <v>1019994</v>
      </c>
      <c r="B156" s="45" t="s">
        <v>493</v>
      </c>
      <c r="C156" s="45"/>
      <c r="D156" s="45" t="s">
        <v>474</v>
      </c>
      <c r="E156" s="107">
        <v>44482</v>
      </c>
      <c r="F156" s="107">
        <v>44315</v>
      </c>
      <c r="G156" s="107">
        <v>44670</v>
      </c>
      <c r="H156" s="93" t="s">
        <v>0</v>
      </c>
      <c r="I156" s="64">
        <v>25788000</v>
      </c>
      <c r="J156" s="64" t="s">
        <v>3</v>
      </c>
      <c r="K156" s="66">
        <v>6000000</v>
      </c>
      <c r="L156" s="55">
        <v>0.23266635644485809</v>
      </c>
      <c r="M156" s="46">
        <v>-6000000</v>
      </c>
      <c r="N156" s="48">
        <v>127</v>
      </c>
      <c r="O156" s="58">
        <v>27.721575668454019</v>
      </c>
      <c r="P156" s="61">
        <v>27.471421630370539</v>
      </c>
      <c r="Q156" s="13"/>
      <c r="R156" s="41">
        <v>-5942538.4742361158</v>
      </c>
      <c r="S156" s="38"/>
      <c r="U156" s="51"/>
    </row>
    <row r="157" spans="1:21" s="7" customFormat="1" x14ac:dyDescent="0.25">
      <c r="A157" s="90">
        <v>1020000</v>
      </c>
      <c r="B157" s="45" t="s">
        <v>493</v>
      </c>
      <c r="C157" s="45"/>
      <c r="D157" s="45" t="s">
        <v>484</v>
      </c>
      <c r="E157" s="107">
        <v>44482</v>
      </c>
      <c r="F157" s="107">
        <v>44487</v>
      </c>
      <c r="G157" s="107">
        <v>44670</v>
      </c>
      <c r="H157" s="93" t="s">
        <v>3</v>
      </c>
      <c r="I157" s="64">
        <v>6090900.1500000004</v>
      </c>
      <c r="J157" s="64" t="s">
        <v>4</v>
      </c>
      <c r="K157" s="66">
        <v>930000</v>
      </c>
      <c r="L157" s="55">
        <v>6.5493550000000003</v>
      </c>
      <c r="M157" s="46">
        <v>-930000</v>
      </c>
      <c r="N157" s="48">
        <v>127</v>
      </c>
      <c r="O157" s="58">
        <v>6.4248178575201695</v>
      </c>
      <c r="P157" s="61">
        <v>-0.12339587096726598</v>
      </c>
      <c r="Q157" s="13">
        <v>499416.12730673229</v>
      </c>
      <c r="R157" s="41">
        <v>18005.375374611489</v>
      </c>
      <c r="S157" s="38"/>
      <c r="U157" s="51">
        <v>481818</v>
      </c>
    </row>
    <row r="158" spans="1:21" s="7" customFormat="1" x14ac:dyDescent="0.25">
      <c r="A158" s="90">
        <v>1021816</v>
      </c>
      <c r="B158" s="45" t="s">
        <v>493</v>
      </c>
      <c r="C158" s="45"/>
      <c r="D158" s="45" t="s">
        <v>485</v>
      </c>
      <c r="E158" s="107">
        <v>44484</v>
      </c>
      <c r="F158" s="107">
        <v>44166</v>
      </c>
      <c r="G158" s="107">
        <v>44550</v>
      </c>
      <c r="H158" s="93" t="s">
        <v>4</v>
      </c>
      <c r="I158" s="64">
        <v>5000000</v>
      </c>
      <c r="J158" s="64" t="s">
        <v>0</v>
      </c>
      <c r="K158" s="66">
        <v>140432500</v>
      </c>
      <c r="L158" s="55">
        <v>28.086500000000001</v>
      </c>
      <c r="M158" s="46">
        <v>5000000</v>
      </c>
      <c r="N158" s="48">
        <v>7</v>
      </c>
      <c r="O158" s="58">
        <v>27.737057233823201</v>
      </c>
      <c r="P158" s="61">
        <v>-0.3494373305393485</v>
      </c>
      <c r="Q158" s="13">
        <v>-1747186.6526967424</v>
      </c>
      <c r="R158" s="41">
        <v>-62991.0605830204</v>
      </c>
      <c r="S158" s="38"/>
      <c r="U158" s="51">
        <v>-1747899</v>
      </c>
    </row>
    <row r="159" spans="1:21" s="7" customFormat="1" x14ac:dyDescent="0.25">
      <c r="A159" s="90">
        <v>1022856</v>
      </c>
      <c r="B159" s="45" t="s">
        <v>493</v>
      </c>
      <c r="C159" s="45"/>
      <c r="D159" s="45" t="s">
        <v>473</v>
      </c>
      <c r="E159" s="107">
        <v>44487</v>
      </c>
      <c r="F159" s="107">
        <v>44489</v>
      </c>
      <c r="G159" s="107">
        <v>44559</v>
      </c>
      <c r="H159" s="93" t="s">
        <v>15</v>
      </c>
      <c r="I159" s="64">
        <v>2000000</v>
      </c>
      <c r="J159" s="64" t="s">
        <v>4</v>
      </c>
      <c r="K159" s="66">
        <v>2745878</v>
      </c>
      <c r="L159" s="55">
        <v>0.72836447941241378</v>
      </c>
      <c r="M159" s="46">
        <v>-2745878</v>
      </c>
      <c r="N159" s="48">
        <v>16</v>
      </c>
      <c r="O159" s="58">
        <v>0.75682219824424435</v>
      </c>
      <c r="P159" s="61">
        <v>2.8458854115884769E-2</v>
      </c>
      <c r="Q159" s="13">
        <v>-2863705.913913751</v>
      </c>
      <c r="R159" s="41">
        <v>-103244.76348126307</v>
      </c>
      <c r="S159" s="38"/>
      <c r="U159" s="51">
        <v>-2869160</v>
      </c>
    </row>
    <row r="160" spans="1:21" s="7" customFormat="1" x14ac:dyDescent="0.25">
      <c r="A160" s="90">
        <v>1022862</v>
      </c>
      <c r="B160" s="45" t="s">
        <v>493</v>
      </c>
      <c r="C160" s="45"/>
      <c r="D160" s="45" t="s">
        <v>464</v>
      </c>
      <c r="E160" s="107">
        <v>44487</v>
      </c>
      <c r="F160" s="107">
        <v>44489</v>
      </c>
      <c r="G160" s="107">
        <v>44581</v>
      </c>
      <c r="H160" s="93" t="s">
        <v>4</v>
      </c>
      <c r="I160" s="64">
        <v>10000000</v>
      </c>
      <c r="J160" s="64" t="s">
        <v>0</v>
      </c>
      <c r="K160" s="66">
        <v>279790000</v>
      </c>
      <c r="L160" s="55">
        <v>27.978999999999999</v>
      </c>
      <c r="M160" s="46">
        <v>10000000</v>
      </c>
      <c r="N160" s="48">
        <v>38</v>
      </c>
      <c r="O160" s="58">
        <v>27.734767834637964</v>
      </c>
      <c r="P160" s="61">
        <v>-0.24421926443136677</v>
      </c>
      <c r="Q160" s="13">
        <v>-2442192.6443136679</v>
      </c>
      <c r="R160" s="41">
        <v>-88048.008251394465</v>
      </c>
      <c r="S160" s="38"/>
      <c r="U160" s="51">
        <v>-2442844</v>
      </c>
    </row>
    <row r="161" spans="1:21" s="7" customFormat="1" x14ac:dyDescent="0.25">
      <c r="A161" s="90">
        <v>1022938</v>
      </c>
      <c r="B161" s="45" t="s">
        <v>493</v>
      </c>
      <c r="C161" s="45"/>
      <c r="D161" s="45" t="s">
        <v>477</v>
      </c>
      <c r="E161" s="107">
        <v>44487</v>
      </c>
      <c r="F161" s="107">
        <v>44489</v>
      </c>
      <c r="G161" s="107">
        <v>44550</v>
      </c>
      <c r="H161" s="93" t="s">
        <v>4</v>
      </c>
      <c r="I161" s="64">
        <v>20000000</v>
      </c>
      <c r="J161" s="64" t="s">
        <v>0</v>
      </c>
      <c r="K161" s="66">
        <v>560152000</v>
      </c>
      <c r="L161" s="55">
        <v>28.0076</v>
      </c>
      <c r="M161" s="46">
        <v>20000000</v>
      </c>
      <c r="N161" s="48">
        <v>7</v>
      </c>
      <c r="O161" s="58">
        <v>27.737057233823201</v>
      </c>
      <c r="P161" s="61">
        <v>-0.27053855784131647</v>
      </c>
      <c r="Q161" s="13">
        <v>-5410771.1568263294</v>
      </c>
      <c r="R161" s="41">
        <v>-195073.72793538863</v>
      </c>
      <c r="S161" s="38"/>
      <c r="U161" s="51">
        <v>-5413622</v>
      </c>
    </row>
    <row r="162" spans="1:21" s="7" customFormat="1" x14ac:dyDescent="0.25">
      <c r="A162" s="90">
        <v>1022940</v>
      </c>
      <c r="B162" s="45" t="s">
        <v>493</v>
      </c>
      <c r="C162" s="45"/>
      <c r="D162" s="45" t="s">
        <v>486</v>
      </c>
      <c r="E162" s="107">
        <v>44487</v>
      </c>
      <c r="F162" s="107">
        <v>44489</v>
      </c>
      <c r="G162" s="107">
        <v>44854</v>
      </c>
      <c r="H162" s="93" t="s">
        <v>4</v>
      </c>
      <c r="I162" s="64">
        <v>10000000</v>
      </c>
      <c r="J162" s="64" t="s">
        <v>0</v>
      </c>
      <c r="K162" s="66">
        <v>278990000</v>
      </c>
      <c r="L162" s="55">
        <v>27.899000000000001</v>
      </c>
      <c r="M162" s="46">
        <v>10000000</v>
      </c>
      <c r="N162" s="48">
        <v>311</v>
      </c>
      <c r="O162" s="58">
        <v>27.649934586431296</v>
      </c>
      <c r="P162" s="61">
        <v>-0.24891325888865179</v>
      </c>
      <c r="Q162" s="13">
        <v>-2489132.588886518</v>
      </c>
      <c r="R162" s="41">
        <v>-89740.327093109663</v>
      </c>
      <c r="S162" s="38"/>
      <c r="U162" s="51">
        <v>-2464965</v>
      </c>
    </row>
    <row r="163" spans="1:21" s="7" customFormat="1" x14ac:dyDescent="0.25">
      <c r="A163" s="90">
        <v>1022953</v>
      </c>
      <c r="B163" s="45" t="s">
        <v>493</v>
      </c>
      <c r="C163" s="45"/>
      <c r="D163" s="45" t="s">
        <v>329</v>
      </c>
      <c r="E163" s="107">
        <v>44487</v>
      </c>
      <c r="F163" s="107">
        <v>44489</v>
      </c>
      <c r="G163" s="107">
        <v>44550</v>
      </c>
      <c r="H163" s="93" t="s">
        <v>4</v>
      </c>
      <c r="I163" s="64">
        <v>30000000</v>
      </c>
      <c r="J163" s="64" t="s">
        <v>0</v>
      </c>
      <c r="K163" s="66">
        <v>839811000</v>
      </c>
      <c r="L163" s="55">
        <v>27.9937</v>
      </c>
      <c r="M163" s="46">
        <v>30000000</v>
      </c>
      <c r="N163" s="48">
        <v>7</v>
      </c>
      <c r="O163" s="58">
        <v>27.737057233823201</v>
      </c>
      <c r="P163" s="61">
        <v>-0.25663877405801361</v>
      </c>
      <c r="Q163" s="13">
        <v>-7699163.2217404079</v>
      </c>
      <c r="R163" s="41">
        <v>-277576.78676783585</v>
      </c>
      <c r="S163" s="38"/>
      <c r="U163" s="51">
        <v>-7703441</v>
      </c>
    </row>
    <row r="164" spans="1:21" s="7" customFormat="1" x14ac:dyDescent="0.25">
      <c r="A164" s="90">
        <v>1022955</v>
      </c>
      <c r="B164" s="45" t="s">
        <v>493</v>
      </c>
      <c r="C164" s="45"/>
      <c r="D164" s="45" t="s">
        <v>483</v>
      </c>
      <c r="E164" s="107">
        <v>44487</v>
      </c>
      <c r="F164" s="107">
        <v>44489</v>
      </c>
      <c r="G164" s="107">
        <v>44550</v>
      </c>
      <c r="H164" s="93" t="s">
        <v>0</v>
      </c>
      <c r="I164" s="64">
        <v>839811000</v>
      </c>
      <c r="J164" s="64" t="s">
        <v>4</v>
      </c>
      <c r="K164" s="66">
        <v>30000000</v>
      </c>
      <c r="L164" s="55">
        <v>27.9937</v>
      </c>
      <c r="M164" s="46">
        <v>-30000000</v>
      </c>
      <c r="N164" s="48">
        <v>7</v>
      </c>
      <c r="O164" s="58">
        <v>27.737057233823201</v>
      </c>
      <c r="P164" s="61">
        <v>-0.25663877405801361</v>
      </c>
      <c r="Q164" s="13">
        <v>7699163.2217404079</v>
      </c>
      <c r="R164" s="41">
        <v>277576.78676783585</v>
      </c>
      <c r="S164" s="38"/>
      <c r="U164" s="51">
        <v>7703441</v>
      </c>
    </row>
    <row r="165" spans="1:21" s="7" customFormat="1" x14ac:dyDescent="0.25">
      <c r="A165" s="90">
        <v>1023892</v>
      </c>
      <c r="B165" s="45" t="s">
        <v>493</v>
      </c>
      <c r="C165" s="45"/>
      <c r="D165" s="45" t="s">
        <v>477</v>
      </c>
      <c r="E165" s="107">
        <v>44488</v>
      </c>
      <c r="F165" s="107">
        <v>44490</v>
      </c>
      <c r="G165" s="107">
        <v>44672</v>
      </c>
      <c r="H165" s="93" t="s">
        <v>4</v>
      </c>
      <c r="I165" s="64">
        <v>10000000</v>
      </c>
      <c r="J165" s="64" t="s">
        <v>0</v>
      </c>
      <c r="K165" s="66">
        <v>279220000</v>
      </c>
      <c r="L165" s="55">
        <v>27.922000000000001</v>
      </c>
      <c r="M165" s="46">
        <v>10000000</v>
      </c>
      <c r="N165" s="48">
        <v>129</v>
      </c>
      <c r="O165" s="58">
        <v>27.721087936119758</v>
      </c>
      <c r="P165" s="61">
        <v>-0.20078357136239708</v>
      </c>
      <c r="Q165" s="13">
        <v>-2007835.713623971</v>
      </c>
      <c r="R165" s="41">
        <v>-72388.202418114408</v>
      </c>
      <c r="S165" s="38"/>
      <c r="U165" s="51">
        <v>-1985007</v>
      </c>
    </row>
    <row r="166" spans="1:21" s="7" customFormat="1" x14ac:dyDescent="0.25">
      <c r="A166" s="90">
        <v>1024755</v>
      </c>
      <c r="B166" s="45" t="s">
        <v>493</v>
      </c>
      <c r="C166" s="45"/>
      <c r="D166" s="45" t="s">
        <v>462</v>
      </c>
      <c r="E166" s="107">
        <v>44489</v>
      </c>
      <c r="F166" s="107">
        <v>43943</v>
      </c>
      <c r="G166" s="107">
        <v>44858</v>
      </c>
      <c r="H166" s="93" t="s">
        <v>0</v>
      </c>
      <c r="I166" s="64">
        <v>26481250</v>
      </c>
      <c r="J166" s="64" t="s">
        <v>4</v>
      </c>
      <c r="K166" s="66">
        <v>950000</v>
      </c>
      <c r="L166" s="55">
        <v>27.875</v>
      </c>
      <c r="M166" s="46">
        <v>-950000</v>
      </c>
      <c r="N166" s="48">
        <v>315</v>
      </c>
      <c r="O166" s="58">
        <v>27.64799744966674</v>
      </c>
      <c r="P166" s="61">
        <v>-0.2268659525815708</v>
      </c>
      <c r="Q166" s="13">
        <v>215522.6549524923</v>
      </c>
      <c r="R166" s="41">
        <v>7770.206230783413</v>
      </c>
      <c r="S166" s="38"/>
      <c r="U166" s="51">
        <v>213266</v>
      </c>
    </row>
    <row r="167" spans="1:21" s="7" customFormat="1" x14ac:dyDescent="0.25">
      <c r="A167" s="90">
        <v>1024758</v>
      </c>
      <c r="B167" s="45" t="s">
        <v>493</v>
      </c>
      <c r="C167" s="45"/>
      <c r="D167" s="45" t="s">
        <v>462</v>
      </c>
      <c r="E167" s="107">
        <v>44489</v>
      </c>
      <c r="F167" s="107">
        <v>43943</v>
      </c>
      <c r="G167" s="107">
        <v>44858</v>
      </c>
      <c r="H167" s="93" t="s">
        <v>0</v>
      </c>
      <c r="I167" s="64">
        <v>26481250</v>
      </c>
      <c r="J167" s="64" t="s">
        <v>4</v>
      </c>
      <c r="K167" s="66">
        <v>950000</v>
      </c>
      <c r="L167" s="55">
        <v>27.875</v>
      </c>
      <c r="M167" s="46">
        <v>-950000</v>
      </c>
      <c r="N167" s="48">
        <v>315</v>
      </c>
      <c r="O167" s="58">
        <v>27.64799744966674</v>
      </c>
      <c r="P167" s="61">
        <v>-0.2268659525815708</v>
      </c>
      <c r="Q167" s="13">
        <v>215522.6549524923</v>
      </c>
      <c r="R167" s="41">
        <v>7770.206230783413</v>
      </c>
      <c r="S167" s="38"/>
      <c r="U167" s="51">
        <v>213266</v>
      </c>
    </row>
    <row r="168" spans="1:21" s="7" customFormat="1" x14ac:dyDescent="0.25">
      <c r="A168" s="90">
        <v>1024762</v>
      </c>
      <c r="B168" s="45" t="s">
        <v>493</v>
      </c>
      <c r="C168" s="45"/>
      <c r="D168" s="45" t="s">
        <v>477</v>
      </c>
      <c r="E168" s="107">
        <v>44489</v>
      </c>
      <c r="F168" s="107">
        <v>44491</v>
      </c>
      <c r="G168" s="107">
        <v>44858</v>
      </c>
      <c r="H168" s="93" t="s">
        <v>4</v>
      </c>
      <c r="I168" s="64">
        <v>10000000</v>
      </c>
      <c r="J168" s="64" t="s">
        <v>0</v>
      </c>
      <c r="K168" s="66">
        <v>277670000</v>
      </c>
      <c r="L168" s="55">
        <v>27.766999999999999</v>
      </c>
      <c r="M168" s="46">
        <v>10000000</v>
      </c>
      <c r="N168" s="48">
        <v>315</v>
      </c>
      <c r="O168" s="58">
        <v>27.64799744966674</v>
      </c>
      <c r="P168" s="61">
        <v>-0.11893094109011708</v>
      </c>
      <c r="Q168" s="13">
        <v>-1189309.4109011707</v>
      </c>
      <c r="R168" s="41">
        <v>-42877.995340910507</v>
      </c>
      <c r="S168" s="38"/>
      <c r="U168" s="51">
        <v>-1165696</v>
      </c>
    </row>
    <row r="169" spans="1:21" s="7" customFormat="1" x14ac:dyDescent="0.25">
      <c r="A169" s="90">
        <v>1025652</v>
      </c>
      <c r="B169" s="45" t="s">
        <v>493</v>
      </c>
      <c r="C169" s="45"/>
      <c r="D169" s="45" t="s">
        <v>487</v>
      </c>
      <c r="E169" s="107">
        <v>44490</v>
      </c>
      <c r="F169" s="107">
        <v>44372</v>
      </c>
      <c r="G169" s="107">
        <v>44585</v>
      </c>
      <c r="H169" s="93" t="s">
        <v>4</v>
      </c>
      <c r="I169" s="64">
        <v>1000000</v>
      </c>
      <c r="J169" s="64" t="s">
        <v>0</v>
      </c>
      <c r="K169" s="66">
        <v>27882000</v>
      </c>
      <c r="L169" s="55">
        <v>27.882000000000001</v>
      </c>
      <c r="M169" s="46">
        <v>1000000</v>
      </c>
      <c r="N169" s="48">
        <v>42</v>
      </c>
      <c r="O169" s="58">
        <v>27.734350546934756</v>
      </c>
      <c r="P169" s="61">
        <v>-0.14764216007128264</v>
      </c>
      <c r="Q169" s="13">
        <v>-147642.16007128268</v>
      </c>
      <c r="R169" s="41">
        <v>-5322.9208426607511</v>
      </c>
      <c r="S169" s="38"/>
      <c r="U169" s="51">
        <v>-147512</v>
      </c>
    </row>
    <row r="170" spans="1:21" s="7" customFormat="1" x14ac:dyDescent="0.25">
      <c r="A170" s="90">
        <v>1026504</v>
      </c>
      <c r="B170" s="45" t="s">
        <v>493</v>
      </c>
      <c r="C170" s="45"/>
      <c r="D170" s="45" t="s">
        <v>483</v>
      </c>
      <c r="E170" s="107">
        <v>44491</v>
      </c>
      <c r="F170" s="107">
        <v>44495</v>
      </c>
      <c r="G170" s="107">
        <v>44557</v>
      </c>
      <c r="H170" s="93" t="s">
        <v>4</v>
      </c>
      <c r="I170" s="64">
        <v>10000000</v>
      </c>
      <c r="J170" s="64" t="s">
        <v>0</v>
      </c>
      <c r="K170" s="66">
        <v>278960000</v>
      </c>
      <c r="L170" s="55">
        <v>27.896000000000001</v>
      </c>
      <c r="M170" s="46">
        <v>10000000</v>
      </c>
      <c r="N170" s="48">
        <v>14</v>
      </c>
      <c r="O170" s="58">
        <v>27.736836282415243</v>
      </c>
      <c r="P170" s="61">
        <v>-0.15915903999478814</v>
      </c>
      <c r="Q170" s="13">
        <v>-1591590.3999478817</v>
      </c>
      <c r="R170" s="41">
        <v>-57381.372019828501</v>
      </c>
      <c r="S170" s="38"/>
      <c r="U170" s="51">
        <v>-1593813</v>
      </c>
    </row>
    <row r="171" spans="1:21" s="7" customFormat="1" x14ac:dyDescent="0.25">
      <c r="A171" s="90">
        <v>1026757</v>
      </c>
      <c r="B171" s="45" t="s">
        <v>493</v>
      </c>
      <c r="C171" s="45"/>
      <c r="D171" s="45" t="s">
        <v>477</v>
      </c>
      <c r="E171" s="107">
        <v>44491</v>
      </c>
      <c r="F171" s="107">
        <v>44495</v>
      </c>
      <c r="G171" s="107">
        <v>44557</v>
      </c>
      <c r="H171" s="93" t="s">
        <v>0</v>
      </c>
      <c r="I171" s="64">
        <v>557930000</v>
      </c>
      <c r="J171" s="64" t="s">
        <v>4</v>
      </c>
      <c r="K171" s="66">
        <v>20000000</v>
      </c>
      <c r="L171" s="55">
        <v>27.8965</v>
      </c>
      <c r="M171" s="46">
        <v>-20000000</v>
      </c>
      <c r="N171" s="48">
        <v>14</v>
      </c>
      <c r="O171" s="58">
        <v>27.736836282415243</v>
      </c>
      <c r="P171" s="61">
        <v>-0.15965902530051482</v>
      </c>
      <c r="Q171" s="13">
        <v>3193180.5060102968</v>
      </c>
      <c r="R171" s="41">
        <v>115123.26195724797</v>
      </c>
      <c r="S171" s="38"/>
      <c r="U171" s="51">
        <v>3197625</v>
      </c>
    </row>
    <row r="172" spans="1:21" s="7" customFormat="1" x14ac:dyDescent="0.25">
      <c r="A172" s="90">
        <v>1026759</v>
      </c>
      <c r="B172" s="45" t="s">
        <v>493</v>
      </c>
      <c r="C172" s="45"/>
      <c r="D172" s="45" t="s">
        <v>464</v>
      </c>
      <c r="E172" s="107">
        <v>44491</v>
      </c>
      <c r="F172" s="107">
        <v>44495</v>
      </c>
      <c r="G172" s="107">
        <v>44557</v>
      </c>
      <c r="H172" s="93" t="s">
        <v>4</v>
      </c>
      <c r="I172" s="64">
        <v>20000000</v>
      </c>
      <c r="J172" s="64" t="s">
        <v>0</v>
      </c>
      <c r="K172" s="66">
        <v>557930000</v>
      </c>
      <c r="L172" s="55">
        <v>27.8965</v>
      </c>
      <c r="M172" s="46">
        <v>20000000</v>
      </c>
      <c r="N172" s="48">
        <v>14</v>
      </c>
      <c r="O172" s="58">
        <v>27.736836282415243</v>
      </c>
      <c r="P172" s="61">
        <v>-0.15965902530051482</v>
      </c>
      <c r="Q172" s="13">
        <v>-3193180.5060102968</v>
      </c>
      <c r="R172" s="41">
        <v>-115123.26195724797</v>
      </c>
      <c r="S172" s="38"/>
      <c r="U172" s="51">
        <v>-3197625</v>
      </c>
    </row>
    <row r="173" spans="1:21" s="7" customFormat="1" x14ac:dyDescent="0.25">
      <c r="A173" s="90">
        <v>1026761</v>
      </c>
      <c r="B173" s="45" t="s">
        <v>493</v>
      </c>
      <c r="C173" s="45"/>
      <c r="D173" s="45" t="s">
        <v>328</v>
      </c>
      <c r="E173" s="107">
        <v>44491</v>
      </c>
      <c r="F173" s="107">
        <v>44495</v>
      </c>
      <c r="G173" s="107">
        <v>44588</v>
      </c>
      <c r="H173" s="93" t="s">
        <v>4</v>
      </c>
      <c r="I173" s="64">
        <v>3744054.5</v>
      </c>
      <c r="J173" s="64" t="s">
        <v>6</v>
      </c>
      <c r="K173" s="66">
        <v>5000000</v>
      </c>
      <c r="L173" s="55">
        <v>1.335450645817255</v>
      </c>
      <c r="M173" s="46">
        <v>3744054.5</v>
      </c>
      <c r="N173" s="48">
        <v>45</v>
      </c>
      <c r="O173" s="58">
        <v>1.3982081187689084</v>
      </c>
      <c r="P173" s="61">
        <v>6.2765951929893926E-2</v>
      </c>
      <c r="Q173" s="13">
        <v>4660459.0598709472</v>
      </c>
      <c r="R173" s="41">
        <v>168022.83747526506</v>
      </c>
      <c r="S173" s="38"/>
      <c r="U173" s="51">
        <v>4657588</v>
      </c>
    </row>
    <row r="174" spans="1:21" s="7" customFormat="1" x14ac:dyDescent="0.25">
      <c r="A174" s="90">
        <v>1026762</v>
      </c>
      <c r="B174" s="45" t="s">
        <v>493</v>
      </c>
      <c r="C174" s="45"/>
      <c r="D174" s="45" t="s">
        <v>478</v>
      </c>
      <c r="E174" s="107">
        <v>44491</v>
      </c>
      <c r="F174" s="107">
        <v>44168</v>
      </c>
      <c r="G174" s="107">
        <v>44707</v>
      </c>
      <c r="H174" s="93" t="s">
        <v>4</v>
      </c>
      <c r="I174" s="64">
        <v>6000000</v>
      </c>
      <c r="J174" s="64" t="s">
        <v>0</v>
      </c>
      <c r="K174" s="66">
        <v>167106000</v>
      </c>
      <c r="L174" s="55">
        <v>27.850999999999999</v>
      </c>
      <c r="M174" s="46">
        <v>6000000</v>
      </c>
      <c r="N174" s="48">
        <v>164</v>
      </c>
      <c r="O174" s="58">
        <v>27.71133063666813</v>
      </c>
      <c r="P174" s="61">
        <v>-0.13957644595357813</v>
      </c>
      <c r="Q174" s="13">
        <v>-837458.67572146875</v>
      </c>
      <c r="R174" s="41">
        <v>-30192.773105681033</v>
      </c>
      <c r="S174" s="38"/>
      <c r="U174" s="51">
        <v>-824156</v>
      </c>
    </row>
    <row r="175" spans="1:21" s="7" customFormat="1" x14ac:dyDescent="0.25">
      <c r="A175" s="90">
        <v>1026785</v>
      </c>
      <c r="B175" s="45" t="s">
        <v>493</v>
      </c>
      <c r="C175" s="45"/>
      <c r="D175" s="45" t="s">
        <v>458</v>
      </c>
      <c r="E175" s="107">
        <v>44491</v>
      </c>
      <c r="F175" s="107">
        <v>44495</v>
      </c>
      <c r="G175" s="107">
        <v>44588</v>
      </c>
      <c r="H175" s="93" t="s">
        <v>4</v>
      </c>
      <c r="I175" s="64">
        <v>3750704.5</v>
      </c>
      <c r="J175" s="64" t="s">
        <v>6</v>
      </c>
      <c r="K175" s="66">
        <v>5000000</v>
      </c>
      <c r="L175" s="55">
        <v>1.333082891494118</v>
      </c>
      <c r="M175" s="46">
        <v>3750704.5</v>
      </c>
      <c r="N175" s="48">
        <v>45</v>
      </c>
      <c r="O175" s="58">
        <v>1.3982081187689084</v>
      </c>
      <c r="P175" s="61">
        <v>6.5134026153378169E-2</v>
      </c>
      <c r="Q175" s="13">
        <v>4844881.8349101311</v>
      </c>
      <c r="R175" s="41">
        <v>174671.8043600861</v>
      </c>
      <c r="S175" s="38"/>
      <c r="U175" s="51">
        <v>4842010</v>
      </c>
    </row>
    <row r="176" spans="1:21" s="7" customFormat="1" x14ac:dyDescent="0.25">
      <c r="A176" s="90">
        <v>1027744</v>
      </c>
      <c r="B176" s="45" t="s">
        <v>493</v>
      </c>
      <c r="C176" s="45"/>
      <c r="D176" s="45" t="s">
        <v>475</v>
      </c>
      <c r="E176" s="107">
        <v>44494</v>
      </c>
      <c r="F176" s="107">
        <v>44496</v>
      </c>
      <c r="G176" s="107">
        <v>44769</v>
      </c>
      <c r="H176" s="93" t="s">
        <v>0</v>
      </c>
      <c r="I176" s="64">
        <v>556400000</v>
      </c>
      <c r="J176" s="64" t="s">
        <v>4</v>
      </c>
      <c r="K176" s="66">
        <v>20000000</v>
      </c>
      <c r="L176" s="55">
        <v>27.82</v>
      </c>
      <c r="M176" s="46">
        <v>-20000000</v>
      </c>
      <c r="N176" s="48">
        <v>226</v>
      </c>
      <c r="O176" s="58">
        <v>27.688759950768134</v>
      </c>
      <c r="P176" s="61">
        <v>-0.13114903129036537</v>
      </c>
      <c r="Q176" s="13">
        <v>2622980.6258073072</v>
      </c>
      <c r="R176" s="41">
        <v>94565.930465011785</v>
      </c>
      <c r="S176" s="38"/>
      <c r="U176" s="51">
        <v>2581393</v>
      </c>
    </row>
    <row r="177" spans="1:21" s="7" customFormat="1" x14ac:dyDescent="0.25">
      <c r="A177" s="90">
        <v>1027746</v>
      </c>
      <c r="B177" s="45" t="s">
        <v>493</v>
      </c>
      <c r="C177" s="45"/>
      <c r="D177" s="45" t="s">
        <v>465</v>
      </c>
      <c r="E177" s="107">
        <v>44494</v>
      </c>
      <c r="F177" s="107">
        <v>44496</v>
      </c>
      <c r="G177" s="107">
        <v>44769</v>
      </c>
      <c r="H177" s="93" t="s">
        <v>4</v>
      </c>
      <c r="I177" s="64">
        <v>20000000</v>
      </c>
      <c r="J177" s="64" t="s">
        <v>0</v>
      </c>
      <c r="K177" s="66">
        <v>556400000</v>
      </c>
      <c r="L177" s="55">
        <v>27.82</v>
      </c>
      <c r="M177" s="46">
        <v>20000000</v>
      </c>
      <c r="N177" s="48">
        <v>226</v>
      </c>
      <c r="O177" s="58">
        <v>27.688759950768134</v>
      </c>
      <c r="P177" s="61">
        <v>-0.13114903129036537</v>
      </c>
      <c r="Q177" s="13">
        <v>-2622980.6258073072</v>
      </c>
      <c r="R177" s="41">
        <v>-94565.930465011785</v>
      </c>
      <c r="S177" s="38"/>
      <c r="U177" s="51">
        <v>-2581393</v>
      </c>
    </row>
    <row r="178" spans="1:21" s="7" customFormat="1" x14ac:dyDescent="0.25">
      <c r="A178" s="90">
        <v>1028616</v>
      </c>
      <c r="B178" s="45" t="s">
        <v>493</v>
      </c>
      <c r="C178" s="45"/>
      <c r="D178" s="45" t="s">
        <v>473</v>
      </c>
      <c r="E178" s="107">
        <v>44495</v>
      </c>
      <c r="F178" s="107">
        <v>44497</v>
      </c>
      <c r="G178" s="107">
        <v>44588</v>
      </c>
      <c r="H178" s="93" t="s">
        <v>15</v>
      </c>
      <c r="I178" s="64">
        <v>2000000</v>
      </c>
      <c r="J178" s="64" t="s">
        <v>4</v>
      </c>
      <c r="K178" s="66">
        <v>2753582</v>
      </c>
      <c r="L178" s="55">
        <v>0.72632665379131622</v>
      </c>
      <c r="M178" s="46">
        <v>-2753582</v>
      </c>
      <c r="N178" s="48">
        <v>45</v>
      </c>
      <c r="O178" s="58">
        <v>0.75651551350411073</v>
      </c>
      <c r="P178" s="61">
        <v>3.0198961525904469E-2</v>
      </c>
      <c r="Q178" s="13">
        <v>-3047332.1409150949</v>
      </c>
      <c r="R178" s="41">
        <v>-109865.01253812257</v>
      </c>
      <c r="S178" s="38"/>
      <c r="U178" s="51">
        <v>-3046530</v>
      </c>
    </row>
    <row r="179" spans="1:21" s="7" customFormat="1" x14ac:dyDescent="0.25">
      <c r="A179" s="90">
        <v>1028726</v>
      </c>
      <c r="B179" s="45" t="s">
        <v>493</v>
      </c>
      <c r="C179" s="45"/>
      <c r="D179" s="45" t="s">
        <v>483</v>
      </c>
      <c r="E179" s="107">
        <v>44495</v>
      </c>
      <c r="F179" s="107">
        <v>44497</v>
      </c>
      <c r="G179" s="107">
        <v>44558</v>
      </c>
      <c r="H179" s="93" t="s">
        <v>4</v>
      </c>
      <c r="I179" s="64">
        <v>10000000</v>
      </c>
      <c r="J179" s="64" t="s">
        <v>0</v>
      </c>
      <c r="K179" s="66">
        <v>278290000</v>
      </c>
      <c r="L179" s="55">
        <v>27.829000000000001</v>
      </c>
      <c r="M179" s="46">
        <v>10000000</v>
      </c>
      <c r="N179" s="48">
        <v>15</v>
      </c>
      <c r="O179" s="58">
        <v>27.736786682171044</v>
      </c>
      <c r="P179" s="61">
        <v>-9.2210438542051326E-2</v>
      </c>
      <c r="Q179" s="13">
        <v>-922104.38542051334</v>
      </c>
      <c r="R179" s="41">
        <v>-33244.492290643655</v>
      </c>
      <c r="S179" s="38"/>
      <c r="U179" s="51">
        <v>-924317</v>
      </c>
    </row>
    <row r="180" spans="1:21" s="7" customFormat="1" x14ac:dyDescent="0.25">
      <c r="A180" s="90">
        <v>1029585</v>
      </c>
      <c r="B180" s="45" t="s">
        <v>493</v>
      </c>
      <c r="C180" s="45"/>
      <c r="D180" s="45" t="s">
        <v>328</v>
      </c>
      <c r="E180" s="107">
        <v>44496</v>
      </c>
      <c r="F180" s="107">
        <v>44498</v>
      </c>
      <c r="G180" s="107">
        <v>44592</v>
      </c>
      <c r="H180" s="93" t="s">
        <v>4</v>
      </c>
      <c r="I180" s="64">
        <v>15053446</v>
      </c>
      <c r="J180" s="64" t="s">
        <v>6</v>
      </c>
      <c r="K180" s="66">
        <v>20000000</v>
      </c>
      <c r="L180" s="55">
        <v>1.3285994449377239</v>
      </c>
      <c r="M180" s="46">
        <v>15053446</v>
      </c>
      <c r="N180" s="48">
        <v>49</v>
      </c>
      <c r="O180" s="58">
        <v>1.3981915852569726</v>
      </c>
      <c r="P180" s="61">
        <v>6.9601618218129394E-2</v>
      </c>
      <c r="Q180" s="13">
        <v>20778666.919970997</v>
      </c>
      <c r="R180" s="41">
        <v>749130.18867794331</v>
      </c>
      <c r="S180" s="38"/>
      <c r="U180" s="51">
        <v>20769457</v>
      </c>
    </row>
    <row r="181" spans="1:21" s="7" customFormat="1" x14ac:dyDescent="0.25">
      <c r="A181" s="90">
        <v>1029629</v>
      </c>
      <c r="B181" s="45" t="s">
        <v>493</v>
      </c>
      <c r="C181" s="45"/>
      <c r="D181" s="45" t="s">
        <v>329</v>
      </c>
      <c r="E181" s="107">
        <v>44496</v>
      </c>
      <c r="F181" s="107">
        <v>44498</v>
      </c>
      <c r="G181" s="107">
        <v>44680</v>
      </c>
      <c r="H181" s="93" t="s">
        <v>4</v>
      </c>
      <c r="I181" s="64">
        <v>10000000</v>
      </c>
      <c r="J181" s="64" t="s">
        <v>0</v>
      </c>
      <c r="K181" s="66">
        <v>277690000</v>
      </c>
      <c r="L181" s="55">
        <v>27.768999999999998</v>
      </c>
      <c r="M181" s="46">
        <v>10000000</v>
      </c>
      <c r="N181" s="48">
        <v>137</v>
      </c>
      <c r="O181" s="58">
        <v>27.719061490884059</v>
      </c>
      <c r="P181" s="61">
        <v>-4.9906000011518181E-2</v>
      </c>
      <c r="Q181" s="13">
        <v>-499060.00011518184</v>
      </c>
      <c r="R181" s="41">
        <v>-17992.535973930633</v>
      </c>
      <c r="S181" s="38"/>
      <c r="U181" s="51">
        <v>-476299</v>
      </c>
    </row>
    <row r="182" spans="1:21" s="7" customFormat="1" x14ac:dyDescent="0.25">
      <c r="A182" s="90">
        <v>1029664</v>
      </c>
      <c r="B182" s="45" t="s">
        <v>493</v>
      </c>
      <c r="C182" s="45"/>
      <c r="D182" s="45" t="s">
        <v>476</v>
      </c>
      <c r="E182" s="107">
        <v>44496</v>
      </c>
      <c r="F182" s="107">
        <v>44498</v>
      </c>
      <c r="G182" s="107">
        <v>44617</v>
      </c>
      <c r="H182" s="93" t="s">
        <v>4</v>
      </c>
      <c r="I182" s="64">
        <v>20000000</v>
      </c>
      <c r="J182" s="64" t="s">
        <v>0</v>
      </c>
      <c r="K182" s="66">
        <v>557080000</v>
      </c>
      <c r="L182" s="55">
        <v>27.853999999999999</v>
      </c>
      <c r="M182" s="46">
        <v>20000000</v>
      </c>
      <c r="N182" s="48">
        <v>74</v>
      </c>
      <c r="O182" s="58">
        <v>27.730766915736041</v>
      </c>
      <c r="P182" s="61">
        <v>-0.12320666651701602</v>
      </c>
      <c r="Q182" s="13">
        <v>-2464133.3303403202</v>
      </c>
      <c r="R182" s="41">
        <v>-88839.03254213334</v>
      </c>
      <c r="S182" s="38"/>
      <c r="U182" s="51">
        <v>-2458384</v>
      </c>
    </row>
    <row r="183" spans="1:21" s="7" customFormat="1" x14ac:dyDescent="0.25">
      <c r="A183" s="90">
        <v>1029672</v>
      </c>
      <c r="B183" s="45" t="s">
        <v>493</v>
      </c>
      <c r="C183" s="45"/>
      <c r="D183" s="45" t="s">
        <v>475</v>
      </c>
      <c r="E183" s="107">
        <v>44496</v>
      </c>
      <c r="F183" s="107">
        <v>44498</v>
      </c>
      <c r="G183" s="107">
        <v>44560</v>
      </c>
      <c r="H183" s="93" t="s">
        <v>4</v>
      </c>
      <c r="I183" s="64">
        <v>20000000</v>
      </c>
      <c r="J183" s="64" t="s">
        <v>0</v>
      </c>
      <c r="K183" s="66">
        <v>555976000</v>
      </c>
      <c r="L183" s="55">
        <v>27.7988</v>
      </c>
      <c r="M183" s="46">
        <v>20000000</v>
      </c>
      <c r="N183" s="48">
        <v>17</v>
      </c>
      <c r="O183" s="58">
        <v>27.73667395550137</v>
      </c>
      <c r="P183" s="61">
        <v>-6.2123883127235414E-2</v>
      </c>
      <c r="Q183" s="13">
        <v>-1242477.6625447082</v>
      </c>
      <c r="R183" s="41">
        <v>-44794.862411295944</v>
      </c>
      <c r="S183" s="38"/>
      <c r="U183" s="51">
        <v>-1303762</v>
      </c>
    </row>
    <row r="184" spans="1:21" s="7" customFormat="1" x14ac:dyDescent="0.25">
      <c r="A184" s="90">
        <v>1032442</v>
      </c>
      <c r="B184" s="45" t="s">
        <v>493</v>
      </c>
      <c r="C184" s="45"/>
      <c r="D184" s="45" t="s">
        <v>473</v>
      </c>
      <c r="E184" s="107">
        <v>44501</v>
      </c>
      <c r="F184" s="107">
        <v>44503</v>
      </c>
      <c r="G184" s="107">
        <v>44565</v>
      </c>
      <c r="H184" s="93" t="s">
        <v>4</v>
      </c>
      <c r="I184" s="64">
        <v>1368504</v>
      </c>
      <c r="J184" s="64" t="s">
        <v>15</v>
      </c>
      <c r="K184" s="66">
        <v>1000000</v>
      </c>
      <c r="L184" s="55">
        <v>0.73072493759609036</v>
      </c>
      <c r="M184" s="46">
        <v>1368504</v>
      </c>
      <c r="N184" s="48">
        <v>22</v>
      </c>
      <c r="O184" s="58">
        <v>0.75673947397692642</v>
      </c>
      <c r="P184" s="61">
        <v>2.6017762890815661E-2</v>
      </c>
      <c r="Q184" s="13">
        <v>1304805.5403186847</v>
      </c>
      <c r="R184" s="41">
        <v>47041.960120525691</v>
      </c>
      <c r="S184" s="38"/>
      <c r="U184" s="51">
        <v>1295150</v>
      </c>
    </row>
    <row r="185" spans="1:21" s="7" customFormat="1" x14ac:dyDescent="0.25">
      <c r="A185" s="90">
        <v>1032448</v>
      </c>
      <c r="B185" s="45" t="s">
        <v>493</v>
      </c>
      <c r="C185" s="45"/>
      <c r="D185" s="45" t="s">
        <v>473</v>
      </c>
      <c r="E185" s="107">
        <v>44501</v>
      </c>
      <c r="F185" s="107">
        <v>44503</v>
      </c>
      <c r="G185" s="107">
        <v>44565</v>
      </c>
      <c r="H185" s="93" t="s">
        <v>15</v>
      </c>
      <c r="I185" s="64">
        <v>1000000</v>
      </c>
      <c r="J185" s="64" t="s">
        <v>4</v>
      </c>
      <c r="K185" s="66">
        <v>1368773</v>
      </c>
      <c r="L185" s="55">
        <v>0.73058133087078725</v>
      </c>
      <c r="M185" s="46">
        <v>-1368773</v>
      </c>
      <c r="N185" s="48">
        <v>22</v>
      </c>
      <c r="O185" s="58">
        <v>0.75673947397692642</v>
      </c>
      <c r="P185" s="61">
        <v>2.6161387427258112E-2</v>
      </c>
      <c r="Q185" s="13">
        <v>-1312266.2870823434</v>
      </c>
      <c r="R185" s="41">
        <v>-47310.941314182834</v>
      </c>
      <c r="S185" s="38"/>
      <c r="U185" s="51">
        <v>-1302608</v>
      </c>
    </row>
    <row r="186" spans="1:21" s="7" customFormat="1" x14ac:dyDescent="0.25">
      <c r="A186" s="90">
        <v>1032450</v>
      </c>
      <c r="B186" s="45" t="s">
        <v>493</v>
      </c>
      <c r="C186" s="45"/>
      <c r="D186" s="45" t="s">
        <v>473</v>
      </c>
      <c r="E186" s="107">
        <v>44501</v>
      </c>
      <c r="F186" s="107">
        <v>44503</v>
      </c>
      <c r="G186" s="107">
        <v>44565</v>
      </c>
      <c r="H186" s="93" t="s">
        <v>15</v>
      </c>
      <c r="I186" s="64">
        <v>1000000</v>
      </c>
      <c r="J186" s="64" t="s">
        <v>4</v>
      </c>
      <c r="K186" s="66">
        <v>1368553</v>
      </c>
      <c r="L186" s="55">
        <v>0.73069877454508525</v>
      </c>
      <c r="M186" s="46">
        <v>-1368553</v>
      </c>
      <c r="N186" s="48">
        <v>22</v>
      </c>
      <c r="O186" s="58">
        <v>0.75673947397692642</v>
      </c>
      <c r="P186" s="61">
        <v>2.6043929186750605E-2</v>
      </c>
      <c r="Q186" s="13">
        <v>-1306164.5611046299</v>
      </c>
      <c r="R186" s="41">
        <v>-47090.956694834982</v>
      </c>
      <c r="S186" s="38"/>
      <c r="U186" s="51">
        <v>-1296508</v>
      </c>
    </row>
    <row r="187" spans="1:21" s="7" customFormat="1" x14ac:dyDescent="0.25">
      <c r="A187" s="90">
        <v>1032491</v>
      </c>
      <c r="B187" s="45" t="s">
        <v>493</v>
      </c>
      <c r="C187" s="45"/>
      <c r="D187" s="45" t="s">
        <v>330</v>
      </c>
      <c r="E187" s="107">
        <v>44501</v>
      </c>
      <c r="F187" s="107">
        <v>44503</v>
      </c>
      <c r="G187" s="107">
        <v>44685</v>
      </c>
      <c r="H187" s="93" t="s">
        <v>4</v>
      </c>
      <c r="I187" s="64">
        <v>5000000</v>
      </c>
      <c r="J187" s="64" t="s">
        <v>0</v>
      </c>
      <c r="K187" s="66">
        <v>139100000</v>
      </c>
      <c r="L187" s="55">
        <v>27.82</v>
      </c>
      <c r="M187" s="46">
        <v>5000000</v>
      </c>
      <c r="N187" s="48">
        <v>142</v>
      </c>
      <c r="O187" s="58">
        <v>27.717733617767628</v>
      </c>
      <c r="P187" s="61">
        <v>-0.1021992486404613</v>
      </c>
      <c r="Q187" s="13">
        <v>-510996.2432023065</v>
      </c>
      <c r="R187" s="41">
        <v>-18422.871571031392</v>
      </c>
      <c r="S187" s="38"/>
      <c r="U187" s="51">
        <v>-499711</v>
      </c>
    </row>
    <row r="188" spans="1:21" s="7" customFormat="1" x14ac:dyDescent="0.25">
      <c r="A188" s="90">
        <v>1034651</v>
      </c>
      <c r="B188" s="45" t="s">
        <v>493</v>
      </c>
      <c r="C188" s="45"/>
      <c r="D188" s="45" t="s">
        <v>328</v>
      </c>
      <c r="E188" s="107">
        <v>44503</v>
      </c>
      <c r="F188" s="107">
        <v>44505</v>
      </c>
      <c r="G188" s="107">
        <v>44687</v>
      </c>
      <c r="H188" s="93" t="s">
        <v>3</v>
      </c>
      <c r="I188" s="64">
        <v>9084754.9800000004</v>
      </c>
      <c r="J188" s="64" t="s">
        <v>4</v>
      </c>
      <c r="K188" s="66">
        <v>1400000</v>
      </c>
      <c r="L188" s="55">
        <v>6.4891107000000003</v>
      </c>
      <c r="M188" s="46">
        <v>-1400000</v>
      </c>
      <c r="N188" s="48">
        <v>144</v>
      </c>
      <c r="O188" s="58">
        <v>6.432097197085076</v>
      </c>
      <c r="P188" s="61">
        <v>-5.6416916044620471E-2</v>
      </c>
      <c r="Q188" s="13">
        <v>343729.15020581463</v>
      </c>
      <c r="R188" s="41">
        <v>12392.415939845599</v>
      </c>
      <c r="S188" s="38"/>
      <c r="U188" s="51">
        <v>316436</v>
      </c>
    </row>
    <row r="189" spans="1:21" s="7" customFormat="1" x14ac:dyDescent="0.25">
      <c r="A189" s="90">
        <v>1034661</v>
      </c>
      <c r="B189" s="45" t="s">
        <v>493</v>
      </c>
      <c r="C189" s="45"/>
      <c r="D189" s="45" t="s">
        <v>474</v>
      </c>
      <c r="E189" s="107">
        <v>44503</v>
      </c>
      <c r="F189" s="107">
        <v>44321</v>
      </c>
      <c r="G189" s="107">
        <v>44687</v>
      </c>
      <c r="H189" s="93" t="s">
        <v>0</v>
      </c>
      <c r="I189" s="64">
        <v>38668500</v>
      </c>
      <c r="J189" s="64" t="s">
        <v>3</v>
      </c>
      <c r="K189" s="66">
        <v>9000000</v>
      </c>
      <c r="L189" s="55">
        <v>0.2327475852438031</v>
      </c>
      <c r="M189" s="46">
        <v>-9000000</v>
      </c>
      <c r="N189" s="48">
        <v>144</v>
      </c>
      <c r="O189" s="58">
        <v>27.717189258359863</v>
      </c>
      <c r="P189" s="61">
        <v>27.466348994728289</v>
      </c>
      <c r="Q189" s="13"/>
      <c r="R189" s="41">
        <v>-8912161.764547592</v>
      </c>
      <c r="S189" s="38"/>
      <c r="U189" s="51"/>
    </row>
    <row r="190" spans="1:21" s="7" customFormat="1" x14ac:dyDescent="0.25">
      <c r="A190" s="90">
        <v>1036044</v>
      </c>
      <c r="B190" s="45" t="s">
        <v>493</v>
      </c>
      <c r="C190" s="45"/>
      <c r="D190" s="45" t="s">
        <v>458</v>
      </c>
      <c r="E190" s="107">
        <v>44504</v>
      </c>
      <c r="F190" s="107">
        <v>44508</v>
      </c>
      <c r="G190" s="107">
        <v>44600</v>
      </c>
      <c r="H190" s="93" t="s">
        <v>4</v>
      </c>
      <c r="I190" s="64">
        <v>23158310</v>
      </c>
      <c r="J190" s="64" t="s">
        <v>5</v>
      </c>
      <c r="K190" s="66">
        <v>20000000</v>
      </c>
      <c r="L190" s="55">
        <v>0.8636208773438131</v>
      </c>
      <c r="M190" s="46">
        <v>23158310</v>
      </c>
      <c r="N190" s="48">
        <v>57</v>
      </c>
      <c r="O190" s="58">
        <v>0.88456776954790961</v>
      </c>
      <c r="P190" s="61">
        <v>2.0976870101573144E-2</v>
      </c>
      <c r="Q190" s="13">
        <v>15208098.514747428</v>
      </c>
      <c r="R190" s="41">
        <v>548295.31430793984</v>
      </c>
      <c r="S190" s="38"/>
      <c r="U190" s="51">
        <v>15181804</v>
      </c>
    </row>
    <row r="191" spans="1:21" s="7" customFormat="1" x14ac:dyDescent="0.25">
      <c r="A191" s="90">
        <v>1036046</v>
      </c>
      <c r="B191" s="45" t="s">
        <v>493</v>
      </c>
      <c r="C191" s="45"/>
      <c r="D191" s="45" t="s">
        <v>458</v>
      </c>
      <c r="E191" s="107">
        <v>44504</v>
      </c>
      <c r="F191" s="107">
        <v>44508</v>
      </c>
      <c r="G191" s="107">
        <v>44600</v>
      </c>
      <c r="H191" s="93" t="s">
        <v>4</v>
      </c>
      <c r="I191" s="64">
        <v>23161898</v>
      </c>
      <c r="J191" s="64" t="s">
        <v>5</v>
      </c>
      <c r="K191" s="66">
        <v>20000000</v>
      </c>
      <c r="L191" s="55">
        <v>0.86348709419236713</v>
      </c>
      <c r="M191" s="46">
        <v>23161898</v>
      </c>
      <c r="N191" s="48">
        <v>57</v>
      </c>
      <c r="O191" s="58">
        <v>0.88456776954790961</v>
      </c>
      <c r="P191" s="61">
        <v>2.1110844715196843E-2</v>
      </c>
      <c r="Q191" s="13">
        <v>15307600.558642339</v>
      </c>
      <c r="R191" s="41">
        <v>551882.64670052915</v>
      </c>
      <c r="S191" s="38"/>
      <c r="U191" s="51">
        <v>15281305</v>
      </c>
    </row>
    <row r="192" spans="1:21" s="7" customFormat="1" x14ac:dyDescent="0.25">
      <c r="A192" s="90">
        <v>1036837</v>
      </c>
      <c r="B192" s="45" t="s">
        <v>493</v>
      </c>
      <c r="C192" s="45"/>
      <c r="D192" s="45" t="s">
        <v>328</v>
      </c>
      <c r="E192" s="107">
        <v>44504</v>
      </c>
      <c r="F192" s="107">
        <v>44508</v>
      </c>
      <c r="G192" s="107">
        <v>44600</v>
      </c>
      <c r="H192" s="93" t="s">
        <v>4</v>
      </c>
      <c r="I192" s="64">
        <v>11580141</v>
      </c>
      <c r="J192" s="64" t="s">
        <v>5</v>
      </c>
      <c r="K192" s="66">
        <v>10000000</v>
      </c>
      <c r="L192" s="55">
        <v>0.86354734368087571</v>
      </c>
      <c r="M192" s="46">
        <v>11580141</v>
      </c>
      <c r="N192" s="48">
        <v>57</v>
      </c>
      <c r="O192" s="58">
        <v>0.88456776954790961</v>
      </c>
      <c r="P192" s="61">
        <v>2.1050509001344097E-2</v>
      </c>
      <c r="Q192" s="13">
        <v>7631392.9071174189</v>
      </c>
      <c r="R192" s="41">
        <v>275133.47369217902</v>
      </c>
      <c r="S192" s="38"/>
      <c r="U192" s="51">
        <v>7618245</v>
      </c>
    </row>
    <row r="193" spans="1:21" s="7" customFormat="1" x14ac:dyDescent="0.25">
      <c r="A193" s="90">
        <v>1036929</v>
      </c>
      <c r="B193" s="45" t="s">
        <v>493</v>
      </c>
      <c r="C193" s="45"/>
      <c r="D193" s="45" t="s">
        <v>458</v>
      </c>
      <c r="E193" s="107">
        <v>44505</v>
      </c>
      <c r="F193" s="107">
        <v>44509</v>
      </c>
      <c r="G193" s="107">
        <v>44573</v>
      </c>
      <c r="H193" s="93" t="s">
        <v>15</v>
      </c>
      <c r="I193" s="64">
        <v>2000000</v>
      </c>
      <c r="J193" s="64" t="s">
        <v>4</v>
      </c>
      <c r="K193" s="66">
        <v>2700640.2</v>
      </c>
      <c r="L193" s="55">
        <v>0.74056514451647426</v>
      </c>
      <c r="M193" s="46">
        <v>-2700640.2</v>
      </c>
      <c r="N193" s="48">
        <v>30</v>
      </c>
      <c r="O193" s="58">
        <v>0.75657937186425439</v>
      </c>
      <c r="P193" s="61">
        <v>1.6018950579294179E-2</v>
      </c>
      <c r="Q193" s="13">
        <v>-1585369.7196784362</v>
      </c>
      <c r="R193" s="41">
        <v>-57157.098759089342</v>
      </c>
      <c r="S193" s="38"/>
      <c r="U193" s="51">
        <v>-1582415</v>
      </c>
    </row>
    <row r="194" spans="1:21" s="7" customFormat="1" x14ac:dyDescent="0.25">
      <c r="A194" s="90">
        <v>1037230</v>
      </c>
      <c r="B194" s="45" t="s">
        <v>493</v>
      </c>
      <c r="C194" s="45"/>
      <c r="D194" s="45" t="s">
        <v>476</v>
      </c>
      <c r="E194" s="107">
        <v>44505</v>
      </c>
      <c r="F194" s="107">
        <v>44509</v>
      </c>
      <c r="G194" s="107">
        <v>44603</v>
      </c>
      <c r="H194" s="93" t="s">
        <v>4</v>
      </c>
      <c r="I194" s="64">
        <v>20000000</v>
      </c>
      <c r="J194" s="64" t="s">
        <v>0</v>
      </c>
      <c r="K194" s="66">
        <v>558440000</v>
      </c>
      <c r="L194" s="55">
        <v>27.922000000000001</v>
      </c>
      <c r="M194" s="46">
        <v>20000000</v>
      </c>
      <c r="N194" s="48">
        <v>60</v>
      </c>
      <c r="O194" s="58">
        <v>27.732057233700473</v>
      </c>
      <c r="P194" s="61">
        <v>-0.18994033928078538</v>
      </c>
      <c r="Q194" s="13">
        <v>-3798806.7856157077</v>
      </c>
      <c r="R194" s="41">
        <v>-136957.81615923409</v>
      </c>
      <c r="S194" s="38"/>
      <c r="U194" s="51">
        <v>-3774907</v>
      </c>
    </row>
    <row r="195" spans="1:21" s="7" customFormat="1" x14ac:dyDescent="0.25">
      <c r="A195" s="90">
        <v>1038286</v>
      </c>
      <c r="B195" s="45" t="s">
        <v>493</v>
      </c>
      <c r="C195" s="45"/>
      <c r="D195" s="45" t="s">
        <v>328</v>
      </c>
      <c r="E195" s="107">
        <v>44508</v>
      </c>
      <c r="F195" s="107">
        <v>44510</v>
      </c>
      <c r="G195" s="107">
        <v>44601</v>
      </c>
      <c r="H195" s="93" t="s">
        <v>3</v>
      </c>
      <c r="I195" s="64">
        <v>3221740.35</v>
      </c>
      <c r="J195" s="64" t="s">
        <v>4</v>
      </c>
      <c r="K195" s="66">
        <v>500000</v>
      </c>
      <c r="L195" s="55">
        <v>6.4434807000000003</v>
      </c>
      <c r="M195" s="46">
        <v>-500000</v>
      </c>
      <c r="N195" s="48">
        <v>58</v>
      </c>
      <c r="O195" s="58">
        <v>6.396198108462289</v>
      </c>
      <c r="P195" s="61">
        <v>-4.7106292369026956E-2</v>
      </c>
      <c r="Q195" s="13">
        <v>102500.95551727588</v>
      </c>
      <c r="R195" s="41">
        <v>3695.4517073722618</v>
      </c>
      <c r="S195" s="38"/>
      <c r="U195" s="51">
        <v>95892</v>
      </c>
    </row>
    <row r="196" spans="1:21" s="7" customFormat="1" x14ac:dyDescent="0.25">
      <c r="A196" s="90">
        <v>1038302</v>
      </c>
      <c r="B196" s="45" t="s">
        <v>493</v>
      </c>
      <c r="C196" s="45"/>
      <c r="D196" s="45" t="s">
        <v>458</v>
      </c>
      <c r="E196" s="107">
        <v>44508</v>
      </c>
      <c r="F196" s="107">
        <v>44510</v>
      </c>
      <c r="G196" s="107">
        <v>44571</v>
      </c>
      <c r="H196" s="93" t="s">
        <v>15</v>
      </c>
      <c r="I196" s="64">
        <v>1000000</v>
      </c>
      <c r="J196" s="64" t="s">
        <v>4</v>
      </c>
      <c r="K196" s="66">
        <v>1349037.3</v>
      </c>
      <c r="L196" s="55">
        <v>0.74126934814923207</v>
      </c>
      <c r="M196" s="46">
        <v>-1349037.3</v>
      </c>
      <c r="N196" s="48">
        <v>28</v>
      </c>
      <c r="O196" s="58">
        <v>0.7566247329608804</v>
      </c>
      <c r="P196" s="61">
        <v>1.5359160941609124E-2</v>
      </c>
      <c r="Q196" s="13">
        <v>-759313.66972754744</v>
      </c>
      <c r="R196" s="41">
        <v>-27375.422824744579</v>
      </c>
      <c r="S196" s="38"/>
      <c r="U196" s="51">
        <v>-755979</v>
      </c>
    </row>
    <row r="197" spans="1:21" s="7" customFormat="1" x14ac:dyDescent="0.25">
      <c r="A197" s="90">
        <v>1038364</v>
      </c>
      <c r="B197" s="45" t="s">
        <v>493</v>
      </c>
      <c r="C197" s="45"/>
      <c r="D197" s="45" t="s">
        <v>467</v>
      </c>
      <c r="E197" s="107">
        <v>44508</v>
      </c>
      <c r="F197" s="107">
        <v>43286</v>
      </c>
      <c r="G197" s="107">
        <v>44875</v>
      </c>
      <c r="H197" s="93" t="s">
        <v>4</v>
      </c>
      <c r="I197" s="64">
        <v>10000000</v>
      </c>
      <c r="J197" s="64" t="s">
        <v>0</v>
      </c>
      <c r="K197" s="66">
        <v>278400000</v>
      </c>
      <c r="L197" s="55">
        <v>27.84</v>
      </c>
      <c r="M197" s="46">
        <v>10000000</v>
      </c>
      <c r="N197" s="48">
        <v>332</v>
      </c>
      <c r="O197" s="58">
        <v>27.639534770853224</v>
      </c>
      <c r="P197" s="61">
        <v>-0.20035336827498518</v>
      </c>
      <c r="Q197" s="13">
        <v>-2003533.6827498518</v>
      </c>
      <c r="R197" s="41">
        <v>-72233.101938721782</v>
      </c>
      <c r="S197" s="38"/>
      <c r="U197" s="51">
        <v>-1980611</v>
      </c>
    </row>
    <row r="198" spans="1:21" s="7" customFormat="1" x14ac:dyDescent="0.25">
      <c r="A198" s="90">
        <v>1039286</v>
      </c>
      <c r="B198" s="45" t="s">
        <v>493</v>
      </c>
      <c r="C198" s="45"/>
      <c r="D198" s="45" t="s">
        <v>473</v>
      </c>
      <c r="E198" s="107">
        <v>44509</v>
      </c>
      <c r="F198" s="107">
        <v>44512</v>
      </c>
      <c r="G198" s="107">
        <v>44573</v>
      </c>
      <c r="H198" s="93" t="s">
        <v>4</v>
      </c>
      <c r="I198" s="64">
        <v>2712888</v>
      </c>
      <c r="J198" s="64" t="s">
        <v>15</v>
      </c>
      <c r="K198" s="66">
        <v>2000000</v>
      </c>
      <c r="L198" s="55">
        <v>0.73722173565587668</v>
      </c>
      <c r="M198" s="46">
        <v>2712888</v>
      </c>
      <c r="N198" s="48">
        <v>30</v>
      </c>
      <c r="O198" s="58">
        <v>0.75657937186425439</v>
      </c>
      <c r="P198" s="61">
        <v>1.9363345543919875E-2</v>
      </c>
      <c r="Q198" s="13">
        <v>1925050.0688758574</v>
      </c>
      <c r="R198" s="41">
        <v>69403.543878236043</v>
      </c>
      <c r="S198" s="38"/>
      <c r="U198" s="51">
        <v>1922069</v>
      </c>
    </row>
    <row r="199" spans="1:21" s="7" customFormat="1" x14ac:dyDescent="0.25">
      <c r="A199" s="90">
        <v>1039302</v>
      </c>
      <c r="B199" s="45" t="s">
        <v>493</v>
      </c>
      <c r="C199" s="45"/>
      <c r="D199" s="45" t="s">
        <v>328</v>
      </c>
      <c r="E199" s="107">
        <v>44509</v>
      </c>
      <c r="F199" s="107">
        <v>44512</v>
      </c>
      <c r="G199" s="107">
        <v>44616</v>
      </c>
      <c r="H199" s="93" t="s">
        <v>3</v>
      </c>
      <c r="I199" s="64">
        <v>6445880.4000000004</v>
      </c>
      <c r="J199" s="64" t="s">
        <v>4</v>
      </c>
      <c r="K199" s="66">
        <v>1000000</v>
      </c>
      <c r="L199" s="55">
        <v>6.4458804000000001</v>
      </c>
      <c r="M199" s="46">
        <v>-1000000</v>
      </c>
      <c r="N199" s="48">
        <v>73</v>
      </c>
      <c r="O199" s="58">
        <v>6.402405182507418</v>
      </c>
      <c r="P199" s="61">
        <v>-4.3261063838142821E-2</v>
      </c>
      <c r="Q199" s="13">
        <v>188267.85794838419</v>
      </c>
      <c r="R199" s="41">
        <v>6787.5930871826176</v>
      </c>
      <c r="S199" s="38"/>
      <c r="U199" s="51">
        <v>173637</v>
      </c>
    </row>
    <row r="200" spans="1:21" s="7" customFormat="1" x14ac:dyDescent="0.25">
      <c r="A200" s="90">
        <v>1041269</v>
      </c>
      <c r="B200" s="45" t="s">
        <v>493</v>
      </c>
      <c r="C200" s="45"/>
      <c r="D200" s="45" t="s">
        <v>328</v>
      </c>
      <c r="E200" s="107">
        <v>44511</v>
      </c>
      <c r="F200" s="107">
        <v>44515</v>
      </c>
      <c r="G200" s="107">
        <v>44616</v>
      </c>
      <c r="H200" s="93" t="s">
        <v>3</v>
      </c>
      <c r="I200" s="64">
        <v>6451231.7999999998</v>
      </c>
      <c r="J200" s="64" t="s">
        <v>4</v>
      </c>
      <c r="K200" s="66">
        <v>1000000</v>
      </c>
      <c r="L200" s="55">
        <v>6.4512317999999995</v>
      </c>
      <c r="M200" s="46">
        <v>-1000000</v>
      </c>
      <c r="N200" s="48">
        <v>73</v>
      </c>
      <c r="O200" s="58">
        <v>6.402405182507418</v>
      </c>
      <c r="P200" s="61">
        <v>-4.8586103490052886E-2</v>
      </c>
      <c r="Q200" s="13">
        <v>211441.90222307426</v>
      </c>
      <c r="R200" s="41">
        <v>7623.0834594376356</v>
      </c>
      <c r="S200" s="38"/>
      <c r="U200" s="51">
        <v>196799</v>
      </c>
    </row>
    <row r="201" spans="1:21" s="7" customFormat="1" x14ac:dyDescent="0.25">
      <c r="A201" s="90">
        <v>1041286</v>
      </c>
      <c r="B201" s="45" t="s">
        <v>493</v>
      </c>
      <c r="C201" s="45"/>
      <c r="D201" s="45" t="s">
        <v>488</v>
      </c>
      <c r="E201" s="107">
        <v>44511</v>
      </c>
      <c r="F201" s="107">
        <v>44515</v>
      </c>
      <c r="G201" s="107">
        <v>44573</v>
      </c>
      <c r="H201" s="93" t="s">
        <v>5</v>
      </c>
      <c r="I201" s="64">
        <v>2000000</v>
      </c>
      <c r="J201" s="64" t="s">
        <v>4</v>
      </c>
      <c r="K201" s="66">
        <v>2299469.4</v>
      </c>
      <c r="L201" s="55">
        <v>0.86976586859559868</v>
      </c>
      <c r="M201" s="46">
        <v>-2299469.4</v>
      </c>
      <c r="N201" s="48">
        <v>30</v>
      </c>
      <c r="O201" s="58">
        <v>0.88515941563169187</v>
      </c>
      <c r="P201" s="61">
        <v>1.5406435918132519E-2</v>
      </c>
      <c r="Q201" s="13">
        <v>-1109065.4637499147</v>
      </c>
      <c r="R201" s="41">
        <v>-39984.972246541212</v>
      </c>
      <c r="S201" s="38"/>
      <c r="U201" s="51">
        <v>-1098978</v>
      </c>
    </row>
    <row r="202" spans="1:21" s="7" customFormat="1" x14ac:dyDescent="0.25">
      <c r="A202" s="90">
        <v>1042206</v>
      </c>
      <c r="B202" s="45" t="s">
        <v>493</v>
      </c>
      <c r="C202" s="45"/>
      <c r="D202" s="45" t="s">
        <v>460</v>
      </c>
      <c r="E202" s="107">
        <v>44512</v>
      </c>
      <c r="F202" s="107">
        <v>44516</v>
      </c>
      <c r="G202" s="107">
        <v>44608</v>
      </c>
      <c r="H202" s="93" t="s">
        <v>4</v>
      </c>
      <c r="I202" s="64">
        <v>10000000</v>
      </c>
      <c r="J202" s="64" t="s">
        <v>0</v>
      </c>
      <c r="K202" s="66">
        <v>278270000</v>
      </c>
      <c r="L202" s="55">
        <v>27.827000000000002</v>
      </c>
      <c r="M202" s="46">
        <v>10000000</v>
      </c>
      <c r="N202" s="48">
        <v>65</v>
      </c>
      <c r="O202" s="58">
        <v>27.731601722474803</v>
      </c>
      <c r="P202" s="61">
        <v>-9.539101223985369E-2</v>
      </c>
      <c r="Q202" s="13">
        <v>-953910.12239853689</v>
      </c>
      <c r="R202" s="41">
        <v>-34391.17979639925</v>
      </c>
      <c r="S202" s="38"/>
      <c r="U202" s="51">
        <v>-944524</v>
      </c>
    </row>
    <row r="203" spans="1:21" s="7" customFormat="1" x14ac:dyDescent="0.25">
      <c r="A203" s="90">
        <v>1043172</v>
      </c>
      <c r="B203" s="45" t="s">
        <v>493</v>
      </c>
      <c r="C203" s="45"/>
      <c r="D203" s="45" t="s">
        <v>473</v>
      </c>
      <c r="E203" s="107">
        <v>44515</v>
      </c>
      <c r="F203" s="107">
        <v>44517</v>
      </c>
      <c r="G203" s="107">
        <v>44580</v>
      </c>
      <c r="H203" s="93" t="s">
        <v>15</v>
      </c>
      <c r="I203" s="64">
        <v>6000000</v>
      </c>
      <c r="J203" s="64" t="s">
        <v>4</v>
      </c>
      <c r="K203" s="66">
        <v>8061822</v>
      </c>
      <c r="L203" s="55">
        <v>0.74424863262919971</v>
      </c>
      <c r="M203" s="46">
        <v>-8061822</v>
      </c>
      <c r="N203" s="48">
        <v>37</v>
      </c>
      <c r="O203" s="58">
        <v>0.75654214071553272</v>
      </c>
      <c r="P203" s="61">
        <v>1.2297471558715769E-2</v>
      </c>
      <c r="Q203" s="13">
        <v>-3633112.1248087799</v>
      </c>
      <c r="R203" s="41">
        <v>-130984.05119195799</v>
      </c>
      <c r="S203" s="38"/>
      <c r="U203" s="51">
        <v>-3626563</v>
      </c>
    </row>
    <row r="204" spans="1:21" s="7" customFormat="1" x14ac:dyDescent="0.25">
      <c r="A204" s="90">
        <v>1044349</v>
      </c>
      <c r="B204" s="45" t="s">
        <v>493</v>
      </c>
      <c r="C204" s="45"/>
      <c r="D204" s="45" t="s">
        <v>489</v>
      </c>
      <c r="E204" s="107">
        <v>44516</v>
      </c>
      <c r="F204" s="107">
        <v>44518</v>
      </c>
      <c r="G204" s="107">
        <v>44580</v>
      </c>
      <c r="H204" s="93" t="s">
        <v>4</v>
      </c>
      <c r="I204" s="64">
        <v>3100000</v>
      </c>
      <c r="J204" s="64" t="s">
        <v>3</v>
      </c>
      <c r="K204" s="66">
        <v>19843524.699999999</v>
      </c>
      <c r="L204" s="55">
        <v>6.4011369999999994</v>
      </c>
      <c r="M204" s="46">
        <v>3100000</v>
      </c>
      <c r="N204" s="48">
        <v>37</v>
      </c>
      <c r="O204" s="58">
        <v>6.3867719965449492</v>
      </c>
      <c r="P204" s="61">
        <v>-1.4333367135726046E-2</v>
      </c>
      <c r="Q204" s="13">
        <v>-193369.91451652988</v>
      </c>
      <c r="R204" s="41">
        <v>-6971.5367739581634</v>
      </c>
      <c r="S204" s="38"/>
      <c r="U204" s="51">
        <v>-156962</v>
      </c>
    </row>
    <row r="205" spans="1:21" s="7" customFormat="1" x14ac:dyDescent="0.25">
      <c r="A205" s="90">
        <v>1044372</v>
      </c>
      <c r="B205" s="45" t="s">
        <v>493</v>
      </c>
      <c r="C205" s="45"/>
      <c r="D205" s="45" t="s">
        <v>330</v>
      </c>
      <c r="E205" s="107">
        <v>44516</v>
      </c>
      <c r="F205" s="107">
        <v>44334</v>
      </c>
      <c r="G205" s="107">
        <v>44699</v>
      </c>
      <c r="H205" s="93" t="s">
        <v>4</v>
      </c>
      <c r="I205" s="64">
        <v>5000000</v>
      </c>
      <c r="J205" s="64" t="s">
        <v>0</v>
      </c>
      <c r="K205" s="66">
        <v>138845000</v>
      </c>
      <c r="L205" s="55">
        <v>27.768999999999998</v>
      </c>
      <c r="M205" s="46">
        <v>5000000</v>
      </c>
      <c r="N205" s="48">
        <v>156</v>
      </c>
      <c r="O205" s="58">
        <v>27.713764619782346</v>
      </c>
      <c r="P205" s="61">
        <v>-5.5198651718571204E-2</v>
      </c>
      <c r="Q205" s="13">
        <v>-275993.258592856</v>
      </c>
      <c r="R205" s="41">
        <v>-9950.3439118506849</v>
      </c>
      <c r="S205" s="38"/>
      <c r="U205" s="51">
        <v>-265302</v>
      </c>
    </row>
    <row r="206" spans="1:21" s="7" customFormat="1" x14ac:dyDescent="0.25">
      <c r="A206" s="90">
        <v>1046417</v>
      </c>
      <c r="B206" s="45" t="s">
        <v>493</v>
      </c>
      <c r="C206" s="45"/>
      <c r="D206" s="45" t="s">
        <v>473</v>
      </c>
      <c r="E206" s="107">
        <v>44518</v>
      </c>
      <c r="F206" s="107">
        <v>44522</v>
      </c>
      <c r="G206" s="107">
        <v>44614</v>
      </c>
      <c r="H206" s="93" t="s">
        <v>4</v>
      </c>
      <c r="I206" s="64">
        <v>14567460</v>
      </c>
      <c r="J206" s="64" t="s">
        <v>6</v>
      </c>
      <c r="K206" s="66">
        <v>20000000</v>
      </c>
      <c r="L206" s="55">
        <v>1.3729229392083451</v>
      </c>
      <c r="M206" s="46">
        <v>14567460</v>
      </c>
      <c r="N206" s="48">
        <v>71</v>
      </c>
      <c r="O206" s="58">
        <v>1.3981423465525329</v>
      </c>
      <c r="P206" s="61">
        <v>2.5218296217463326E-2</v>
      </c>
      <c r="Q206" s="13">
        <v>7285544.1014607865</v>
      </c>
      <c r="R206" s="41">
        <v>262664.63812955783</v>
      </c>
      <c r="S206" s="38"/>
      <c r="U206" s="51">
        <v>7271349</v>
      </c>
    </row>
    <row r="207" spans="1:21" s="7" customFormat="1" x14ac:dyDescent="0.25">
      <c r="A207" s="90">
        <v>1046423</v>
      </c>
      <c r="B207" s="45" t="s">
        <v>493</v>
      </c>
      <c r="C207" s="45"/>
      <c r="D207" s="45" t="s">
        <v>329</v>
      </c>
      <c r="E207" s="107">
        <v>44518</v>
      </c>
      <c r="F207" s="107">
        <v>44522</v>
      </c>
      <c r="G207" s="107">
        <v>44704</v>
      </c>
      <c r="H207" s="93" t="s">
        <v>4</v>
      </c>
      <c r="I207" s="64">
        <v>20000000</v>
      </c>
      <c r="J207" s="64" t="s">
        <v>0</v>
      </c>
      <c r="K207" s="66">
        <v>555820000</v>
      </c>
      <c r="L207" s="55">
        <v>27.791</v>
      </c>
      <c r="M207" s="46">
        <v>20000000</v>
      </c>
      <c r="N207" s="48">
        <v>161</v>
      </c>
      <c r="O207" s="58">
        <v>27.712257523070722</v>
      </c>
      <c r="P207" s="61">
        <v>-7.8690071286604615E-2</v>
      </c>
      <c r="Q207" s="13">
        <v>-1573801.4257320922</v>
      </c>
      <c r="R207" s="41">
        <v>-56740.028777647116</v>
      </c>
      <c r="S207" s="38"/>
      <c r="U207" s="51">
        <v>-1530389</v>
      </c>
    </row>
    <row r="208" spans="1:21" s="7" customFormat="1" x14ac:dyDescent="0.25">
      <c r="A208" s="90">
        <v>1046425</v>
      </c>
      <c r="B208" s="45" t="s">
        <v>493</v>
      </c>
      <c r="C208" s="45"/>
      <c r="D208" s="45" t="s">
        <v>490</v>
      </c>
      <c r="E208" s="107">
        <v>44518</v>
      </c>
      <c r="F208" s="107">
        <v>44522</v>
      </c>
      <c r="G208" s="107">
        <v>44704</v>
      </c>
      <c r="H208" s="93" t="s">
        <v>0</v>
      </c>
      <c r="I208" s="64">
        <v>555820000</v>
      </c>
      <c r="J208" s="64" t="s">
        <v>4</v>
      </c>
      <c r="K208" s="66">
        <v>20000000</v>
      </c>
      <c r="L208" s="55">
        <v>27.791</v>
      </c>
      <c r="M208" s="46">
        <v>-20000000</v>
      </c>
      <c r="N208" s="48">
        <v>161</v>
      </c>
      <c r="O208" s="58">
        <v>27.712257523070722</v>
      </c>
      <c r="P208" s="61">
        <v>-7.8690071286604615E-2</v>
      </c>
      <c r="Q208" s="13">
        <v>1573801.4257320922</v>
      </c>
      <c r="R208" s="41">
        <v>56740.028777647116</v>
      </c>
      <c r="S208" s="38"/>
      <c r="U208" s="51">
        <v>1530389</v>
      </c>
    </row>
    <row r="209" spans="1:21" s="7" customFormat="1" x14ac:dyDescent="0.25">
      <c r="A209" s="90">
        <v>1047477</v>
      </c>
      <c r="B209" s="45" t="s">
        <v>493</v>
      </c>
      <c r="C209" s="45"/>
      <c r="D209" s="45" t="s">
        <v>330</v>
      </c>
      <c r="E209" s="107">
        <v>44519</v>
      </c>
      <c r="F209" s="107">
        <v>44336</v>
      </c>
      <c r="G209" s="107">
        <v>44704</v>
      </c>
      <c r="H209" s="93" t="s">
        <v>4</v>
      </c>
      <c r="I209" s="64">
        <v>5000000</v>
      </c>
      <c r="J209" s="64" t="s">
        <v>0</v>
      </c>
      <c r="K209" s="66">
        <v>138950000</v>
      </c>
      <c r="L209" s="55">
        <v>27.79</v>
      </c>
      <c r="M209" s="46">
        <v>5000000</v>
      </c>
      <c r="N209" s="48">
        <v>161</v>
      </c>
      <c r="O209" s="58">
        <v>27.712257523070722</v>
      </c>
      <c r="P209" s="61">
        <v>-7.7690736818660774E-2</v>
      </c>
      <c r="Q209" s="13">
        <v>-388453.68409330386</v>
      </c>
      <c r="R209" s="41">
        <v>-14004.86290955306</v>
      </c>
      <c r="S209" s="38"/>
      <c r="U209" s="51">
        <v>-377601</v>
      </c>
    </row>
    <row r="210" spans="1:21" s="7" customFormat="1" x14ac:dyDescent="0.25">
      <c r="A210" s="90">
        <v>1049526</v>
      </c>
      <c r="B210" s="45" t="s">
        <v>493</v>
      </c>
      <c r="C210" s="45"/>
      <c r="D210" s="45" t="s">
        <v>458</v>
      </c>
      <c r="E210" s="107">
        <v>44523</v>
      </c>
      <c r="F210" s="107">
        <v>44526</v>
      </c>
      <c r="G210" s="107">
        <v>44554</v>
      </c>
      <c r="H210" s="93" t="s">
        <v>5</v>
      </c>
      <c r="I210" s="64">
        <v>1000000</v>
      </c>
      <c r="J210" s="64" t="s">
        <v>4</v>
      </c>
      <c r="K210" s="66">
        <v>1124063.8999999999</v>
      </c>
      <c r="L210" s="55">
        <v>0.88962913941102462</v>
      </c>
      <c r="M210" s="46">
        <v>-1124063.8999999999</v>
      </c>
      <c r="N210" s="48">
        <v>11</v>
      </c>
      <c r="O210" s="58">
        <v>0.88584388286789362</v>
      </c>
      <c r="P210" s="61">
        <v>-3.7858143436403932E-3</v>
      </c>
      <c r="Q210" s="13">
        <v>133222.53026876922</v>
      </c>
      <c r="R210" s="41">
        <v>4803.0520735896853</v>
      </c>
      <c r="S210" s="38"/>
      <c r="U210" s="51">
        <v>135660</v>
      </c>
    </row>
    <row r="211" spans="1:21" s="7" customFormat="1" x14ac:dyDescent="0.25">
      <c r="A211" s="90">
        <v>1049559</v>
      </c>
      <c r="B211" s="45" t="s">
        <v>493</v>
      </c>
      <c r="C211" s="45"/>
      <c r="D211" s="45" t="s">
        <v>473</v>
      </c>
      <c r="E211" s="107">
        <v>44523</v>
      </c>
      <c r="F211" s="107">
        <v>44526</v>
      </c>
      <c r="G211" s="107">
        <v>44617</v>
      </c>
      <c r="H211" s="93" t="s">
        <v>4</v>
      </c>
      <c r="I211" s="64">
        <v>7230030</v>
      </c>
      <c r="J211" s="64" t="s">
        <v>6</v>
      </c>
      <c r="K211" s="66">
        <v>10000000</v>
      </c>
      <c r="L211" s="55">
        <v>1.3831201253660081</v>
      </c>
      <c r="M211" s="46">
        <v>7230030</v>
      </c>
      <c r="N211" s="48">
        <v>74</v>
      </c>
      <c r="O211" s="58">
        <v>1.3981401898590975</v>
      </c>
      <c r="P211" s="61">
        <v>1.5018530194090321E-2</v>
      </c>
      <c r="Q211" s="13">
        <v>2153425.9728088533</v>
      </c>
      <c r="R211" s="41">
        <v>77637.146383235435</v>
      </c>
      <c r="S211" s="38"/>
      <c r="U211" s="51">
        <v>2144870</v>
      </c>
    </row>
    <row r="212" spans="1:21" s="7" customFormat="1" x14ac:dyDescent="0.25">
      <c r="A212" s="90">
        <v>1049731</v>
      </c>
      <c r="B212" s="45" t="s">
        <v>493</v>
      </c>
      <c r="C212" s="45"/>
      <c r="D212" s="45" t="s">
        <v>458</v>
      </c>
      <c r="E212" s="107">
        <v>44523</v>
      </c>
      <c r="F212" s="107">
        <v>44524</v>
      </c>
      <c r="G212" s="107">
        <v>44585</v>
      </c>
      <c r="H212" s="93" t="s">
        <v>4</v>
      </c>
      <c r="I212" s="64">
        <v>20000000</v>
      </c>
      <c r="J212" s="64" t="s">
        <v>7</v>
      </c>
      <c r="K212" s="66">
        <v>25421956</v>
      </c>
      <c r="L212" s="55">
        <v>1.2710977999999999</v>
      </c>
      <c r="M212" s="46">
        <v>20000000</v>
      </c>
      <c r="N212" s="48">
        <v>42</v>
      </c>
      <c r="O212" s="58">
        <v>1.2708976671876886</v>
      </c>
      <c r="P212" s="61">
        <v>-2.0017170537522881E-4</v>
      </c>
      <c r="Q212" s="13">
        <v>-87344.237887272437</v>
      </c>
      <c r="R212" s="41">
        <v>-3149.0088204616591</v>
      </c>
      <c r="S212" s="38"/>
      <c r="U212" s="51">
        <v>-64917</v>
      </c>
    </row>
    <row r="213" spans="1:21" s="7" customFormat="1" x14ac:dyDescent="0.25">
      <c r="A213" s="90">
        <v>1049733</v>
      </c>
      <c r="B213" s="45" t="s">
        <v>493</v>
      </c>
      <c r="C213" s="45"/>
      <c r="D213" s="45" t="s">
        <v>458</v>
      </c>
      <c r="E213" s="107">
        <v>44523</v>
      </c>
      <c r="F213" s="107">
        <v>44524</v>
      </c>
      <c r="G213" s="107">
        <v>44585</v>
      </c>
      <c r="H213" s="93" t="s">
        <v>4</v>
      </c>
      <c r="I213" s="64">
        <v>20000000</v>
      </c>
      <c r="J213" s="64" t="s">
        <v>7</v>
      </c>
      <c r="K213" s="66">
        <v>25424354</v>
      </c>
      <c r="L213" s="55">
        <v>1.2712177</v>
      </c>
      <c r="M213" s="46">
        <v>20000000</v>
      </c>
      <c r="N213" s="48">
        <v>42</v>
      </c>
      <c r="O213" s="58">
        <v>1.2708976671876886</v>
      </c>
      <c r="P213" s="61">
        <v>-3.2009500629384224E-4</v>
      </c>
      <c r="Q213" s="13">
        <v>-139672.35940688135</v>
      </c>
      <c r="R213" s="41">
        <v>-5035.586804416449</v>
      </c>
      <c r="S213" s="38"/>
      <c r="U213" s="51">
        <v>-117242</v>
      </c>
    </row>
    <row r="214" spans="1:21" s="7" customFormat="1" x14ac:dyDescent="0.25">
      <c r="A214" s="90">
        <v>1049737</v>
      </c>
      <c r="B214" s="45" t="s">
        <v>493</v>
      </c>
      <c r="C214" s="45"/>
      <c r="D214" s="45" t="s">
        <v>489</v>
      </c>
      <c r="E214" s="107">
        <v>44523</v>
      </c>
      <c r="F214" s="107">
        <v>44524</v>
      </c>
      <c r="G214" s="107">
        <v>44585</v>
      </c>
      <c r="H214" s="93" t="s">
        <v>4</v>
      </c>
      <c r="I214" s="64">
        <v>10000000</v>
      </c>
      <c r="J214" s="64" t="s">
        <v>7</v>
      </c>
      <c r="K214" s="66">
        <v>12712773</v>
      </c>
      <c r="L214" s="55">
        <v>1.2712772999999999</v>
      </c>
      <c r="M214" s="46">
        <v>10000000</v>
      </c>
      <c r="N214" s="48">
        <v>42</v>
      </c>
      <c r="O214" s="58">
        <v>1.2708976671876886</v>
      </c>
      <c r="P214" s="61">
        <v>-3.7970658873536173E-4</v>
      </c>
      <c r="Q214" s="13">
        <v>-82841.834593198029</v>
      </c>
      <c r="R214" s="41">
        <v>-2986.6843440077646</v>
      </c>
      <c r="S214" s="38"/>
      <c r="U214" s="51">
        <v>-71626</v>
      </c>
    </row>
    <row r="215" spans="1:21" s="7" customFormat="1" x14ac:dyDescent="0.25">
      <c r="A215" s="90">
        <v>1049744</v>
      </c>
      <c r="B215" s="45" t="s">
        <v>493</v>
      </c>
      <c r="C215" s="45"/>
      <c r="D215" s="45" t="s">
        <v>491</v>
      </c>
      <c r="E215" s="107">
        <v>44523</v>
      </c>
      <c r="F215" s="107">
        <v>44524</v>
      </c>
      <c r="G215" s="107">
        <v>44585</v>
      </c>
      <c r="H215" s="93" t="s">
        <v>4</v>
      </c>
      <c r="I215" s="64">
        <v>30000000</v>
      </c>
      <c r="J215" s="64" t="s">
        <v>7</v>
      </c>
      <c r="K215" s="66">
        <v>38123820</v>
      </c>
      <c r="L215" s="55">
        <v>1.270794</v>
      </c>
      <c r="M215" s="46">
        <v>30000000</v>
      </c>
      <c r="N215" s="48">
        <v>42</v>
      </c>
      <c r="O215" s="58">
        <v>1.2708976671876886</v>
      </c>
      <c r="P215" s="61">
        <v>1.0368733398300192E-4</v>
      </c>
      <c r="Q215" s="13">
        <v>67865.419453251496</v>
      </c>
      <c r="R215" s="41">
        <v>2446.7418759602033</v>
      </c>
      <c r="S215" s="38"/>
      <c r="U215" s="51">
        <v>101497</v>
      </c>
    </row>
    <row r="216" spans="1:21" s="7" customFormat="1" x14ac:dyDescent="0.25">
      <c r="A216" s="90">
        <v>1049746</v>
      </c>
      <c r="B216" s="45" t="s">
        <v>493</v>
      </c>
      <c r="C216" s="45"/>
      <c r="D216" s="45" t="s">
        <v>473</v>
      </c>
      <c r="E216" s="107">
        <v>44523</v>
      </c>
      <c r="F216" s="107">
        <v>44524</v>
      </c>
      <c r="G216" s="107">
        <v>44585</v>
      </c>
      <c r="H216" s="93" t="s">
        <v>4</v>
      </c>
      <c r="I216" s="64">
        <v>20000000</v>
      </c>
      <c r="J216" s="64" t="s">
        <v>7</v>
      </c>
      <c r="K216" s="66">
        <v>25423560</v>
      </c>
      <c r="L216" s="55">
        <v>1.2711779999999999</v>
      </c>
      <c r="M216" s="46">
        <v>20000000</v>
      </c>
      <c r="N216" s="48">
        <v>42</v>
      </c>
      <c r="O216" s="58">
        <v>1.2708976671876886</v>
      </c>
      <c r="P216" s="61">
        <v>-2.803872911439096E-4</v>
      </c>
      <c r="Q216" s="13">
        <v>-122346.03393288676</v>
      </c>
      <c r="R216" s="41">
        <v>-4410.9233685271201</v>
      </c>
      <c r="S216" s="38"/>
      <c r="U216" s="51">
        <v>-99917</v>
      </c>
    </row>
    <row r="217" spans="1:21" s="7" customFormat="1" x14ac:dyDescent="0.25">
      <c r="A217" s="90">
        <v>1050631</v>
      </c>
      <c r="B217" s="45" t="s">
        <v>493</v>
      </c>
      <c r="C217" s="45"/>
      <c r="D217" s="45" t="s">
        <v>478</v>
      </c>
      <c r="E217" s="107">
        <v>44524</v>
      </c>
      <c r="F217" s="107">
        <v>44160</v>
      </c>
      <c r="G217" s="107">
        <v>44741</v>
      </c>
      <c r="H217" s="93" t="s">
        <v>4</v>
      </c>
      <c r="I217" s="64">
        <v>10000000</v>
      </c>
      <c r="J217" s="64" t="s">
        <v>0</v>
      </c>
      <c r="K217" s="66">
        <v>277695000</v>
      </c>
      <c r="L217" s="55">
        <v>27.769500000000001</v>
      </c>
      <c r="M217" s="46">
        <v>10000000</v>
      </c>
      <c r="N217" s="48">
        <v>198</v>
      </c>
      <c r="O217" s="58">
        <v>27.699770660504115</v>
      </c>
      <c r="P217" s="61">
        <v>-6.9682132319655726E-2</v>
      </c>
      <c r="Q217" s="13">
        <v>-696821.32319655723</v>
      </c>
      <c r="R217" s="41">
        <v>-25122.395547874719</v>
      </c>
      <c r="S217" s="38"/>
      <c r="U217" s="51">
        <v>-672767</v>
      </c>
    </row>
    <row r="218" spans="1:21" s="7" customFormat="1" x14ac:dyDescent="0.25">
      <c r="A218" s="90">
        <v>1052323</v>
      </c>
      <c r="B218" s="45" t="s">
        <v>493</v>
      </c>
      <c r="C218" s="45"/>
      <c r="D218" s="45" t="s">
        <v>473</v>
      </c>
      <c r="E218" s="107">
        <v>44526</v>
      </c>
      <c r="F218" s="107">
        <v>44530</v>
      </c>
      <c r="G218" s="107">
        <v>44622</v>
      </c>
      <c r="H218" s="93" t="s">
        <v>4</v>
      </c>
      <c r="I218" s="64">
        <v>7160400</v>
      </c>
      <c r="J218" s="64" t="s">
        <v>6</v>
      </c>
      <c r="K218" s="66">
        <v>10000000</v>
      </c>
      <c r="L218" s="55">
        <v>1.3965700240210044</v>
      </c>
      <c r="M218" s="46">
        <v>7160400</v>
      </c>
      <c r="N218" s="48">
        <v>79</v>
      </c>
      <c r="O218" s="58">
        <v>1.3981397986331145</v>
      </c>
      <c r="P218" s="61">
        <v>1.5694463987145604E-3</v>
      </c>
      <c r="Q218" s="13">
        <v>222867.21559226661</v>
      </c>
      <c r="R218" s="41">
        <v>8034.9985833930295</v>
      </c>
      <c r="S218" s="38"/>
      <c r="U218" s="51">
        <v>213584</v>
      </c>
    </row>
    <row r="219" spans="1:21" s="7" customFormat="1" x14ac:dyDescent="0.25">
      <c r="A219" s="90">
        <v>1052330</v>
      </c>
      <c r="B219" s="45" t="s">
        <v>493</v>
      </c>
      <c r="C219" s="45"/>
      <c r="D219" s="45" t="s">
        <v>458</v>
      </c>
      <c r="E219" s="107">
        <v>44526</v>
      </c>
      <c r="F219" s="107">
        <v>44530</v>
      </c>
      <c r="G219" s="107">
        <v>44622</v>
      </c>
      <c r="H219" s="93" t="s">
        <v>4</v>
      </c>
      <c r="I219" s="64">
        <v>3580332</v>
      </c>
      <c r="J219" s="64" t="s">
        <v>6</v>
      </c>
      <c r="K219" s="66">
        <v>5000000</v>
      </c>
      <c r="L219" s="55">
        <v>1.3965185351526059</v>
      </c>
      <c r="M219" s="46">
        <v>3580332</v>
      </c>
      <c r="N219" s="48">
        <v>79</v>
      </c>
      <c r="O219" s="58">
        <v>1.3981397986331145</v>
      </c>
      <c r="P219" s="61">
        <v>1.6209245016590413E-3</v>
      </c>
      <c r="Q219" s="13">
        <v>115092.89192308324</v>
      </c>
      <c r="R219" s="41">
        <v>4149.4269181898908</v>
      </c>
      <c r="S219" s="38"/>
      <c r="U219" s="51">
        <v>110451</v>
      </c>
    </row>
    <row r="220" spans="1:21" s="7" customFormat="1" x14ac:dyDescent="0.25">
      <c r="A220" s="90">
        <v>1052365</v>
      </c>
      <c r="B220" s="45" t="s">
        <v>493</v>
      </c>
      <c r="C220" s="45"/>
      <c r="D220" s="45" t="s">
        <v>487</v>
      </c>
      <c r="E220" s="107">
        <v>44526</v>
      </c>
      <c r="F220" s="107">
        <v>44526</v>
      </c>
      <c r="G220" s="107">
        <v>44585</v>
      </c>
      <c r="H220" s="93" t="s">
        <v>4</v>
      </c>
      <c r="I220" s="64">
        <v>1000000</v>
      </c>
      <c r="J220" s="64" t="s">
        <v>0</v>
      </c>
      <c r="K220" s="66">
        <v>27849000</v>
      </c>
      <c r="L220" s="55">
        <v>27.849</v>
      </c>
      <c r="M220" s="46">
        <v>1000000</v>
      </c>
      <c r="N220" s="48">
        <v>42</v>
      </c>
      <c r="O220" s="58">
        <v>27.734350546934756</v>
      </c>
      <c r="P220" s="61">
        <v>-0.11464379007258359</v>
      </c>
      <c r="Q220" s="13">
        <v>-114643.79007258359</v>
      </c>
      <c r="R220" s="41">
        <v>-4133.2355159552726</v>
      </c>
      <c r="S220" s="38"/>
      <c r="U220" s="51">
        <v>-114515</v>
      </c>
    </row>
    <row r="221" spans="1:21" s="7" customFormat="1" x14ac:dyDescent="0.25">
      <c r="A221" s="90">
        <v>1052376</v>
      </c>
      <c r="B221" s="45" t="s">
        <v>493</v>
      </c>
      <c r="C221" s="45"/>
      <c r="D221" s="45" t="s">
        <v>463</v>
      </c>
      <c r="E221" s="107">
        <v>44526</v>
      </c>
      <c r="F221" s="107">
        <v>44530</v>
      </c>
      <c r="G221" s="107">
        <v>44617</v>
      </c>
      <c r="H221" s="93" t="s">
        <v>0</v>
      </c>
      <c r="I221" s="64">
        <v>278200000</v>
      </c>
      <c r="J221" s="64" t="s">
        <v>4</v>
      </c>
      <c r="K221" s="66">
        <v>10000000</v>
      </c>
      <c r="L221" s="55">
        <v>27.82</v>
      </c>
      <c r="M221" s="46">
        <v>-10000000</v>
      </c>
      <c r="N221" s="48">
        <v>74</v>
      </c>
      <c r="O221" s="58">
        <v>27.730766915736041</v>
      </c>
      <c r="P221" s="61">
        <v>-8.9213955171694587E-2</v>
      </c>
      <c r="Q221" s="13">
        <v>892139.55171694595</v>
      </c>
      <c r="R221" s="41">
        <v>32164.174596899709</v>
      </c>
      <c r="S221" s="38"/>
      <c r="U221" s="51">
        <v>889278</v>
      </c>
    </row>
    <row r="222" spans="1:21" s="7" customFormat="1" x14ac:dyDescent="0.25">
      <c r="A222" s="90">
        <v>1052391</v>
      </c>
      <c r="B222" s="45" t="s">
        <v>493</v>
      </c>
      <c r="C222" s="45"/>
      <c r="D222" s="45" t="s">
        <v>330</v>
      </c>
      <c r="E222" s="107">
        <v>44526</v>
      </c>
      <c r="F222" s="107">
        <v>44280</v>
      </c>
      <c r="G222" s="107">
        <v>44649</v>
      </c>
      <c r="H222" s="93" t="s">
        <v>4</v>
      </c>
      <c r="I222" s="64">
        <v>5000000</v>
      </c>
      <c r="J222" s="64" t="s">
        <v>0</v>
      </c>
      <c r="K222" s="66">
        <v>139330000</v>
      </c>
      <c r="L222" s="55">
        <v>27.866</v>
      </c>
      <c r="M222" s="46">
        <v>5000000</v>
      </c>
      <c r="N222" s="48">
        <v>106</v>
      </c>
      <c r="O222" s="58">
        <v>27.726240753359246</v>
      </c>
      <c r="P222" s="61">
        <v>-0.13967702382327407</v>
      </c>
      <c r="Q222" s="13">
        <v>-698385.11911637033</v>
      </c>
      <c r="R222" s="41">
        <v>-25178.774849635287</v>
      </c>
      <c r="S222" s="38"/>
      <c r="U222" s="51">
        <v>-688057</v>
      </c>
    </row>
    <row r="223" spans="1:21" s="7" customFormat="1" x14ac:dyDescent="0.25">
      <c r="A223" s="90">
        <v>1052395</v>
      </c>
      <c r="B223" s="45" t="s">
        <v>493</v>
      </c>
      <c r="C223" s="45"/>
      <c r="D223" s="45" t="s">
        <v>328</v>
      </c>
      <c r="E223" s="107">
        <v>44526</v>
      </c>
      <c r="F223" s="107">
        <v>44530</v>
      </c>
      <c r="G223" s="107">
        <v>44544</v>
      </c>
      <c r="H223" s="93" t="s">
        <v>4</v>
      </c>
      <c r="I223" s="64">
        <v>5000000</v>
      </c>
      <c r="J223" s="64" t="s">
        <v>3</v>
      </c>
      <c r="K223" s="66">
        <v>32002454</v>
      </c>
      <c r="L223" s="55">
        <v>6.4004908</v>
      </c>
      <c r="M223" s="46">
        <v>5000000</v>
      </c>
      <c r="N223" s="48">
        <v>1</v>
      </c>
      <c r="O223" s="58">
        <v>6.3736526298155711</v>
      </c>
      <c r="P223" s="61">
        <v>-2.6837688601670396E-2</v>
      </c>
      <c r="Q223" s="13">
        <v>-583974.79130730045</v>
      </c>
      <c r="R223" s="41">
        <v>-21053.956313950635</v>
      </c>
      <c r="S223" s="38"/>
      <c r="U223" s="51">
        <v>-566550</v>
      </c>
    </row>
    <row r="224" spans="1:21" s="7" customFormat="1" x14ac:dyDescent="0.25">
      <c r="A224" s="90">
        <v>1053425</v>
      </c>
      <c r="B224" s="45" t="s">
        <v>493</v>
      </c>
      <c r="C224" s="45"/>
      <c r="D224" s="45" t="s">
        <v>458</v>
      </c>
      <c r="E224" s="107">
        <v>44529</v>
      </c>
      <c r="F224" s="107">
        <v>44531</v>
      </c>
      <c r="G224" s="107">
        <v>44543</v>
      </c>
      <c r="H224" s="93" t="s">
        <v>4</v>
      </c>
      <c r="I224" s="64">
        <v>439999.99650000001</v>
      </c>
      <c r="J224" s="64" t="s">
        <v>2</v>
      </c>
      <c r="K224" s="66">
        <v>50008094</v>
      </c>
      <c r="L224" s="55">
        <v>113.65475999498105</v>
      </c>
      <c r="M224" s="46">
        <v>439999.99650000001</v>
      </c>
      <c r="N224" s="48">
        <v>0</v>
      </c>
      <c r="O224" s="58">
        <v>113.60795002986129</v>
      </c>
      <c r="P224" s="61">
        <v>-4.6809965119763319E-2</v>
      </c>
      <c r="Q224" s="13">
        <v>-5028.5485765337562</v>
      </c>
      <c r="R224" s="41">
        <v>-181.29351408459817</v>
      </c>
      <c r="S224" s="38"/>
      <c r="U224" s="51">
        <v>-5276</v>
      </c>
    </row>
    <row r="225" spans="1:21" s="7" customFormat="1" x14ac:dyDescent="0.25">
      <c r="A225" s="90">
        <v>1054559</v>
      </c>
      <c r="B225" s="45" t="s">
        <v>493</v>
      </c>
      <c r="C225" s="45"/>
      <c r="D225" s="45" t="s">
        <v>473</v>
      </c>
      <c r="E225" s="107">
        <v>44530</v>
      </c>
      <c r="F225" s="107">
        <v>44532</v>
      </c>
      <c r="G225" s="107">
        <v>44622</v>
      </c>
      <c r="H225" s="93" t="s">
        <v>4</v>
      </c>
      <c r="I225" s="64">
        <v>7156390</v>
      </c>
      <c r="J225" s="64" t="s">
        <v>6</v>
      </c>
      <c r="K225" s="66">
        <v>10000000</v>
      </c>
      <c r="L225" s="55">
        <v>1.3973525758098706</v>
      </c>
      <c r="M225" s="46">
        <v>7156390</v>
      </c>
      <c r="N225" s="48">
        <v>79</v>
      </c>
      <c r="O225" s="58">
        <v>1.3981397986331145</v>
      </c>
      <c r="P225" s="61">
        <v>7.870582282288941E-4</v>
      </c>
      <c r="Q225" s="13">
        <v>111702.59931143593</v>
      </c>
      <c r="R225" s="41">
        <v>4027.1972027986817</v>
      </c>
      <c r="S225" s="38"/>
      <c r="U225" s="51">
        <v>102423</v>
      </c>
    </row>
    <row r="226" spans="1:21" s="7" customFormat="1" x14ac:dyDescent="0.25">
      <c r="A226" s="90">
        <v>1054592</v>
      </c>
      <c r="B226" s="45" t="s">
        <v>493</v>
      </c>
      <c r="C226" s="45"/>
      <c r="D226" s="45" t="s">
        <v>473</v>
      </c>
      <c r="E226" s="107">
        <v>44530</v>
      </c>
      <c r="F226" s="107">
        <v>44532</v>
      </c>
      <c r="G226" s="107">
        <v>44622</v>
      </c>
      <c r="H226" s="93" t="s">
        <v>4</v>
      </c>
      <c r="I226" s="64">
        <v>10675455</v>
      </c>
      <c r="J226" s="64" t="s">
        <v>6</v>
      </c>
      <c r="K226" s="66">
        <v>15000000</v>
      </c>
      <c r="L226" s="55">
        <v>1.4050923356428369</v>
      </c>
      <c r="M226" s="46">
        <v>10675455</v>
      </c>
      <c r="N226" s="48">
        <v>79</v>
      </c>
      <c r="O226" s="58">
        <v>1.3981397986331145</v>
      </c>
      <c r="P226" s="61">
        <v>-6.9510833514949385E-3</v>
      </c>
      <c r="Q226" s="13">
        <v>-1471639.0588097894</v>
      </c>
      <c r="R226" s="41">
        <v>-53056.784154541288</v>
      </c>
      <c r="S226" s="38"/>
      <c r="U226" s="51">
        <v>-1485496</v>
      </c>
    </row>
    <row r="227" spans="1:21" s="7" customFormat="1" x14ac:dyDescent="0.25">
      <c r="A227" s="90">
        <v>1055670</v>
      </c>
      <c r="B227" s="45" t="s">
        <v>493</v>
      </c>
      <c r="C227" s="45"/>
      <c r="D227" s="45" t="s">
        <v>328</v>
      </c>
      <c r="E227" s="107">
        <v>44531</v>
      </c>
      <c r="F227" s="107">
        <v>44533</v>
      </c>
      <c r="G227" s="107">
        <v>44547</v>
      </c>
      <c r="H227" s="93" t="s">
        <v>4</v>
      </c>
      <c r="I227" s="64">
        <v>10000000</v>
      </c>
      <c r="J227" s="64" t="s">
        <v>1</v>
      </c>
      <c r="K227" s="66">
        <v>77956368</v>
      </c>
      <c r="L227" s="55">
        <v>7.7956367999999996</v>
      </c>
      <c r="M227" s="46">
        <v>10000000</v>
      </c>
      <c r="N227" s="48">
        <v>4</v>
      </c>
      <c r="O227" s="58">
        <v>7.7997629311610197</v>
      </c>
      <c r="P227" s="61">
        <v>4.1261167184603303E-3</v>
      </c>
      <c r="Q227" s="13">
        <v>146729.85244176679</v>
      </c>
      <c r="R227" s="41">
        <v>5290.0295513539604</v>
      </c>
      <c r="S227" s="38"/>
      <c r="U227" s="51">
        <v>144692</v>
      </c>
    </row>
    <row r="228" spans="1:21" s="7" customFormat="1" x14ac:dyDescent="0.25">
      <c r="A228" s="90">
        <v>1055697</v>
      </c>
      <c r="B228" s="45" t="s">
        <v>493</v>
      </c>
      <c r="C228" s="45"/>
      <c r="D228" s="45" t="s">
        <v>458</v>
      </c>
      <c r="E228" s="107">
        <v>44531</v>
      </c>
      <c r="F228" s="107">
        <v>44533</v>
      </c>
      <c r="G228" s="107">
        <v>44565</v>
      </c>
      <c r="H228" s="93" t="s">
        <v>15</v>
      </c>
      <c r="I228" s="64">
        <v>1000000</v>
      </c>
      <c r="J228" s="64" t="s">
        <v>4</v>
      </c>
      <c r="K228" s="66">
        <v>1331996.5</v>
      </c>
      <c r="L228" s="55">
        <v>0.7507527234493484</v>
      </c>
      <c r="M228" s="46">
        <v>-1331996.5</v>
      </c>
      <c r="N228" s="48">
        <v>22</v>
      </c>
      <c r="O228" s="58">
        <v>0.75673947397692642</v>
      </c>
      <c r="P228" s="61">
        <v>5.9874930474538256E-3</v>
      </c>
      <c r="Q228" s="13">
        <v>-292265.71699410246</v>
      </c>
      <c r="R228" s="41">
        <v>-10537.012434876258</v>
      </c>
      <c r="S228" s="38"/>
      <c r="U228" s="51">
        <v>-282976</v>
      </c>
    </row>
    <row r="229" spans="1:21" s="7" customFormat="1" x14ac:dyDescent="0.25">
      <c r="A229" s="90">
        <v>1056646</v>
      </c>
      <c r="B229" s="45" t="s">
        <v>493</v>
      </c>
      <c r="C229" s="45"/>
      <c r="D229" s="45" t="s">
        <v>458</v>
      </c>
      <c r="E229" s="107">
        <v>44532</v>
      </c>
      <c r="F229" s="107">
        <v>44536</v>
      </c>
      <c r="G229" s="107">
        <v>44554</v>
      </c>
      <c r="H229" s="93" t="s">
        <v>4</v>
      </c>
      <c r="I229" s="64">
        <v>1132793.8</v>
      </c>
      <c r="J229" s="64" t="s">
        <v>5</v>
      </c>
      <c r="K229" s="66">
        <v>1000000</v>
      </c>
      <c r="L229" s="55">
        <v>0.88277319314424207</v>
      </c>
      <c r="M229" s="46">
        <v>1132793.8</v>
      </c>
      <c r="N229" s="48">
        <v>11</v>
      </c>
      <c r="O229" s="58">
        <v>0.88584388286789362</v>
      </c>
      <c r="P229" s="61">
        <v>3.0711422246306776E-3</v>
      </c>
      <c r="Q229" s="13">
        <v>108912.60797104375</v>
      </c>
      <c r="R229" s="41">
        <v>3926.610059875235</v>
      </c>
      <c r="S229" s="38"/>
      <c r="U229" s="51">
        <v>106473</v>
      </c>
    </row>
    <row r="230" spans="1:21" s="7" customFormat="1" x14ac:dyDescent="0.25">
      <c r="A230" s="90">
        <v>1056662</v>
      </c>
      <c r="B230" s="45" t="s">
        <v>493</v>
      </c>
      <c r="C230" s="45"/>
      <c r="D230" s="45" t="s">
        <v>464</v>
      </c>
      <c r="E230" s="107">
        <v>44532</v>
      </c>
      <c r="F230" s="107">
        <v>44536</v>
      </c>
      <c r="G230" s="107">
        <v>44567</v>
      </c>
      <c r="H230" s="93" t="s">
        <v>4</v>
      </c>
      <c r="I230" s="64">
        <v>20000000</v>
      </c>
      <c r="J230" s="64" t="s">
        <v>0</v>
      </c>
      <c r="K230" s="66">
        <v>554900000</v>
      </c>
      <c r="L230" s="55">
        <v>27.745000000000001</v>
      </c>
      <c r="M230" s="46">
        <v>20000000</v>
      </c>
      <c r="N230" s="48">
        <v>24</v>
      </c>
      <c r="O230" s="58">
        <v>27.73613739547778</v>
      </c>
      <c r="P230" s="61">
        <v>-8.8621953884379396E-3</v>
      </c>
      <c r="Q230" s="13">
        <v>-177243.90776875883</v>
      </c>
      <c r="R230" s="41">
        <v>-6390.1482506179764</v>
      </c>
      <c r="S230" s="38"/>
      <c r="U230" s="51">
        <v>-340480</v>
      </c>
    </row>
    <row r="231" spans="1:21" s="7" customFormat="1" x14ac:dyDescent="0.25">
      <c r="A231" s="90">
        <v>1056664</v>
      </c>
      <c r="B231" s="45" t="s">
        <v>493</v>
      </c>
      <c r="C231" s="45"/>
      <c r="D231" s="45" t="s">
        <v>483</v>
      </c>
      <c r="E231" s="107">
        <v>44532</v>
      </c>
      <c r="F231" s="107">
        <v>44536</v>
      </c>
      <c r="G231" s="107">
        <v>44567</v>
      </c>
      <c r="H231" s="93" t="s">
        <v>0</v>
      </c>
      <c r="I231" s="64">
        <v>554900000</v>
      </c>
      <c r="J231" s="64" t="s">
        <v>4</v>
      </c>
      <c r="K231" s="66">
        <v>20000000</v>
      </c>
      <c r="L231" s="55">
        <v>27.745000000000001</v>
      </c>
      <c r="M231" s="46">
        <v>-20000000</v>
      </c>
      <c r="N231" s="48">
        <v>24</v>
      </c>
      <c r="O231" s="58">
        <v>27.73613739547778</v>
      </c>
      <c r="P231" s="61">
        <v>-8.8621953884379396E-3</v>
      </c>
      <c r="Q231" s="13">
        <v>177243.90776875883</v>
      </c>
      <c r="R231" s="41">
        <v>6390.1482506179764</v>
      </c>
      <c r="S231" s="38"/>
      <c r="U231" s="51">
        <v>340480</v>
      </c>
    </row>
    <row r="232" spans="1:21" s="7" customFormat="1" x14ac:dyDescent="0.25">
      <c r="A232" s="90">
        <v>1057541</v>
      </c>
      <c r="B232" s="45" t="s">
        <v>493</v>
      </c>
      <c r="C232" s="45"/>
      <c r="D232" s="45" t="s">
        <v>472</v>
      </c>
      <c r="E232" s="107">
        <v>44533</v>
      </c>
      <c r="F232" s="107">
        <v>44350</v>
      </c>
      <c r="G232" s="107">
        <v>44718</v>
      </c>
      <c r="H232" s="93" t="s">
        <v>0</v>
      </c>
      <c r="I232" s="64">
        <v>150932800</v>
      </c>
      <c r="J232" s="64" t="s">
        <v>4</v>
      </c>
      <c r="K232" s="66">
        <v>5440000</v>
      </c>
      <c r="L232" s="55">
        <v>27.745000000000001</v>
      </c>
      <c r="M232" s="46">
        <v>-5440000</v>
      </c>
      <c r="N232" s="48">
        <v>175</v>
      </c>
      <c r="O232" s="58">
        <v>27.707786892688127</v>
      </c>
      <c r="P232" s="61">
        <v>-3.7188534321011844E-2</v>
      </c>
      <c r="Q232" s="13">
        <v>202305.62670630444</v>
      </c>
      <c r="R232" s="41">
        <v>7293.6946767957024</v>
      </c>
      <c r="S232" s="38"/>
      <c r="U232" s="51">
        <v>188504</v>
      </c>
    </row>
    <row r="233" spans="1:21" s="7" customFormat="1" x14ac:dyDescent="0.25">
      <c r="A233" s="90">
        <v>1058865</v>
      </c>
      <c r="B233" s="45" t="s">
        <v>493</v>
      </c>
      <c r="C233" s="45"/>
      <c r="D233" s="45" t="s">
        <v>458</v>
      </c>
      <c r="E233" s="107">
        <v>44536</v>
      </c>
      <c r="F233" s="107">
        <v>44538</v>
      </c>
      <c r="G233" s="107">
        <v>44568</v>
      </c>
      <c r="H233" s="93" t="s">
        <v>15</v>
      </c>
      <c r="I233" s="64">
        <v>1000000</v>
      </c>
      <c r="J233" s="64" t="s">
        <v>4</v>
      </c>
      <c r="K233" s="66">
        <v>1323909.5</v>
      </c>
      <c r="L233" s="55">
        <v>0.75533863908371379</v>
      </c>
      <c r="M233" s="46">
        <v>-1323909.5</v>
      </c>
      <c r="N233" s="48">
        <v>25</v>
      </c>
      <c r="O233" s="58">
        <v>0.75668610530573177</v>
      </c>
      <c r="P233" s="61">
        <v>1.3477091035309819E-3</v>
      </c>
      <c r="Q233" s="13">
        <v>-65385.918673444372</v>
      </c>
      <c r="R233" s="41">
        <v>-2357.3488030475833</v>
      </c>
      <c r="S233" s="38"/>
      <c r="U233" s="51">
        <v>-59269</v>
      </c>
    </row>
    <row r="234" spans="1:21" s="7" customFormat="1" x14ac:dyDescent="0.25">
      <c r="A234" s="90">
        <v>1058934</v>
      </c>
      <c r="B234" s="45" t="s">
        <v>493</v>
      </c>
      <c r="C234" s="45"/>
      <c r="D234" s="45" t="s">
        <v>491</v>
      </c>
      <c r="E234" s="107">
        <v>44536</v>
      </c>
      <c r="F234" s="107">
        <v>44538</v>
      </c>
      <c r="G234" s="107">
        <v>44608</v>
      </c>
      <c r="H234" s="93" t="s">
        <v>4</v>
      </c>
      <c r="I234" s="64">
        <v>2650000</v>
      </c>
      <c r="J234" s="64" t="s">
        <v>2</v>
      </c>
      <c r="K234" s="66">
        <v>299101525</v>
      </c>
      <c r="L234" s="55">
        <v>112.8685</v>
      </c>
      <c r="M234" s="46">
        <v>2650000</v>
      </c>
      <c r="N234" s="48">
        <v>65</v>
      </c>
      <c r="O234" s="58">
        <v>113.50891969354565</v>
      </c>
      <c r="P234" s="61">
        <v>0.64080354712883503</v>
      </c>
      <c r="Q234" s="13">
        <v>414593.45358464489</v>
      </c>
      <c r="R234" s="41">
        <v>14947.276132040653</v>
      </c>
      <c r="S234" s="38"/>
      <c r="U234" s="51">
        <v>416032</v>
      </c>
    </row>
    <row r="235" spans="1:21" s="7" customFormat="1" x14ac:dyDescent="0.25">
      <c r="A235" s="90">
        <v>1059937</v>
      </c>
      <c r="B235" s="45" t="s">
        <v>493</v>
      </c>
      <c r="C235" s="45"/>
      <c r="D235" s="45" t="s">
        <v>337</v>
      </c>
      <c r="E235" s="107">
        <v>44537</v>
      </c>
      <c r="F235" s="107">
        <v>44539</v>
      </c>
      <c r="G235" s="107">
        <v>44721</v>
      </c>
      <c r="H235" s="93" t="s">
        <v>4</v>
      </c>
      <c r="I235" s="64">
        <v>10000000</v>
      </c>
      <c r="J235" s="64" t="s">
        <v>0</v>
      </c>
      <c r="K235" s="66">
        <v>277260000</v>
      </c>
      <c r="L235" s="55">
        <v>27.725999999999999</v>
      </c>
      <c r="M235" s="46">
        <v>10000000</v>
      </c>
      <c r="N235" s="48">
        <v>178</v>
      </c>
      <c r="O235" s="58">
        <v>27.706780837282128</v>
      </c>
      <c r="P235" s="61">
        <v>-1.9206518333571759E-2</v>
      </c>
      <c r="Q235" s="13">
        <v>-192065.18333571759</v>
      </c>
      <c r="R235" s="41">
        <v>-6924.4974947098644</v>
      </c>
      <c r="S235" s="38"/>
      <c r="U235" s="51">
        <v>-165394</v>
      </c>
    </row>
    <row r="236" spans="1:21" s="7" customFormat="1" x14ac:dyDescent="0.25">
      <c r="A236" s="90">
        <v>1059948</v>
      </c>
      <c r="B236" s="45" t="s">
        <v>493</v>
      </c>
      <c r="C236" s="45"/>
      <c r="D236" s="45" t="s">
        <v>337</v>
      </c>
      <c r="E236" s="107">
        <v>44537</v>
      </c>
      <c r="F236" s="107">
        <v>44539</v>
      </c>
      <c r="G236" s="107">
        <v>44721</v>
      </c>
      <c r="H236" s="93" t="s">
        <v>4</v>
      </c>
      <c r="I236" s="64">
        <v>10000000</v>
      </c>
      <c r="J236" s="64" t="s">
        <v>0</v>
      </c>
      <c r="K236" s="66">
        <v>277510000</v>
      </c>
      <c r="L236" s="55">
        <v>27.751000000000001</v>
      </c>
      <c r="M236" s="46">
        <v>10000000</v>
      </c>
      <c r="N236" s="48">
        <v>178</v>
      </c>
      <c r="O236" s="58">
        <v>27.706780837282128</v>
      </c>
      <c r="P236" s="61">
        <v>-4.4190070707206541E-2</v>
      </c>
      <c r="Q236" s="13">
        <v>-441900.70707206544</v>
      </c>
      <c r="R236" s="41">
        <v>-15931.780481434032</v>
      </c>
      <c r="S236" s="38"/>
      <c r="U236" s="51">
        <v>-415203</v>
      </c>
    </row>
    <row r="237" spans="1:21" s="7" customFormat="1" x14ac:dyDescent="0.25">
      <c r="A237" s="90">
        <v>1060854</v>
      </c>
      <c r="B237" s="45" t="s">
        <v>493</v>
      </c>
      <c r="C237" s="45"/>
      <c r="D237" s="45" t="s">
        <v>458</v>
      </c>
      <c r="E237" s="107">
        <v>44538</v>
      </c>
      <c r="F237" s="107">
        <v>44540</v>
      </c>
      <c r="G237" s="107">
        <v>44571</v>
      </c>
      <c r="H237" s="93" t="s">
        <v>4</v>
      </c>
      <c r="I237" s="64">
        <v>5714388</v>
      </c>
      <c r="J237" s="64" t="s">
        <v>6</v>
      </c>
      <c r="K237" s="66">
        <v>8000000</v>
      </c>
      <c r="L237" s="55">
        <v>1.399974940448566</v>
      </c>
      <c r="M237" s="46">
        <v>5714388</v>
      </c>
      <c r="N237" s="48">
        <v>28</v>
      </c>
      <c r="O237" s="58">
        <v>1.3983493768315687</v>
      </c>
      <c r="P237" s="61">
        <v>-1.6257095297505823E-3</v>
      </c>
      <c r="Q237" s="13">
        <v>-184236.25290470669</v>
      </c>
      <c r="R237" s="41">
        <v>-6642.2422300425833</v>
      </c>
      <c r="S237" s="38"/>
      <c r="U237" s="51">
        <v>-194001</v>
      </c>
    </row>
    <row r="238" spans="1:21" s="7" customFormat="1" x14ac:dyDescent="0.25">
      <c r="A238" s="90">
        <v>1060866</v>
      </c>
      <c r="B238" s="45" t="s">
        <v>493</v>
      </c>
      <c r="C238" s="45"/>
      <c r="D238" s="45" t="s">
        <v>334</v>
      </c>
      <c r="E238" s="107">
        <v>44538</v>
      </c>
      <c r="F238" s="107">
        <v>44540</v>
      </c>
      <c r="G238" s="107">
        <v>44630</v>
      </c>
      <c r="H238" s="93" t="s">
        <v>4</v>
      </c>
      <c r="I238" s="64">
        <v>10000000</v>
      </c>
      <c r="J238" s="64" t="s">
        <v>0</v>
      </c>
      <c r="K238" s="66">
        <v>277280000</v>
      </c>
      <c r="L238" s="55">
        <v>27.728000000000002</v>
      </c>
      <c r="M238" s="46">
        <v>10000000</v>
      </c>
      <c r="N238" s="48">
        <v>87</v>
      </c>
      <c r="O238" s="58">
        <v>27.729527452567726</v>
      </c>
      <c r="P238" s="61">
        <v>1.5267365864537071E-3</v>
      </c>
      <c r="Q238" s="13">
        <v>15267.365864537071</v>
      </c>
      <c r="R238" s="41">
        <v>550.43207125685092</v>
      </c>
      <c r="S238" s="38"/>
      <c r="U238" s="51">
        <v>25876</v>
      </c>
    </row>
    <row r="239" spans="1:21" s="7" customFormat="1" x14ac:dyDescent="0.25">
      <c r="A239" s="90">
        <v>1060879</v>
      </c>
      <c r="B239" s="45" t="s">
        <v>493</v>
      </c>
      <c r="C239" s="45"/>
      <c r="D239" s="45" t="s">
        <v>465</v>
      </c>
      <c r="E239" s="107">
        <v>44538</v>
      </c>
      <c r="F239" s="107">
        <v>44540</v>
      </c>
      <c r="G239" s="107">
        <v>44630</v>
      </c>
      <c r="H239" s="93" t="s">
        <v>4</v>
      </c>
      <c r="I239" s="64">
        <v>10000000</v>
      </c>
      <c r="J239" s="64" t="s">
        <v>0</v>
      </c>
      <c r="K239" s="66">
        <v>277300000</v>
      </c>
      <c r="L239" s="55">
        <v>27.73</v>
      </c>
      <c r="M239" s="46">
        <v>10000000</v>
      </c>
      <c r="N239" s="48">
        <v>87</v>
      </c>
      <c r="O239" s="58">
        <v>27.729527452567726</v>
      </c>
      <c r="P239" s="61">
        <v>-4.7232592941464117E-4</v>
      </c>
      <c r="Q239" s="13">
        <v>-4723.2592941464118</v>
      </c>
      <c r="R239" s="41">
        <v>-170.28696498320355</v>
      </c>
      <c r="S239" s="38"/>
      <c r="U239" s="51">
        <v>5887</v>
      </c>
    </row>
    <row r="240" spans="1:21" s="7" customFormat="1" x14ac:dyDescent="0.25">
      <c r="A240" s="90">
        <v>1061738</v>
      </c>
      <c r="B240" s="45" t="s">
        <v>493</v>
      </c>
      <c r="C240" s="45"/>
      <c r="D240" s="45" t="s">
        <v>328</v>
      </c>
      <c r="E240" s="107">
        <v>44539</v>
      </c>
      <c r="F240" s="107">
        <v>44543</v>
      </c>
      <c r="G240" s="107">
        <v>44725</v>
      </c>
      <c r="H240" s="93" t="s">
        <v>3</v>
      </c>
      <c r="I240" s="64">
        <v>7068447.54</v>
      </c>
      <c r="J240" s="64" t="s">
        <v>4</v>
      </c>
      <c r="K240" s="66">
        <v>1100000</v>
      </c>
      <c r="L240" s="55">
        <v>6.4258613999999996</v>
      </c>
      <c r="M240" s="46">
        <v>-1100000</v>
      </c>
      <c r="N240" s="48">
        <v>182</v>
      </c>
      <c r="O240" s="58">
        <v>6.4486777402231539</v>
      </c>
      <c r="P240" s="61">
        <v>2.2509972791161841E-2</v>
      </c>
      <c r="Q240" s="13">
        <v>-107757.28524144911</v>
      </c>
      <c r="R240" s="41">
        <v>-3884.9573813016491</v>
      </c>
      <c r="S240" s="38"/>
      <c r="U240" s="51">
        <v>-129081</v>
      </c>
    </row>
    <row r="241" spans="1:21" s="7" customFormat="1" x14ac:dyDescent="0.25">
      <c r="A241" s="90">
        <v>1061744</v>
      </c>
      <c r="B241" s="45" t="s">
        <v>493</v>
      </c>
      <c r="C241" s="45"/>
      <c r="D241" s="45" t="s">
        <v>458</v>
      </c>
      <c r="E241" s="107">
        <v>44539</v>
      </c>
      <c r="F241" s="107">
        <v>44543</v>
      </c>
      <c r="G241" s="107">
        <v>44629</v>
      </c>
      <c r="H241" s="93" t="s">
        <v>15</v>
      </c>
      <c r="I241" s="64">
        <v>1000000</v>
      </c>
      <c r="J241" s="64" t="s">
        <v>4</v>
      </c>
      <c r="K241" s="66">
        <v>1320761.7</v>
      </c>
      <c r="L241" s="55">
        <v>0.75713885404157311</v>
      </c>
      <c r="M241" s="46">
        <v>-1320761.7</v>
      </c>
      <c r="N241" s="48">
        <v>86</v>
      </c>
      <c r="O241" s="58">
        <v>0.75657684668078629</v>
      </c>
      <c r="P241" s="61">
        <v>-5.6183533628926488E-4</v>
      </c>
      <c r="Q241" s="13">
        <v>27193.385941496166</v>
      </c>
      <c r="R241" s="41">
        <v>980.39909969227176</v>
      </c>
      <c r="S241" s="38"/>
      <c r="U241" s="51">
        <v>26898</v>
      </c>
    </row>
    <row r="242" spans="1:21" s="7" customFormat="1" x14ac:dyDescent="0.25">
      <c r="A242" s="90">
        <v>1061747</v>
      </c>
      <c r="B242" s="45" t="s">
        <v>493</v>
      </c>
      <c r="C242" s="45"/>
      <c r="D242" s="45" t="s">
        <v>474</v>
      </c>
      <c r="E242" s="107">
        <v>44539</v>
      </c>
      <c r="F242" s="107">
        <v>44358</v>
      </c>
      <c r="G242" s="107">
        <v>44725</v>
      </c>
      <c r="H242" s="93" t="s">
        <v>0</v>
      </c>
      <c r="I242" s="64">
        <v>30149000</v>
      </c>
      <c r="J242" s="64" t="s">
        <v>3</v>
      </c>
      <c r="K242" s="66">
        <v>7000000</v>
      </c>
      <c r="L242" s="55">
        <v>0.23218017181332715</v>
      </c>
      <c r="M242" s="46">
        <v>-7000000</v>
      </c>
      <c r="N242" s="48">
        <v>182</v>
      </c>
      <c r="O242" s="58">
        <v>27.705426319802761</v>
      </c>
      <c r="P242" s="61">
        <v>27.455147843335425</v>
      </c>
      <c r="Q242" s="13"/>
      <c r="R242" s="41">
        <v>-6928854.5383070139</v>
      </c>
      <c r="S242" s="38"/>
      <c r="U242" s="51"/>
    </row>
    <row r="243" spans="1:21" s="7" customFormat="1" x14ac:dyDescent="0.25">
      <c r="A243" s="90">
        <v>1061766</v>
      </c>
      <c r="B243" s="45" t="s">
        <v>493</v>
      </c>
      <c r="C243" s="45"/>
      <c r="D243" s="45" t="s">
        <v>334</v>
      </c>
      <c r="E243" s="107">
        <v>44539</v>
      </c>
      <c r="F243" s="107">
        <v>44543</v>
      </c>
      <c r="G243" s="107">
        <v>44725</v>
      </c>
      <c r="H243" s="93" t="s">
        <v>4</v>
      </c>
      <c r="I243" s="64">
        <v>10000000</v>
      </c>
      <c r="J243" s="64" t="s">
        <v>0</v>
      </c>
      <c r="K243" s="66">
        <v>276530000</v>
      </c>
      <c r="L243" s="55">
        <v>27.652999999999999</v>
      </c>
      <c r="M243" s="46">
        <v>10000000</v>
      </c>
      <c r="N243" s="48">
        <v>182</v>
      </c>
      <c r="O243" s="58">
        <v>27.705426319802761</v>
      </c>
      <c r="P243" s="61">
        <v>5.2391783384948397E-2</v>
      </c>
      <c r="Q243" s="13">
        <v>523917.83384948398</v>
      </c>
      <c r="R243" s="41">
        <v>18888.731757193553</v>
      </c>
      <c r="S243" s="38"/>
      <c r="U243" s="51">
        <v>552416</v>
      </c>
    </row>
    <row r="244" spans="1:21" s="7" customFormat="1" x14ac:dyDescent="0.25">
      <c r="A244" s="90">
        <v>1061777</v>
      </c>
      <c r="B244" s="45" t="s">
        <v>493</v>
      </c>
      <c r="C244" s="45"/>
      <c r="D244" s="45" t="s">
        <v>473</v>
      </c>
      <c r="E244" s="107">
        <v>44539</v>
      </c>
      <c r="F244" s="107">
        <v>44543</v>
      </c>
      <c r="G244" s="107">
        <v>44634</v>
      </c>
      <c r="H244" s="93" t="s">
        <v>4</v>
      </c>
      <c r="I244" s="64">
        <v>7169480</v>
      </c>
      <c r="J244" s="64" t="s">
        <v>6</v>
      </c>
      <c r="K244" s="66">
        <v>10000000</v>
      </c>
      <c r="L244" s="55">
        <v>1.3948012966072854</v>
      </c>
      <c r="M244" s="46">
        <v>7169480</v>
      </c>
      <c r="N244" s="48">
        <v>91</v>
      </c>
      <c r="O244" s="58">
        <v>1.398149336599025</v>
      </c>
      <c r="P244" s="61">
        <v>3.3463793115920599E-3</v>
      </c>
      <c r="Q244" s="13">
        <v>475800.87863856903</v>
      </c>
      <c r="R244" s="41">
        <v>17153.978325965676</v>
      </c>
      <c r="S244" s="38"/>
      <c r="U244" s="51">
        <v>473890</v>
      </c>
    </row>
    <row r="245" spans="1:21" s="7" customFormat="1" x14ac:dyDescent="0.25">
      <c r="A245" s="90">
        <v>1061792</v>
      </c>
      <c r="B245" s="45" t="s">
        <v>493</v>
      </c>
      <c r="C245" s="45"/>
      <c r="D245" s="45" t="s">
        <v>458</v>
      </c>
      <c r="E245" s="107">
        <v>44539</v>
      </c>
      <c r="F245" s="107">
        <v>44540</v>
      </c>
      <c r="G245" s="107">
        <v>44543</v>
      </c>
      <c r="H245" s="93" t="s">
        <v>15</v>
      </c>
      <c r="I245" s="64">
        <v>1500000</v>
      </c>
      <c r="J245" s="64" t="s">
        <v>4</v>
      </c>
      <c r="K245" s="66">
        <v>1982295</v>
      </c>
      <c r="L245" s="55">
        <v>0.75669867502062005</v>
      </c>
      <c r="M245" s="46">
        <v>-1982295</v>
      </c>
      <c r="N245" s="48">
        <v>0</v>
      </c>
      <c r="O245" s="58">
        <v>0.75688624569999996</v>
      </c>
      <c r="P245" s="61">
        <v>1.8757067937991145E-4</v>
      </c>
      <c r="Q245" s="13">
        <v>-13625.831260278634</v>
      </c>
      <c r="R245" s="41">
        <v>-491.25006826571718</v>
      </c>
      <c r="S245" s="38"/>
      <c r="U245" s="51">
        <v>-13705</v>
      </c>
    </row>
    <row r="246" spans="1:21" s="7" customFormat="1" x14ac:dyDescent="0.25">
      <c r="A246" s="90">
        <v>1061794</v>
      </c>
      <c r="B246" s="45" t="s">
        <v>493</v>
      </c>
      <c r="C246" s="45"/>
      <c r="D246" s="45" t="s">
        <v>328</v>
      </c>
      <c r="E246" s="107">
        <v>44539</v>
      </c>
      <c r="F246" s="107">
        <v>44540</v>
      </c>
      <c r="G246" s="107">
        <v>44543</v>
      </c>
      <c r="H246" s="93" t="s">
        <v>4</v>
      </c>
      <c r="I246" s="64">
        <v>7500000</v>
      </c>
      <c r="J246" s="64" t="s">
        <v>1</v>
      </c>
      <c r="K246" s="66">
        <v>58485750</v>
      </c>
      <c r="L246" s="55">
        <v>7.7980999999999998</v>
      </c>
      <c r="M246" s="46">
        <v>7500000</v>
      </c>
      <c r="N246" s="48">
        <v>0</v>
      </c>
      <c r="O246" s="58">
        <v>7.7997989962159444</v>
      </c>
      <c r="P246" s="61">
        <v>1.6989962159446037E-3</v>
      </c>
      <c r="Q246" s="13">
        <v>45313.817035760498</v>
      </c>
      <c r="R246" s="41">
        <v>1633.6923074256799</v>
      </c>
      <c r="S246" s="38"/>
      <c r="U246" s="51">
        <v>44513</v>
      </c>
    </row>
    <row r="247" spans="1:21" s="7" customFormat="1" x14ac:dyDescent="0.25">
      <c r="A247" s="90">
        <v>1061797</v>
      </c>
      <c r="B247" s="45" t="s">
        <v>493</v>
      </c>
      <c r="C247" s="45"/>
      <c r="D247" s="45" t="s">
        <v>328</v>
      </c>
      <c r="E247" s="107">
        <v>44539</v>
      </c>
      <c r="F247" s="107">
        <v>44540</v>
      </c>
      <c r="G247" s="107">
        <v>44543</v>
      </c>
      <c r="H247" s="93" t="s">
        <v>6</v>
      </c>
      <c r="I247" s="64">
        <v>3000000</v>
      </c>
      <c r="J247" s="64" t="s">
        <v>4</v>
      </c>
      <c r="K247" s="66">
        <v>2155620</v>
      </c>
      <c r="L247" s="55">
        <v>1.3917109694658614</v>
      </c>
      <c r="M247" s="46">
        <v>-2155620</v>
      </c>
      <c r="N247" s="48">
        <v>0</v>
      </c>
      <c r="O247" s="58">
        <v>1.3986143092000001</v>
      </c>
      <c r="P247" s="61">
        <v>6.9033397341387026E-3</v>
      </c>
      <c r="Q247" s="13">
        <v>-295116.75486597361</v>
      </c>
      <c r="R247" s="41">
        <v>-10639.800479321497</v>
      </c>
      <c r="S247" s="38"/>
      <c r="U247" s="51">
        <v>-294532</v>
      </c>
    </row>
    <row r="248" spans="1:21" s="7" customFormat="1" x14ac:dyDescent="0.25">
      <c r="A248" s="90">
        <v>1061799</v>
      </c>
      <c r="B248" s="45" t="s">
        <v>493</v>
      </c>
      <c r="C248" s="45"/>
      <c r="D248" s="45" t="s">
        <v>328</v>
      </c>
      <c r="E248" s="107">
        <v>44539</v>
      </c>
      <c r="F248" s="107">
        <v>44540</v>
      </c>
      <c r="G248" s="107">
        <v>44543</v>
      </c>
      <c r="H248" s="93" t="s">
        <v>4</v>
      </c>
      <c r="I248" s="64">
        <v>6233260</v>
      </c>
      <c r="J248" s="64" t="s">
        <v>5</v>
      </c>
      <c r="K248" s="66">
        <v>5500000</v>
      </c>
      <c r="L248" s="55">
        <v>0.88236332192143441</v>
      </c>
      <c r="M248" s="46">
        <v>6233260</v>
      </c>
      <c r="N248" s="48">
        <v>0</v>
      </c>
      <c r="O248" s="58">
        <v>0.88599856310000003</v>
      </c>
      <c r="P248" s="61">
        <v>3.635241178565618E-3</v>
      </c>
      <c r="Q248" s="13">
        <v>709374.93126905663</v>
      </c>
      <c r="R248" s="41">
        <v>25574.988912991019</v>
      </c>
      <c r="S248" s="38"/>
      <c r="U248" s="51">
        <v>700217</v>
      </c>
    </row>
    <row r="249" spans="1:21" s="7" customFormat="1" x14ac:dyDescent="0.25">
      <c r="A249" s="90">
        <v>1061802</v>
      </c>
      <c r="B249" s="45" t="s">
        <v>493</v>
      </c>
      <c r="C249" s="45"/>
      <c r="D249" s="45" t="s">
        <v>488</v>
      </c>
      <c r="E249" s="107">
        <v>44539</v>
      </c>
      <c r="F249" s="107">
        <v>44540</v>
      </c>
      <c r="G249" s="107">
        <v>44543</v>
      </c>
      <c r="H249" s="93" t="s">
        <v>3</v>
      </c>
      <c r="I249" s="64">
        <v>63425500</v>
      </c>
      <c r="J249" s="64" t="s">
        <v>4</v>
      </c>
      <c r="K249" s="66">
        <v>10000000</v>
      </c>
      <c r="L249" s="55">
        <v>6.3425500000000001</v>
      </c>
      <c r="M249" s="46">
        <v>-10000000</v>
      </c>
      <c r="N249" s="48">
        <v>0</v>
      </c>
      <c r="O249" s="58">
        <v>6.3735499878204322</v>
      </c>
      <c r="P249" s="61">
        <v>3.0999987820432118E-2</v>
      </c>
      <c r="Q249" s="13">
        <v>-1349088.7152509063</v>
      </c>
      <c r="R249" s="41">
        <v>-48638.494841448963</v>
      </c>
      <c r="S249" s="38"/>
      <c r="U249" s="51">
        <v>-1385886</v>
      </c>
    </row>
    <row r="250" spans="1:21" s="7" customFormat="1" x14ac:dyDescent="0.25">
      <c r="A250" s="90">
        <v>1061804</v>
      </c>
      <c r="B250" s="45" t="s">
        <v>493</v>
      </c>
      <c r="C250" s="45"/>
      <c r="D250" s="45" t="s">
        <v>473</v>
      </c>
      <c r="E250" s="107">
        <v>44539</v>
      </c>
      <c r="F250" s="107">
        <v>44540</v>
      </c>
      <c r="G250" s="107">
        <v>44543</v>
      </c>
      <c r="H250" s="93" t="s">
        <v>3</v>
      </c>
      <c r="I250" s="64">
        <v>44394840</v>
      </c>
      <c r="J250" s="64" t="s">
        <v>4</v>
      </c>
      <c r="K250" s="66">
        <v>7000000</v>
      </c>
      <c r="L250" s="55">
        <v>6.3421200000000004</v>
      </c>
      <c r="M250" s="46">
        <v>-7000000</v>
      </c>
      <c r="N250" s="48">
        <v>0</v>
      </c>
      <c r="O250" s="58">
        <v>6.3735499878204322</v>
      </c>
      <c r="P250" s="61">
        <v>3.1429987820431826E-2</v>
      </c>
      <c r="Q250" s="13">
        <v>-957461.32205734728</v>
      </c>
      <c r="R250" s="41">
        <v>-34519.210669634951</v>
      </c>
      <c r="S250" s="38"/>
      <c r="U250" s="51">
        <v>-983218</v>
      </c>
    </row>
    <row r="251" spans="1:21" s="7" customFormat="1" x14ac:dyDescent="0.25">
      <c r="A251" s="90">
        <v>1061809</v>
      </c>
      <c r="B251" s="45" t="s">
        <v>493</v>
      </c>
      <c r="C251" s="45"/>
      <c r="D251" s="45" t="s">
        <v>492</v>
      </c>
      <c r="E251" s="107">
        <v>44539</v>
      </c>
      <c r="F251" s="107">
        <v>43992</v>
      </c>
      <c r="G251" s="107">
        <v>44630</v>
      </c>
      <c r="H251" s="93" t="s">
        <v>0</v>
      </c>
      <c r="I251" s="64">
        <v>13869000</v>
      </c>
      <c r="J251" s="64" t="s">
        <v>4</v>
      </c>
      <c r="K251" s="66">
        <v>500000</v>
      </c>
      <c r="L251" s="55">
        <v>27.738</v>
      </c>
      <c r="M251" s="46">
        <v>-500000</v>
      </c>
      <c r="N251" s="48">
        <v>87</v>
      </c>
      <c r="O251" s="58">
        <v>27.729527452567726</v>
      </c>
      <c r="P251" s="61">
        <v>-8.4685759928915857E-3</v>
      </c>
      <c r="Q251" s="13">
        <v>4234.2879964457934</v>
      </c>
      <c r="R251" s="41">
        <v>152.6581554972351</v>
      </c>
      <c r="S251" s="38"/>
      <c r="U251" s="51">
        <v>3703</v>
      </c>
    </row>
    <row r="252" spans="1:21" s="7" customFormat="1" x14ac:dyDescent="0.25">
      <c r="A252" s="90">
        <v>1061826</v>
      </c>
      <c r="B252" s="45" t="s">
        <v>493</v>
      </c>
      <c r="C252" s="45"/>
      <c r="D252" s="45" t="s">
        <v>328</v>
      </c>
      <c r="E252" s="107">
        <v>44539</v>
      </c>
      <c r="F252" s="107">
        <v>44543</v>
      </c>
      <c r="G252" s="107">
        <v>44634</v>
      </c>
      <c r="H252" s="93" t="s">
        <v>4</v>
      </c>
      <c r="I252" s="64">
        <v>7166214</v>
      </c>
      <c r="J252" s="64" t="s">
        <v>6</v>
      </c>
      <c r="K252" s="66">
        <v>10000000</v>
      </c>
      <c r="L252" s="55">
        <v>1.3954369769030062</v>
      </c>
      <c r="M252" s="46">
        <v>7166214</v>
      </c>
      <c r="N252" s="48">
        <v>91</v>
      </c>
      <c r="O252" s="58">
        <v>1.398149336599025</v>
      </c>
      <c r="P252" s="61">
        <v>2.7110143232301517E-3</v>
      </c>
      <c r="Q252" s="13">
        <v>385286.68504609133</v>
      </c>
      <c r="R252" s="41">
        <v>13890.683563836665</v>
      </c>
      <c r="S252" s="38"/>
      <c r="U252" s="51">
        <v>383380</v>
      </c>
    </row>
    <row r="253" spans="1:21" s="7" customFormat="1" x14ac:dyDescent="0.25">
      <c r="A253" s="90">
        <v>1062684</v>
      </c>
      <c r="B253" s="45" t="s">
        <v>493</v>
      </c>
      <c r="C253" s="45"/>
      <c r="D253" s="45" t="s">
        <v>458</v>
      </c>
      <c r="E253" s="107">
        <v>44540</v>
      </c>
      <c r="F253" s="107">
        <v>44540</v>
      </c>
      <c r="G253" s="107">
        <v>44543</v>
      </c>
      <c r="H253" s="93" t="s">
        <v>4</v>
      </c>
      <c r="I253" s="64">
        <v>2300000</v>
      </c>
      <c r="J253" s="64" t="s">
        <v>7</v>
      </c>
      <c r="K253" s="66">
        <v>2921713</v>
      </c>
      <c r="L253" s="55">
        <v>1.2703100000000001</v>
      </c>
      <c r="M253" s="46">
        <v>2300000</v>
      </c>
      <c r="N253" s="48">
        <v>0</v>
      </c>
      <c r="O253" s="58">
        <v>1.2713315000869558</v>
      </c>
      <c r="P253" s="61">
        <v>1.0215000869557844E-3</v>
      </c>
      <c r="Q253" s="13">
        <v>51258.727298215454</v>
      </c>
      <c r="R253" s="41">
        <v>1848.0232731098124</v>
      </c>
      <c r="S253" s="38"/>
      <c r="U253" s="51">
        <v>52186</v>
      </c>
    </row>
    <row r="254" spans="1:21" s="7" customFormat="1" x14ac:dyDescent="0.25">
      <c r="A254" s="90">
        <v>1062695</v>
      </c>
      <c r="B254" s="45" t="s">
        <v>493</v>
      </c>
      <c r="C254" s="45"/>
      <c r="D254" s="45" t="s">
        <v>461</v>
      </c>
      <c r="E254" s="107">
        <v>44540</v>
      </c>
      <c r="F254" s="107">
        <v>43994</v>
      </c>
      <c r="G254" s="107">
        <v>44909</v>
      </c>
      <c r="H254" s="93" t="s">
        <v>0</v>
      </c>
      <c r="I254" s="64">
        <v>13835000</v>
      </c>
      <c r="J254" s="64" t="s">
        <v>4</v>
      </c>
      <c r="K254" s="66">
        <v>500000</v>
      </c>
      <c r="L254" s="55">
        <v>27.67</v>
      </c>
      <c r="M254" s="46">
        <v>-500000</v>
      </c>
      <c r="N254" s="48">
        <v>366</v>
      </c>
      <c r="O254" s="58">
        <v>27.621494453251014</v>
      </c>
      <c r="P254" s="61">
        <v>-4.8483859853343615E-2</v>
      </c>
      <c r="Q254" s="13">
        <v>24241.929926671808</v>
      </c>
      <c r="R254" s="41">
        <v>873.99069487131862</v>
      </c>
      <c r="S254" s="38"/>
      <c r="U254" s="51">
        <v>22989</v>
      </c>
    </row>
    <row r="255" spans="1:21" s="7" customFormat="1" x14ac:dyDescent="0.25">
      <c r="A255" s="90">
        <v>1062698</v>
      </c>
      <c r="B255" s="45" t="s">
        <v>493</v>
      </c>
      <c r="C255" s="45"/>
      <c r="D255" s="45" t="s">
        <v>461</v>
      </c>
      <c r="E255" s="107">
        <v>44540</v>
      </c>
      <c r="F255" s="107">
        <v>43994</v>
      </c>
      <c r="G255" s="107">
        <v>44909</v>
      </c>
      <c r="H255" s="93" t="s">
        <v>0</v>
      </c>
      <c r="I255" s="64">
        <v>13835000</v>
      </c>
      <c r="J255" s="64" t="s">
        <v>4</v>
      </c>
      <c r="K255" s="66">
        <v>500000</v>
      </c>
      <c r="L255" s="55">
        <v>27.67</v>
      </c>
      <c r="M255" s="46">
        <v>-500000</v>
      </c>
      <c r="N255" s="48">
        <v>366</v>
      </c>
      <c r="O255" s="58">
        <v>27.621494453251014</v>
      </c>
      <c r="P255" s="61">
        <v>-4.8483859853343615E-2</v>
      </c>
      <c r="Q255" s="13">
        <v>24241.929926671808</v>
      </c>
      <c r="R255" s="41">
        <v>873.99069487131862</v>
      </c>
      <c r="S255" s="38"/>
      <c r="U255" s="51">
        <v>22989</v>
      </c>
    </row>
    <row r="256" spans="1:21" s="7" customFormat="1" x14ac:dyDescent="0.25">
      <c r="A256" s="90">
        <v>1062761</v>
      </c>
      <c r="B256" s="45" t="s">
        <v>493</v>
      </c>
      <c r="C256" s="45"/>
      <c r="D256" s="45" t="s">
        <v>458</v>
      </c>
      <c r="E256" s="107">
        <v>44540</v>
      </c>
      <c r="F256" s="107">
        <v>44543</v>
      </c>
      <c r="G256" s="107">
        <v>44544</v>
      </c>
      <c r="H256" s="93" t="s">
        <v>12</v>
      </c>
      <c r="I256" s="64">
        <v>1016851</v>
      </c>
      <c r="J256" s="64" t="s">
        <v>4</v>
      </c>
      <c r="K256" s="66">
        <v>1100000</v>
      </c>
      <c r="L256" s="55">
        <v>0.92440999999999995</v>
      </c>
      <c r="M256" s="46">
        <v>-1100000</v>
      </c>
      <c r="N256" s="48">
        <v>1</v>
      </c>
      <c r="O256" s="58">
        <v>0.92442875717684458</v>
      </c>
      <c r="P256" s="61">
        <v>1.8757376546182063E-5</v>
      </c>
      <c r="Q256" s="13">
        <v>-619.07931691689623</v>
      </c>
      <c r="R256" s="41">
        <v>-22.319574555710435</v>
      </c>
      <c r="S256" s="38"/>
      <c r="U256" s="51">
        <v>1980</v>
      </c>
    </row>
    <row r="257" spans="1:21" s="7" customFormat="1" x14ac:dyDescent="0.25">
      <c r="A257" s="90">
        <v>1062763</v>
      </c>
      <c r="B257" s="45" t="s">
        <v>493</v>
      </c>
      <c r="C257" s="45"/>
      <c r="D257" s="45" t="s">
        <v>458</v>
      </c>
      <c r="E257" s="107">
        <v>44540</v>
      </c>
      <c r="F257" s="107">
        <v>44543</v>
      </c>
      <c r="G257" s="107">
        <v>44544</v>
      </c>
      <c r="H257" s="93" t="s">
        <v>3</v>
      </c>
      <c r="I257" s="64">
        <v>82782570</v>
      </c>
      <c r="J257" s="64" t="s">
        <v>4</v>
      </c>
      <c r="K257" s="66">
        <v>13000000</v>
      </c>
      <c r="L257" s="55">
        <v>6.3678900000000001</v>
      </c>
      <c r="M257" s="46">
        <v>-13000000</v>
      </c>
      <c r="N257" s="48">
        <v>1</v>
      </c>
      <c r="O257" s="58">
        <v>6.3736526298155711</v>
      </c>
      <c r="P257" s="61">
        <v>5.7625264112352416E-3</v>
      </c>
      <c r="Q257" s="13">
        <v>-326013.26223397598</v>
      </c>
      <c r="R257" s="41">
        <v>-11753.707665149441</v>
      </c>
      <c r="S257" s="38"/>
      <c r="U257" s="51">
        <v>-371074</v>
      </c>
    </row>
    <row r="258" spans="1:21" s="7" customFormat="1" x14ac:dyDescent="0.25">
      <c r="A258" s="90">
        <v>1062765</v>
      </c>
      <c r="B258" s="45" t="s">
        <v>493</v>
      </c>
      <c r="C258" s="45"/>
      <c r="D258" s="45" t="s">
        <v>328</v>
      </c>
      <c r="E258" s="107">
        <v>44540</v>
      </c>
      <c r="F258" s="107">
        <v>44543</v>
      </c>
      <c r="G258" s="107">
        <v>44544</v>
      </c>
      <c r="H258" s="93" t="s">
        <v>4</v>
      </c>
      <c r="I258" s="64">
        <v>7500000</v>
      </c>
      <c r="J258" s="64" t="s">
        <v>1</v>
      </c>
      <c r="K258" s="66">
        <v>58494375</v>
      </c>
      <c r="L258" s="55">
        <v>7.7992499999999998</v>
      </c>
      <c r="M258" s="46">
        <v>7500000</v>
      </c>
      <c r="N258" s="48">
        <v>1</v>
      </c>
      <c r="O258" s="58">
        <v>7.7997901473745888</v>
      </c>
      <c r="P258" s="61">
        <v>5.4014699358269651E-4</v>
      </c>
      <c r="Q258" s="13">
        <v>14406.225163964968</v>
      </c>
      <c r="R258" s="41">
        <v>519.38549363074708</v>
      </c>
      <c r="S258" s="38"/>
      <c r="U258" s="51">
        <v>13335</v>
      </c>
    </row>
    <row r="259" spans="1:21" s="7" customFormat="1" x14ac:dyDescent="0.25">
      <c r="A259" s="90">
        <v>1062767</v>
      </c>
      <c r="B259" s="45" t="s">
        <v>493</v>
      </c>
      <c r="C259" s="45"/>
      <c r="D259" s="45" t="s">
        <v>328</v>
      </c>
      <c r="E259" s="107">
        <v>44540</v>
      </c>
      <c r="F259" s="107">
        <v>44543</v>
      </c>
      <c r="G259" s="107">
        <v>44544</v>
      </c>
      <c r="H259" s="93" t="s">
        <v>4</v>
      </c>
      <c r="I259" s="64">
        <v>6777420</v>
      </c>
      <c r="J259" s="64" t="s">
        <v>5</v>
      </c>
      <c r="K259" s="66">
        <v>6000000</v>
      </c>
      <c r="L259" s="55">
        <v>0.88529263347999676</v>
      </c>
      <c r="M259" s="46">
        <v>6777420</v>
      </c>
      <c r="N259" s="48">
        <v>1</v>
      </c>
      <c r="O259" s="58">
        <v>0.88599182323441361</v>
      </c>
      <c r="P259" s="61">
        <v>6.9919378682459167E-4</v>
      </c>
      <c r="Q259" s="13">
        <v>148350.60625029099</v>
      </c>
      <c r="R259" s="41">
        <v>5348.4623474065911</v>
      </c>
      <c r="S259" s="38"/>
      <c r="U259" s="51">
        <v>136465</v>
      </c>
    </row>
    <row r="260" spans="1:21" s="7" customFormat="1" x14ac:dyDescent="0.25">
      <c r="A260" s="90">
        <v>1062769</v>
      </c>
      <c r="B260" s="45" t="s">
        <v>493</v>
      </c>
      <c r="C260" s="45"/>
      <c r="D260" s="45" t="s">
        <v>484</v>
      </c>
      <c r="E260" s="107">
        <v>44540</v>
      </c>
      <c r="F260" s="107">
        <v>44543</v>
      </c>
      <c r="G260" s="107">
        <v>44544</v>
      </c>
      <c r="H260" s="93" t="s">
        <v>160</v>
      </c>
      <c r="I260" s="64">
        <v>7195108.5</v>
      </c>
      <c r="J260" s="64" t="s">
        <v>4</v>
      </c>
      <c r="K260" s="66">
        <v>450000</v>
      </c>
      <c r="L260" s="55">
        <v>15.989129999999999</v>
      </c>
      <c r="M260" s="46">
        <v>-450000</v>
      </c>
      <c r="N260" s="48">
        <v>1</v>
      </c>
      <c r="O260" s="58">
        <v>16.02447328230652</v>
      </c>
      <c r="P260" s="61">
        <v>3.5339760602579956E-2</v>
      </c>
      <c r="Q260" s="13">
        <v>-27529.302865612844</v>
      </c>
      <c r="R260" s="41">
        <v>-992.50986260660375</v>
      </c>
      <c r="S260" s="38"/>
      <c r="U260" s="51">
        <v>-33493</v>
      </c>
    </row>
    <row r="261" spans="1:21" s="7" customFormat="1" x14ac:dyDescent="0.25">
      <c r="A261" s="90">
        <v>810454</v>
      </c>
      <c r="B261" s="45" t="s">
        <v>327</v>
      </c>
      <c r="C261" s="45"/>
      <c r="D261" s="45" t="s">
        <v>496</v>
      </c>
      <c r="E261" s="107">
        <v>44196</v>
      </c>
      <c r="F261" s="107">
        <v>44201</v>
      </c>
      <c r="G261" s="107">
        <v>44545</v>
      </c>
      <c r="H261" s="93" t="s">
        <v>4</v>
      </c>
      <c r="I261" s="64">
        <v>1000000</v>
      </c>
      <c r="J261" s="64" t="s">
        <v>3</v>
      </c>
      <c r="K261" s="66">
        <v>6635000</v>
      </c>
      <c r="L261" s="55">
        <v>6.6349999999999998</v>
      </c>
      <c r="M261" s="46">
        <v>1000000</v>
      </c>
      <c r="N261" s="48">
        <v>2</v>
      </c>
      <c r="O261" s="58">
        <v>6.373772078483352</v>
      </c>
      <c r="P261" s="61">
        <v>-0.2612178246638977</v>
      </c>
      <c r="Q261" s="13">
        <v>-1136794.0578485748</v>
      </c>
      <c r="R261" s="41">
        <v>-40984.667126338267</v>
      </c>
      <c r="S261" s="38"/>
      <c r="U261" s="51">
        <v>-1132581</v>
      </c>
    </row>
    <row r="262" spans="1:21" s="7" customFormat="1" x14ac:dyDescent="0.25">
      <c r="A262" s="90">
        <v>941506</v>
      </c>
      <c r="B262" s="45" t="s">
        <v>327</v>
      </c>
      <c r="C262" s="45"/>
      <c r="D262" s="45" t="s">
        <v>497</v>
      </c>
      <c r="E262" s="107">
        <v>44372</v>
      </c>
      <c r="F262" s="107">
        <v>44372</v>
      </c>
      <c r="G262" s="107">
        <v>44706</v>
      </c>
      <c r="H262" s="93" t="s">
        <v>3</v>
      </c>
      <c r="I262" s="64">
        <v>6598383</v>
      </c>
      <c r="J262" s="64" t="s">
        <v>4</v>
      </c>
      <c r="K262" s="66">
        <v>1000000</v>
      </c>
      <c r="L262" s="55">
        <v>6.5983830000000001</v>
      </c>
      <c r="M262" s="46">
        <v>-1000000</v>
      </c>
      <c r="N262" s="48">
        <v>163</v>
      </c>
      <c r="O262" s="58">
        <v>6.4403487785612681</v>
      </c>
      <c r="P262" s="61">
        <v>-0.15614782550858325</v>
      </c>
      <c r="Q262" s="13">
        <v>679539.84538585157</v>
      </c>
      <c r="R262" s="41">
        <v>24499.348998121099</v>
      </c>
      <c r="S262" s="38"/>
      <c r="U262" s="51">
        <v>659483</v>
      </c>
    </row>
    <row r="263" spans="1:21" s="7" customFormat="1" x14ac:dyDescent="0.25">
      <c r="A263" s="90">
        <v>941507</v>
      </c>
      <c r="B263" s="45" t="s">
        <v>327</v>
      </c>
      <c r="C263" s="45"/>
      <c r="D263" s="45" t="s">
        <v>497</v>
      </c>
      <c r="E263" s="107">
        <v>44372</v>
      </c>
      <c r="F263" s="107">
        <v>44372</v>
      </c>
      <c r="G263" s="107">
        <v>44735</v>
      </c>
      <c r="H263" s="93" t="s">
        <v>3</v>
      </c>
      <c r="I263" s="64">
        <v>26441060</v>
      </c>
      <c r="J263" s="64" t="s">
        <v>4</v>
      </c>
      <c r="K263" s="66">
        <v>4000000</v>
      </c>
      <c r="L263" s="55">
        <v>6.6102650000000001</v>
      </c>
      <c r="M263" s="46">
        <v>-4000000</v>
      </c>
      <c r="N263" s="48">
        <v>192</v>
      </c>
      <c r="O263" s="58">
        <v>6.4528956271288562</v>
      </c>
      <c r="P263" s="61">
        <v>-0.15513342823984569</v>
      </c>
      <c r="Q263" s="13">
        <v>2700501.1564374832</v>
      </c>
      <c r="R263" s="41">
        <v>97360.766628518613</v>
      </c>
      <c r="S263" s="38"/>
      <c r="U263" s="51">
        <v>2618671</v>
      </c>
    </row>
    <row r="264" spans="1:21" s="7" customFormat="1" x14ac:dyDescent="0.25">
      <c r="A264" s="90">
        <v>941527</v>
      </c>
      <c r="B264" s="45" t="s">
        <v>327</v>
      </c>
      <c r="C264" s="45"/>
      <c r="D264" s="45" t="s">
        <v>498</v>
      </c>
      <c r="E264" s="107">
        <v>44372</v>
      </c>
      <c r="F264" s="107">
        <v>44376</v>
      </c>
      <c r="G264" s="107">
        <v>44706</v>
      </c>
      <c r="H264" s="93" t="s">
        <v>4</v>
      </c>
      <c r="I264" s="64">
        <v>1000000</v>
      </c>
      <c r="J264" s="64" t="s">
        <v>3</v>
      </c>
      <c r="K264" s="66">
        <v>6574000</v>
      </c>
      <c r="L264" s="55">
        <v>6.5739999999999998</v>
      </c>
      <c r="M264" s="46">
        <v>1000000</v>
      </c>
      <c r="N264" s="48">
        <v>163</v>
      </c>
      <c r="O264" s="58">
        <v>6.4403487785612681</v>
      </c>
      <c r="P264" s="61">
        <v>-0.13205587634267496</v>
      </c>
      <c r="Q264" s="13">
        <v>-574694.07274750515</v>
      </c>
      <c r="R264" s="41">
        <v>-20719.359947757184</v>
      </c>
      <c r="S264" s="38"/>
      <c r="U264" s="51">
        <v>-554706</v>
      </c>
    </row>
    <row r="265" spans="1:21" s="7" customFormat="1" x14ac:dyDescent="0.25">
      <c r="A265" s="90">
        <v>941531</v>
      </c>
      <c r="B265" s="45" t="s">
        <v>327</v>
      </c>
      <c r="C265" s="45"/>
      <c r="D265" s="45" t="s">
        <v>498</v>
      </c>
      <c r="E265" s="107">
        <v>44372</v>
      </c>
      <c r="F265" s="107">
        <v>44376</v>
      </c>
      <c r="G265" s="107">
        <v>44735</v>
      </c>
      <c r="H265" s="93" t="s">
        <v>4</v>
      </c>
      <c r="I265" s="64">
        <v>4000000</v>
      </c>
      <c r="J265" s="64" t="s">
        <v>3</v>
      </c>
      <c r="K265" s="66">
        <v>26344000</v>
      </c>
      <c r="L265" s="55">
        <v>6.5860000000000003</v>
      </c>
      <c r="M265" s="46">
        <v>4000000</v>
      </c>
      <c r="N265" s="48">
        <v>192</v>
      </c>
      <c r="O265" s="58">
        <v>6.4528956271288562</v>
      </c>
      <c r="P265" s="61">
        <v>-0.13121319161717013</v>
      </c>
      <c r="Q265" s="13">
        <v>-2284107.1696951585</v>
      </c>
      <c r="R265" s="41">
        <v>-82348.576142283418</v>
      </c>
      <c r="S265" s="38"/>
      <c r="U265" s="51">
        <v>-2202592</v>
      </c>
    </row>
    <row r="266" spans="1:21" s="7" customFormat="1" x14ac:dyDescent="0.25">
      <c r="A266" s="88">
        <v>959085</v>
      </c>
      <c r="B266" s="45" t="s">
        <v>327</v>
      </c>
      <c r="C266" s="45"/>
      <c r="D266" s="39" t="s">
        <v>498</v>
      </c>
      <c r="E266" s="108">
        <v>44396</v>
      </c>
      <c r="F266" s="108">
        <v>44398</v>
      </c>
      <c r="G266" s="108">
        <v>44761</v>
      </c>
      <c r="H266" s="94" t="s">
        <v>4</v>
      </c>
      <c r="I266" s="65">
        <v>5000000</v>
      </c>
      <c r="J266" s="65" t="s">
        <v>3</v>
      </c>
      <c r="K266" s="67">
        <v>33175000</v>
      </c>
      <c r="L266" s="55">
        <v>6.6349999999999998</v>
      </c>
      <c r="M266" s="46">
        <v>5000000</v>
      </c>
      <c r="N266" s="48">
        <v>218</v>
      </c>
      <c r="O266" s="58">
        <v>6.463904154042214</v>
      </c>
      <c r="P266" s="61">
        <v>-0.16831412618527355</v>
      </c>
      <c r="Q266" s="13">
        <v>-3662431.8946378282</v>
      </c>
      <c r="R266" s="41">
        <v>-132041.11249375489</v>
      </c>
      <c r="S266" s="38"/>
      <c r="U266" s="51">
        <v>-3554389</v>
      </c>
    </row>
    <row r="267" spans="1:21" s="7" customFormat="1" x14ac:dyDescent="0.25">
      <c r="A267" s="90">
        <v>960141</v>
      </c>
      <c r="B267" s="45" t="s">
        <v>327</v>
      </c>
      <c r="C267" s="45"/>
      <c r="D267" s="45" t="s">
        <v>498</v>
      </c>
      <c r="E267" s="107">
        <v>44397</v>
      </c>
      <c r="F267" s="107">
        <v>44399</v>
      </c>
      <c r="G267" s="107">
        <v>44641</v>
      </c>
      <c r="H267" s="93" t="s">
        <v>4</v>
      </c>
      <c r="I267" s="64">
        <v>3000000</v>
      </c>
      <c r="J267" s="64" t="s">
        <v>3</v>
      </c>
      <c r="K267" s="66">
        <v>19785000</v>
      </c>
      <c r="L267" s="55">
        <v>6.5949999999999998</v>
      </c>
      <c r="M267" s="46">
        <v>3000000</v>
      </c>
      <c r="N267" s="48">
        <v>98</v>
      </c>
      <c r="O267" s="58">
        <v>6.4126265667585889</v>
      </c>
      <c r="P267" s="61">
        <v>-0.18109938254331495</v>
      </c>
      <c r="Q267" s="13">
        <v>-2364379.6385661373</v>
      </c>
      <c r="R267" s="41">
        <v>-85242.627525972683</v>
      </c>
      <c r="S267" s="38"/>
      <c r="U267" s="51">
        <v>-2313820</v>
      </c>
    </row>
    <row r="268" spans="1:21" s="7" customFormat="1" x14ac:dyDescent="0.25">
      <c r="A268" s="90">
        <v>960147</v>
      </c>
      <c r="B268" s="45" t="s">
        <v>327</v>
      </c>
      <c r="C268" s="45"/>
      <c r="D268" s="45" t="s">
        <v>498</v>
      </c>
      <c r="E268" s="107">
        <v>44397</v>
      </c>
      <c r="F268" s="107">
        <v>44399</v>
      </c>
      <c r="G268" s="107">
        <v>44704</v>
      </c>
      <c r="H268" s="93" t="s">
        <v>4</v>
      </c>
      <c r="I268" s="64">
        <v>2000000</v>
      </c>
      <c r="J268" s="64" t="s">
        <v>3</v>
      </c>
      <c r="K268" s="66">
        <v>13220000</v>
      </c>
      <c r="L268" s="55">
        <v>6.61</v>
      </c>
      <c r="M268" s="46">
        <v>2000000</v>
      </c>
      <c r="N268" s="48">
        <v>161</v>
      </c>
      <c r="O268" s="58">
        <v>6.4394744387815051</v>
      </c>
      <c r="P268" s="61">
        <v>-0.16851666300428009</v>
      </c>
      <c r="Q268" s="13">
        <v>-1466735.5981409231</v>
      </c>
      <c r="R268" s="41">
        <v>-52880.000416191251</v>
      </c>
      <c r="S268" s="38"/>
      <c r="U268" s="51">
        <v>-1426547</v>
      </c>
    </row>
    <row r="269" spans="1:21" s="7" customFormat="1" x14ac:dyDescent="0.25">
      <c r="A269" s="90">
        <v>1011091</v>
      </c>
      <c r="B269" s="45" t="s">
        <v>327</v>
      </c>
      <c r="C269" s="45"/>
      <c r="D269" s="45" t="s">
        <v>497</v>
      </c>
      <c r="E269" s="107">
        <v>44468</v>
      </c>
      <c r="F269" s="107">
        <v>44468</v>
      </c>
      <c r="G269" s="107">
        <v>44571</v>
      </c>
      <c r="H269" s="93" t="s">
        <v>3</v>
      </c>
      <c r="I269" s="64">
        <v>9773805</v>
      </c>
      <c r="J269" s="64" t="s">
        <v>4</v>
      </c>
      <c r="K269" s="66">
        <v>1500000</v>
      </c>
      <c r="L269" s="55">
        <v>6.5158699999999996</v>
      </c>
      <c r="M269" s="46">
        <v>-1500000</v>
      </c>
      <c r="N269" s="48">
        <v>28</v>
      </c>
      <c r="O269" s="58">
        <v>6.3827761483150338</v>
      </c>
      <c r="P269" s="61">
        <v>-0.13288821979859936</v>
      </c>
      <c r="Q269" s="13">
        <v>867474.52333792602</v>
      </c>
      <c r="R269" s="41">
        <v>31274.929996440627</v>
      </c>
      <c r="S269" s="38"/>
      <c r="U269" s="51">
        <v>849003</v>
      </c>
    </row>
    <row r="270" spans="1:21" s="7" customFormat="1" x14ac:dyDescent="0.25">
      <c r="A270" s="90">
        <v>1011092</v>
      </c>
      <c r="B270" s="45" t="s">
        <v>327</v>
      </c>
      <c r="C270" s="45"/>
      <c r="D270" s="45" t="s">
        <v>499</v>
      </c>
      <c r="E270" s="107">
        <v>44468</v>
      </c>
      <c r="F270" s="107">
        <v>44477</v>
      </c>
      <c r="G270" s="107">
        <v>44571</v>
      </c>
      <c r="H270" s="93" t="s">
        <v>4</v>
      </c>
      <c r="I270" s="64">
        <v>1500000</v>
      </c>
      <c r="J270" s="64" t="s">
        <v>3</v>
      </c>
      <c r="K270" s="66">
        <v>9765000</v>
      </c>
      <c r="L270" s="55">
        <v>6.51</v>
      </c>
      <c r="M270" s="46">
        <v>1500000</v>
      </c>
      <c r="N270" s="48">
        <v>28</v>
      </c>
      <c r="O270" s="58">
        <v>6.3827761483150338</v>
      </c>
      <c r="P270" s="61">
        <v>-0.12702728903175861</v>
      </c>
      <c r="Q270" s="13">
        <v>-829215.23947523907</v>
      </c>
      <c r="R270" s="41">
        <v>-29895.573724494683</v>
      </c>
      <c r="S270" s="38"/>
      <c r="U270" s="51">
        <v>-810766</v>
      </c>
    </row>
    <row r="271" spans="1:21" s="7" customFormat="1" x14ac:dyDescent="0.25">
      <c r="A271" s="90">
        <v>1028576</v>
      </c>
      <c r="B271" s="45" t="s">
        <v>327</v>
      </c>
      <c r="C271" s="45"/>
      <c r="D271" s="45" t="s">
        <v>497</v>
      </c>
      <c r="E271" s="107">
        <v>44494</v>
      </c>
      <c r="F271" s="107">
        <v>44494</v>
      </c>
      <c r="G271" s="107">
        <v>44559</v>
      </c>
      <c r="H271" s="93" t="s">
        <v>7</v>
      </c>
      <c r="I271" s="64">
        <v>2475593.4</v>
      </c>
      <c r="J271" s="64" t="s">
        <v>4</v>
      </c>
      <c r="K271" s="66">
        <v>2000000</v>
      </c>
      <c r="L271" s="55">
        <v>1.2377966999999999</v>
      </c>
      <c r="M271" s="46">
        <v>-2000000</v>
      </c>
      <c r="N271" s="48">
        <v>16</v>
      </c>
      <c r="O271" s="58">
        <v>1.2712806293041579</v>
      </c>
      <c r="P271" s="61">
        <v>3.3483771403068567E-2</v>
      </c>
      <c r="Q271" s="13">
        <v>-1461052.8942191801</v>
      </c>
      <c r="R271" s="41">
        <v>-52675.122736718731</v>
      </c>
      <c r="S271" s="38"/>
      <c r="U271" s="51">
        <v>-1465697</v>
      </c>
    </row>
    <row r="272" spans="1:21" s="7" customFormat="1" x14ac:dyDescent="0.25">
      <c r="A272" s="90">
        <v>1031331</v>
      </c>
      <c r="B272" s="45" t="s">
        <v>327</v>
      </c>
      <c r="C272" s="45"/>
      <c r="D272" s="45" t="s">
        <v>497</v>
      </c>
      <c r="E272" s="107">
        <v>44497</v>
      </c>
      <c r="F272" s="107">
        <v>44497</v>
      </c>
      <c r="G272" s="107">
        <v>44565</v>
      </c>
      <c r="H272" s="93" t="s">
        <v>4</v>
      </c>
      <c r="I272" s="64">
        <v>1000000</v>
      </c>
      <c r="J272" s="64" t="s">
        <v>2</v>
      </c>
      <c r="K272" s="66">
        <v>113199950</v>
      </c>
      <c r="L272" s="55">
        <v>113.19995</v>
      </c>
      <c r="M272" s="46">
        <v>1000000</v>
      </c>
      <c r="N272" s="48">
        <v>22</v>
      </c>
      <c r="O272" s="58">
        <v>113.57722743044489</v>
      </c>
      <c r="P272" s="61">
        <v>0.37735310049176457</v>
      </c>
      <c r="Q272" s="13">
        <v>92129.684088714508</v>
      </c>
      <c r="R272" s="41">
        <v>3321.5378007664003</v>
      </c>
      <c r="S272" s="38"/>
      <c r="U272" s="51">
        <v>85835</v>
      </c>
    </row>
    <row r="273" spans="1:21" s="7" customFormat="1" x14ac:dyDescent="0.25">
      <c r="A273" s="90">
        <v>1035444</v>
      </c>
      <c r="B273" s="45" t="s">
        <v>327</v>
      </c>
      <c r="C273" s="45"/>
      <c r="D273" s="45" t="s">
        <v>497</v>
      </c>
      <c r="E273" s="107">
        <v>44503</v>
      </c>
      <c r="F273" s="107">
        <v>44503</v>
      </c>
      <c r="G273" s="107">
        <v>44565</v>
      </c>
      <c r="H273" s="93" t="s">
        <v>7</v>
      </c>
      <c r="I273" s="64">
        <v>2490039.7999999998</v>
      </c>
      <c r="J273" s="64" t="s">
        <v>4</v>
      </c>
      <c r="K273" s="66">
        <v>2000000</v>
      </c>
      <c r="L273" s="55">
        <v>1.2450199</v>
      </c>
      <c r="M273" s="46">
        <v>-2000000</v>
      </c>
      <c r="N273" s="48">
        <v>22</v>
      </c>
      <c r="O273" s="58">
        <v>1.2711700286269758</v>
      </c>
      <c r="P273" s="61">
        <v>2.6151621928802105E-2</v>
      </c>
      <c r="Q273" s="13">
        <v>-1141117.0637755727</v>
      </c>
      <c r="R273" s="41">
        <v>-41140.523816193338</v>
      </c>
      <c r="S273" s="38"/>
      <c r="U273" s="51">
        <v>-1131044</v>
      </c>
    </row>
    <row r="274" spans="1:21" s="7" customFormat="1" x14ac:dyDescent="0.25">
      <c r="A274" s="88">
        <v>1035721</v>
      </c>
      <c r="B274" s="45" t="s">
        <v>327</v>
      </c>
      <c r="C274" s="45"/>
      <c r="D274" s="39" t="s">
        <v>500</v>
      </c>
      <c r="E274" s="108">
        <v>44504</v>
      </c>
      <c r="F274" s="108">
        <v>44505</v>
      </c>
      <c r="G274" s="108">
        <v>44565</v>
      </c>
      <c r="H274" s="94" t="s">
        <v>4</v>
      </c>
      <c r="I274" s="65">
        <v>2000000</v>
      </c>
      <c r="J274" s="65" t="s">
        <v>7</v>
      </c>
      <c r="K274" s="67">
        <v>2488000</v>
      </c>
      <c r="L274" s="55">
        <v>1.244</v>
      </c>
      <c r="M274" s="46">
        <v>2000000</v>
      </c>
      <c r="N274" s="48">
        <v>22</v>
      </c>
      <c r="O274" s="58">
        <v>1.2711700286269758</v>
      </c>
      <c r="P274" s="61">
        <v>2.7171580170142075E-2</v>
      </c>
      <c r="Q274" s="13">
        <v>1185622.5922166102</v>
      </c>
      <c r="R274" s="41">
        <v>42745.075015105984</v>
      </c>
      <c r="S274" s="38"/>
      <c r="U274" s="51">
        <v>1175541</v>
      </c>
    </row>
    <row r="275" spans="1:21" s="7" customFormat="1" x14ac:dyDescent="0.25">
      <c r="A275" s="90">
        <v>1036838</v>
      </c>
      <c r="B275" s="45" t="s">
        <v>327</v>
      </c>
      <c r="C275" s="45"/>
      <c r="D275" s="45" t="s">
        <v>497</v>
      </c>
      <c r="E275" s="107">
        <v>44504</v>
      </c>
      <c r="F275" s="107">
        <v>44504</v>
      </c>
      <c r="G275" s="107">
        <v>44571</v>
      </c>
      <c r="H275" s="93" t="s">
        <v>15</v>
      </c>
      <c r="I275" s="64">
        <v>739650.22</v>
      </c>
      <c r="J275" s="64" t="s">
        <v>4</v>
      </c>
      <c r="K275" s="66">
        <v>1000000</v>
      </c>
      <c r="L275" s="55">
        <v>0.73965022000000002</v>
      </c>
      <c r="M275" s="46">
        <v>-1000000</v>
      </c>
      <c r="N275" s="48">
        <v>28</v>
      </c>
      <c r="O275" s="58">
        <v>0.7566247329608804</v>
      </c>
      <c r="P275" s="61">
        <v>1.6978687259847653E-2</v>
      </c>
      <c r="Q275" s="13">
        <v>-622205.5466924581</v>
      </c>
      <c r="R275" s="41">
        <v>-22432.284052938398</v>
      </c>
      <c r="S275" s="38"/>
      <c r="U275" s="51">
        <v>-619729</v>
      </c>
    </row>
    <row r="276" spans="1:21" s="7" customFormat="1" x14ac:dyDescent="0.25">
      <c r="A276" s="90">
        <v>1036860</v>
      </c>
      <c r="B276" s="45" t="s">
        <v>327</v>
      </c>
      <c r="C276" s="45"/>
      <c r="D276" s="45" t="s">
        <v>500</v>
      </c>
      <c r="E276" s="107">
        <v>44504</v>
      </c>
      <c r="F276" s="107">
        <v>44508</v>
      </c>
      <c r="G276" s="107">
        <v>44571</v>
      </c>
      <c r="H276" s="93" t="s">
        <v>4</v>
      </c>
      <c r="I276" s="64">
        <v>1000000</v>
      </c>
      <c r="J276" s="64" t="s">
        <v>15</v>
      </c>
      <c r="K276" s="66">
        <v>739098.3</v>
      </c>
      <c r="L276" s="55">
        <v>0.7390983000000001</v>
      </c>
      <c r="M276" s="46">
        <v>1000000</v>
      </c>
      <c r="N276" s="48">
        <v>28</v>
      </c>
      <c r="O276" s="58">
        <v>0.7566247329608804</v>
      </c>
      <c r="P276" s="61">
        <v>1.7530742985631956E-2</v>
      </c>
      <c r="Q276" s="13">
        <v>642436.32952091831</v>
      </c>
      <c r="R276" s="41">
        <v>23161.661457935468</v>
      </c>
      <c r="S276" s="38"/>
      <c r="U276" s="51">
        <v>639958</v>
      </c>
    </row>
    <row r="277" spans="1:21" s="7" customFormat="1" x14ac:dyDescent="0.25">
      <c r="A277" s="90">
        <v>1036921</v>
      </c>
      <c r="B277" s="45" t="s">
        <v>327</v>
      </c>
      <c r="C277" s="45"/>
      <c r="D277" s="45" t="s">
        <v>473</v>
      </c>
      <c r="E277" s="107">
        <v>44505</v>
      </c>
      <c r="F277" s="107">
        <v>44505</v>
      </c>
      <c r="G277" s="107">
        <v>44601</v>
      </c>
      <c r="H277" s="93" t="s">
        <v>3</v>
      </c>
      <c r="I277" s="64">
        <v>6446820</v>
      </c>
      <c r="J277" s="64" t="s">
        <v>4</v>
      </c>
      <c r="K277" s="66">
        <v>1000000</v>
      </c>
      <c r="L277" s="55">
        <v>6.4468199999999998</v>
      </c>
      <c r="M277" s="46">
        <v>-1000000</v>
      </c>
      <c r="N277" s="48">
        <v>58</v>
      </c>
      <c r="O277" s="58">
        <v>6.396198108462289</v>
      </c>
      <c r="P277" s="61">
        <v>-5.0433141363384802E-2</v>
      </c>
      <c r="Q277" s="13">
        <v>219480.02780553259</v>
      </c>
      <c r="R277" s="41">
        <v>7912.8808057927317</v>
      </c>
      <c r="S277" s="38"/>
      <c r="U277" s="51">
        <v>206255</v>
      </c>
    </row>
    <row r="278" spans="1:21" s="7" customFormat="1" x14ac:dyDescent="0.25">
      <c r="A278" s="90">
        <v>1036922</v>
      </c>
      <c r="B278" s="45" t="s">
        <v>327</v>
      </c>
      <c r="C278" s="45"/>
      <c r="D278" s="45" t="s">
        <v>499</v>
      </c>
      <c r="E278" s="107">
        <v>44505</v>
      </c>
      <c r="F278" s="107">
        <v>44509</v>
      </c>
      <c r="G278" s="107">
        <v>44601</v>
      </c>
      <c r="H278" s="93" t="s">
        <v>4</v>
      </c>
      <c r="I278" s="64">
        <v>1000000</v>
      </c>
      <c r="J278" s="64" t="s">
        <v>3</v>
      </c>
      <c r="K278" s="66">
        <v>6439000</v>
      </c>
      <c r="L278" s="55">
        <v>6.4390000000000001</v>
      </c>
      <c r="M278" s="46">
        <v>1000000</v>
      </c>
      <c r="N278" s="48">
        <v>58</v>
      </c>
      <c r="O278" s="58">
        <v>6.396198108462289</v>
      </c>
      <c r="P278" s="61">
        <v>-4.2642299230039073E-2</v>
      </c>
      <c r="Q278" s="13">
        <v>-185575.05576076778</v>
      </c>
      <c r="R278" s="41">
        <v>-6690.5098903321687</v>
      </c>
      <c r="S278" s="38"/>
      <c r="U278" s="51">
        <v>-172367</v>
      </c>
    </row>
    <row r="279" spans="1:21" s="7" customFormat="1" x14ac:dyDescent="0.25">
      <c r="A279" s="90">
        <v>1045206</v>
      </c>
      <c r="B279" s="45" t="s">
        <v>327</v>
      </c>
      <c r="C279" s="45"/>
      <c r="D279" s="45" t="s">
        <v>497</v>
      </c>
      <c r="E279" s="107">
        <v>44516</v>
      </c>
      <c r="F279" s="107">
        <v>44516</v>
      </c>
      <c r="G279" s="107">
        <v>44579</v>
      </c>
      <c r="H279" s="93" t="s">
        <v>19</v>
      </c>
      <c r="I279" s="64">
        <v>1000000</v>
      </c>
      <c r="J279" s="64" t="s">
        <v>4</v>
      </c>
      <c r="K279" s="66">
        <v>698994.5</v>
      </c>
      <c r="L279" s="55">
        <v>1.4306264212379354</v>
      </c>
      <c r="M279" s="46">
        <v>-698994.5</v>
      </c>
      <c r="N279" s="48">
        <v>36</v>
      </c>
      <c r="O279" s="58">
        <v>1.4751875637362986</v>
      </c>
      <c r="P279" s="61">
        <v>4.4537960531234738E-2</v>
      </c>
      <c r="Q279" s="13">
        <v>-585581.07301712024</v>
      </c>
      <c r="R279" s="41">
        <v>-21111.86734958068</v>
      </c>
      <c r="S279" s="38"/>
      <c r="U279" s="51">
        <v>-586683</v>
      </c>
    </row>
    <row r="280" spans="1:21" s="7" customFormat="1" x14ac:dyDescent="0.25">
      <c r="A280" s="90">
        <v>1045207</v>
      </c>
      <c r="B280" s="45" t="s">
        <v>327</v>
      </c>
      <c r="C280" s="45"/>
      <c r="D280" s="45" t="s">
        <v>497</v>
      </c>
      <c r="E280" s="107">
        <v>44516</v>
      </c>
      <c r="F280" s="107">
        <v>44516</v>
      </c>
      <c r="G280" s="107">
        <v>44579</v>
      </c>
      <c r="H280" s="93" t="s">
        <v>19</v>
      </c>
      <c r="I280" s="64">
        <v>430626.42</v>
      </c>
      <c r="J280" s="64" t="s">
        <v>4</v>
      </c>
      <c r="K280" s="66">
        <v>301005.5</v>
      </c>
      <c r="L280" s="55">
        <v>1.4306264171252685</v>
      </c>
      <c r="M280" s="46">
        <v>-301005.5</v>
      </c>
      <c r="N280" s="48">
        <v>36</v>
      </c>
      <c r="O280" s="58">
        <v>1.4751875637362986</v>
      </c>
      <c r="P280" s="61">
        <v>4.4537964641762087E-2</v>
      </c>
      <c r="Q280" s="13">
        <v>-252166.70509116931</v>
      </c>
      <c r="R280" s="41">
        <v>-9091.3287214628799</v>
      </c>
      <c r="S280" s="38"/>
      <c r="U280" s="51">
        <v>-252641</v>
      </c>
    </row>
    <row r="281" spans="1:21" s="7" customFormat="1" x14ac:dyDescent="0.25">
      <c r="A281" s="90">
        <v>1045213</v>
      </c>
      <c r="B281" s="45" t="s">
        <v>327</v>
      </c>
      <c r="C281" s="45"/>
      <c r="D281" s="45" t="s">
        <v>500</v>
      </c>
      <c r="E281" s="107">
        <v>44516</v>
      </c>
      <c r="F281" s="107">
        <v>44518</v>
      </c>
      <c r="G281" s="107">
        <v>44579</v>
      </c>
      <c r="H281" s="93" t="s">
        <v>4</v>
      </c>
      <c r="I281" s="64">
        <v>1000000</v>
      </c>
      <c r="J281" s="64" t="s">
        <v>19</v>
      </c>
      <c r="K281" s="66">
        <v>1428571.43</v>
      </c>
      <c r="L281" s="55">
        <v>1.4285714299999999</v>
      </c>
      <c r="M281" s="46">
        <v>1000000</v>
      </c>
      <c r="N281" s="48">
        <v>36</v>
      </c>
      <c r="O281" s="58">
        <v>1.4751875637362986</v>
      </c>
      <c r="P281" s="61">
        <v>4.6591882704584912E-2</v>
      </c>
      <c r="Q281" s="13">
        <v>876381.51059780247</v>
      </c>
      <c r="R281" s="41">
        <v>31596.052283651945</v>
      </c>
      <c r="S281" s="38"/>
      <c r="U281" s="51">
        <v>877956</v>
      </c>
    </row>
    <row r="282" spans="1:21" s="7" customFormat="1" x14ac:dyDescent="0.25">
      <c r="A282" s="90">
        <v>1050573</v>
      </c>
      <c r="B282" s="45" t="s">
        <v>327</v>
      </c>
      <c r="C282" s="45"/>
      <c r="D282" s="45" t="s">
        <v>497</v>
      </c>
      <c r="E282" s="107">
        <v>44523</v>
      </c>
      <c r="F282" s="107">
        <v>44523</v>
      </c>
      <c r="G282" s="107">
        <v>44559</v>
      </c>
      <c r="H282" s="93" t="s">
        <v>15</v>
      </c>
      <c r="I282" s="64">
        <v>749094.14</v>
      </c>
      <c r="J282" s="64" t="s">
        <v>4</v>
      </c>
      <c r="K282" s="66">
        <v>1000000</v>
      </c>
      <c r="L282" s="55">
        <v>0.74909413999999996</v>
      </c>
      <c r="M282" s="46">
        <v>-1000000</v>
      </c>
      <c r="N282" s="48">
        <v>16</v>
      </c>
      <c r="O282" s="58">
        <v>0.75682219824424435</v>
      </c>
      <c r="P282" s="61">
        <v>7.7283665451783586E-3</v>
      </c>
      <c r="Q282" s="13">
        <v>-283215.80212235736</v>
      </c>
      <c r="R282" s="41">
        <v>-10210.737199727575</v>
      </c>
      <c r="S282" s="38"/>
      <c r="U282" s="51">
        <v>-285304</v>
      </c>
    </row>
    <row r="283" spans="1:21" s="7" customFormat="1" x14ac:dyDescent="0.25">
      <c r="A283" s="90">
        <v>1050580</v>
      </c>
      <c r="B283" s="45" t="s">
        <v>327</v>
      </c>
      <c r="C283" s="45"/>
      <c r="D283" s="45" t="s">
        <v>500</v>
      </c>
      <c r="E283" s="107">
        <v>44523</v>
      </c>
      <c r="F283" s="107">
        <v>44526</v>
      </c>
      <c r="G283" s="107">
        <v>44559</v>
      </c>
      <c r="H283" s="93" t="s">
        <v>4</v>
      </c>
      <c r="I283" s="64">
        <v>1000000</v>
      </c>
      <c r="J283" s="64" t="s">
        <v>15</v>
      </c>
      <c r="K283" s="66">
        <v>748502.99</v>
      </c>
      <c r="L283" s="55">
        <v>0.74850298999999998</v>
      </c>
      <c r="M283" s="46">
        <v>1000000</v>
      </c>
      <c r="N283" s="48">
        <v>16</v>
      </c>
      <c r="O283" s="58">
        <v>0.75682219824424435</v>
      </c>
      <c r="P283" s="61">
        <v>8.3195401283465021E-3</v>
      </c>
      <c r="Q283" s="13">
        <v>304880.10848926636</v>
      </c>
      <c r="R283" s="41">
        <v>10991.797215691387</v>
      </c>
      <c r="S283" s="38"/>
      <c r="U283" s="51">
        <v>306965</v>
      </c>
    </row>
    <row r="284" spans="1:21" s="7" customFormat="1" x14ac:dyDescent="0.25">
      <c r="A284" s="90">
        <v>1053631</v>
      </c>
      <c r="B284" s="45" t="s">
        <v>327</v>
      </c>
      <c r="C284" s="45"/>
      <c r="D284" s="45" t="s">
        <v>501</v>
      </c>
      <c r="E284" s="107">
        <v>44529</v>
      </c>
      <c r="F284" s="107">
        <v>44531</v>
      </c>
      <c r="G284" s="107">
        <v>44615</v>
      </c>
      <c r="H284" s="93" t="s">
        <v>3</v>
      </c>
      <c r="I284" s="64">
        <v>5271616</v>
      </c>
      <c r="J284" s="64" t="s">
        <v>4</v>
      </c>
      <c r="K284" s="66">
        <v>820000</v>
      </c>
      <c r="L284" s="55">
        <v>6.4287999999999998</v>
      </c>
      <c r="M284" s="46">
        <v>-820000</v>
      </c>
      <c r="N284" s="48">
        <v>72</v>
      </c>
      <c r="O284" s="58">
        <v>6.4020009128747084</v>
      </c>
      <c r="P284" s="61">
        <v>-2.6669292190890651E-2</v>
      </c>
      <c r="Q284" s="13">
        <v>95170.933306275401</v>
      </c>
      <c r="R284" s="41">
        <v>3431.1835065733644</v>
      </c>
      <c r="S284" s="38"/>
      <c r="U284" s="51">
        <v>83266</v>
      </c>
    </row>
    <row r="285" spans="1:21" s="7" customFormat="1" x14ac:dyDescent="0.25">
      <c r="A285" s="90">
        <v>1054589</v>
      </c>
      <c r="B285" s="45" t="s">
        <v>327</v>
      </c>
      <c r="C285" s="45"/>
      <c r="D285" s="45" t="s">
        <v>497</v>
      </c>
      <c r="E285" s="107">
        <v>44530</v>
      </c>
      <c r="F285" s="107">
        <v>44530</v>
      </c>
      <c r="G285" s="107">
        <v>44594</v>
      </c>
      <c r="H285" s="93" t="s">
        <v>4</v>
      </c>
      <c r="I285" s="64">
        <v>1000000</v>
      </c>
      <c r="J285" s="64" t="s">
        <v>2</v>
      </c>
      <c r="K285" s="66">
        <v>112879480</v>
      </c>
      <c r="L285" s="55">
        <v>112.87948</v>
      </c>
      <c r="M285" s="46">
        <v>1000000</v>
      </c>
      <c r="N285" s="48">
        <v>51</v>
      </c>
      <c r="O285" s="58">
        <v>113.52284151948005</v>
      </c>
      <c r="P285" s="61">
        <v>0.64373357568636524</v>
      </c>
      <c r="Q285" s="13">
        <v>157165.71796546763</v>
      </c>
      <c r="R285" s="41">
        <v>5666.2722592667424</v>
      </c>
      <c r="S285" s="38"/>
      <c r="U285" s="51">
        <v>156908</v>
      </c>
    </row>
    <row r="286" spans="1:21" s="7" customFormat="1" x14ac:dyDescent="0.25">
      <c r="A286" s="90">
        <v>1054590</v>
      </c>
      <c r="B286" s="45" t="s">
        <v>327</v>
      </c>
      <c r="C286" s="45"/>
      <c r="D286" s="45" t="s">
        <v>497</v>
      </c>
      <c r="E286" s="107">
        <v>44530</v>
      </c>
      <c r="F286" s="107">
        <v>44530</v>
      </c>
      <c r="G286" s="107">
        <v>44594</v>
      </c>
      <c r="H286" s="93" t="s">
        <v>4</v>
      </c>
      <c r="I286" s="64">
        <v>1000000</v>
      </c>
      <c r="J286" s="64" t="s">
        <v>2</v>
      </c>
      <c r="K286" s="66">
        <v>112878530</v>
      </c>
      <c r="L286" s="55">
        <v>112.87853</v>
      </c>
      <c r="M286" s="46">
        <v>1000000</v>
      </c>
      <c r="N286" s="48">
        <v>51</v>
      </c>
      <c r="O286" s="58">
        <v>113.52284151948005</v>
      </c>
      <c r="P286" s="61">
        <v>0.64468412507172212</v>
      </c>
      <c r="Q286" s="13">
        <v>157397.79188898782</v>
      </c>
      <c r="R286" s="41">
        <v>5674.6391859220239</v>
      </c>
      <c r="S286" s="38"/>
      <c r="U286" s="51">
        <v>157140</v>
      </c>
    </row>
    <row r="287" spans="1:21" s="7" customFormat="1" x14ac:dyDescent="0.25">
      <c r="A287" s="90">
        <v>1060823</v>
      </c>
      <c r="B287" s="45" t="s">
        <v>327</v>
      </c>
      <c r="C287" s="45"/>
      <c r="D287" s="45" t="s">
        <v>497</v>
      </c>
      <c r="E287" s="107">
        <v>44538</v>
      </c>
      <c r="F287" s="107">
        <v>44538</v>
      </c>
      <c r="G287" s="107">
        <v>44630</v>
      </c>
      <c r="H287" s="93" t="s">
        <v>4</v>
      </c>
      <c r="I287" s="64">
        <v>1000000</v>
      </c>
      <c r="J287" s="64" t="s">
        <v>3</v>
      </c>
      <c r="K287" s="66">
        <v>6404700</v>
      </c>
      <c r="L287" s="55">
        <v>6.4047000000000001</v>
      </c>
      <c r="M287" s="46">
        <v>1000000</v>
      </c>
      <c r="N287" s="48">
        <v>87</v>
      </c>
      <c r="O287" s="58">
        <v>6.4080897200901212</v>
      </c>
      <c r="P287" s="61">
        <v>3.3689542717873521E-3</v>
      </c>
      <c r="Q287" s="13">
        <v>14661.354761142924</v>
      </c>
      <c r="R287" s="41">
        <v>528.58364306003284</v>
      </c>
      <c r="S287" s="38"/>
      <c r="U287" s="51">
        <v>30098</v>
      </c>
    </row>
    <row r="288" spans="1:21" s="7" customFormat="1" x14ac:dyDescent="0.25">
      <c r="A288" s="90">
        <v>1060825</v>
      </c>
      <c r="B288" s="45" t="s">
        <v>327</v>
      </c>
      <c r="C288" s="45"/>
      <c r="D288" s="45" t="s">
        <v>502</v>
      </c>
      <c r="E288" s="107">
        <v>44538</v>
      </c>
      <c r="F288" s="107">
        <v>44540</v>
      </c>
      <c r="G288" s="107">
        <v>44630</v>
      </c>
      <c r="H288" s="93" t="s">
        <v>3</v>
      </c>
      <c r="I288" s="64">
        <v>6410000</v>
      </c>
      <c r="J288" s="64" t="s">
        <v>4</v>
      </c>
      <c r="K288" s="66">
        <v>1000000</v>
      </c>
      <c r="L288" s="55">
        <v>6.41</v>
      </c>
      <c r="M288" s="46">
        <v>-1000000</v>
      </c>
      <c r="N288" s="48">
        <v>87</v>
      </c>
      <c r="O288" s="58">
        <v>6.4080897200901212</v>
      </c>
      <c r="P288" s="61">
        <v>-1.8985773136406825E-3</v>
      </c>
      <c r="Q288" s="13">
        <v>8262.4201135196508</v>
      </c>
      <c r="R288" s="41">
        <v>297.88380373085306</v>
      </c>
      <c r="S288" s="38"/>
      <c r="U288" s="51">
        <v>-7188</v>
      </c>
    </row>
    <row r="289" spans="1:21" s="7" customFormat="1" x14ac:dyDescent="0.25">
      <c r="A289" s="90">
        <v>1061699</v>
      </c>
      <c r="B289" s="45" t="s">
        <v>327</v>
      </c>
      <c r="C289" s="45"/>
      <c r="D289" s="45" t="s">
        <v>497</v>
      </c>
      <c r="E289" s="107">
        <v>44538</v>
      </c>
      <c r="F289" s="107">
        <v>44538</v>
      </c>
      <c r="G289" s="107">
        <v>44630</v>
      </c>
      <c r="H289" s="93" t="s">
        <v>4</v>
      </c>
      <c r="I289" s="64">
        <v>1000000</v>
      </c>
      <c r="J289" s="64" t="s">
        <v>3</v>
      </c>
      <c r="K289" s="66">
        <v>6394760</v>
      </c>
      <c r="L289" s="55">
        <v>6.3947599999999998</v>
      </c>
      <c r="M289" s="46">
        <v>1000000</v>
      </c>
      <c r="N289" s="48">
        <v>87</v>
      </c>
      <c r="O289" s="58">
        <v>6.4080897200901212</v>
      </c>
      <c r="P289" s="61">
        <v>1.3248060679175151E-2</v>
      </c>
      <c r="Q289" s="13">
        <v>57654.245752491777</v>
      </c>
      <c r="R289" s="41">
        <v>2078.5999489282426</v>
      </c>
      <c r="S289" s="38"/>
      <c r="U289" s="51">
        <v>73066</v>
      </c>
    </row>
    <row r="290" spans="1:21" s="7" customFormat="1" x14ac:dyDescent="0.25">
      <c r="A290" s="90">
        <v>1061703</v>
      </c>
      <c r="B290" s="45" t="s">
        <v>327</v>
      </c>
      <c r="C290" s="45"/>
      <c r="D290" s="45" t="s">
        <v>502</v>
      </c>
      <c r="E290" s="107">
        <v>44538</v>
      </c>
      <c r="F290" s="107">
        <v>44540</v>
      </c>
      <c r="G290" s="107">
        <v>44630</v>
      </c>
      <c r="H290" s="93" t="s">
        <v>3</v>
      </c>
      <c r="I290" s="64">
        <v>6400000</v>
      </c>
      <c r="J290" s="64" t="s">
        <v>4</v>
      </c>
      <c r="K290" s="66">
        <v>1000000</v>
      </c>
      <c r="L290" s="55">
        <v>6.4</v>
      </c>
      <c r="M290" s="46">
        <v>-1000000</v>
      </c>
      <c r="N290" s="48">
        <v>87</v>
      </c>
      <c r="O290" s="58">
        <v>6.4080897200901212</v>
      </c>
      <c r="P290" s="61">
        <v>8.0401615267892048E-3</v>
      </c>
      <c r="Q290" s="13">
        <v>-34989.985310370408</v>
      </c>
      <c r="R290" s="41">
        <v>-1261.4887373839686</v>
      </c>
      <c r="S290" s="38"/>
      <c r="U290" s="51">
        <v>-50415</v>
      </c>
    </row>
    <row r="291" spans="1:21" s="7" customFormat="1" x14ac:dyDescent="0.25">
      <c r="A291" s="90">
        <v>1062685</v>
      </c>
      <c r="B291" s="45" t="s">
        <v>327</v>
      </c>
      <c r="C291" s="45"/>
      <c r="D291" s="45" t="s">
        <v>497</v>
      </c>
      <c r="E291" s="107">
        <v>44540</v>
      </c>
      <c r="F291" s="107">
        <v>44540</v>
      </c>
      <c r="G291" s="107">
        <v>44697</v>
      </c>
      <c r="H291" s="93" t="s">
        <v>3</v>
      </c>
      <c r="I291" s="64">
        <v>3219635</v>
      </c>
      <c r="J291" s="64" t="s">
        <v>4</v>
      </c>
      <c r="K291" s="66">
        <v>500000</v>
      </c>
      <c r="L291" s="55">
        <v>6.4392699999999996</v>
      </c>
      <c r="M291" s="46">
        <v>-500000</v>
      </c>
      <c r="N291" s="48">
        <v>154</v>
      </c>
      <c r="O291" s="58">
        <v>6.436424904676163</v>
      </c>
      <c r="P291" s="61">
        <v>-2.8131265747202241E-3</v>
      </c>
      <c r="Q291" s="13">
        <v>6121.2238832334278</v>
      </c>
      <c r="R291" s="41">
        <v>220.68757443622334</v>
      </c>
      <c r="S291" s="38"/>
      <c r="U291" s="51">
        <v>-3687</v>
      </c>
    </row>
    <row r="292" spans="1:21" s="7" customFormat="1" x14ac:dyDescent="0.25">
      <c r="A292" s="90">
        <v>1062686</v>
      </c>
      <c r="B292" s="45" t="s">
        <v>327</v>
      </c>
      <c r="C292" s="45"/>
      <c r="D292" s="45" t="s">
        <v>497</v>
      </c>
      <c r="E292" s="107">
        <v>44540</v>
      </c>
      <c r="F292" s="107">
        <v>44540</v>
      </c>
      <c r="G292" s="107">
        <v>44726</v>
      </c>
      <c r="H292" s="93" t="s">
        <v>3</v>
      </c>
      <c r="I292" s="64">
        <v>3225770</v>
      </c>
      <c r="J292" s="64" t="s">
        <v>4</v>
      </c>
      <c r="K292" s="66">
        <v>500000</v>
      </c>
      <c r="L292" s="55">
        <v>6.4515399999999996</v>
      </c>
      <c r="M292" s="46">
        <v>-500000</v>
      </c>
      <c r="N292" s="48">
        <v>183</v>
      </c>
      <c r="O292" s="58">
        <v>6.4490991219651894</v>
      </c>
      <c r="P292" s="61">
        <v>-2.4079129487282777E-3</v>
      </c>
      <c r="Q292" s="13">
        <v>5239.4991334396136</v>
      </c>
      <c r="R292" s="41">
        <v>188.89888314437724</v>
      </c>
      <c r="S292" s="38"/>
      <c r="U292" s="51">
        <v>-4525</v>
      </c>
    </row>
    <row r="293" spans="1:21" s="7" customFormat="1" x14ac:dyDescent="0.25">
      <c r="A293" s="90">
        <v>1062687</v>
      </c>
      <c r="B293" s="45" t="s">
        <v>327</v>
      </c>
      <c r="C293" s="45"/>
      <c r="D293" s="45" t="s">
        <v>497</v>
      </c>
      <c r="E293" s="107">
        <v>44540</v>
      </c>
      <c r="F293" s="107">
        <v>44540</v>
      </c>
      <c r="G293" s="107">
        <v>44756</v>
      </c>
      <c r="H293" s="93" t="s">
        <v>3</v>
      </c>
      <c r="I293" s="64">
        <v>3232426</v>
      </c>
      <c r="J293" s="64" t="s">
        <v>4</v>
      </c>
      <c r="K293" s="66">
        <v>500000</v>
      </c>
      <c r="L293" s="55">
        <v>6.4648519999999996</v>
      </c>
      <c r="M293" s="46">
        <v>-500000</v>
      </c>
      <c r="N293" s="48">
        <v>213</v>
      </c>
      <c r="O293" s="58">
        <v>6.4617824457979482</v>
      </c>
      <c r="P293" s="61">
        <v>-3.0208656164914006E-3</v>
      </c>
      <c r="Q293" s="13">
        <v>6573.2537333642276</v>
      </c>
      <c r="R293" s="41">
        <v>236.98453940615033</v>
      </c>
      <c r="S293" s="38"/>
      <c r="U293" s="51">
        <v>-3857</v>
      </c>
    </row>
    <row r="294" spans="1:21" s="7" customFormat="1" x14ac:dyDescent="0.25">
      <c r="A294" s="90">
        <v>1062688</v>
      </c>
      <c r="B294" s="45" t="s">
        <v>327</v>
      </c>
      <c r="C294" s="45"/>
      <c r="D294" s="45" t="s">
        <v>497</v>
      </c>
      <c r="E294" s="107">
        <v>44540</v>
      </c>
      <c r="F294" s="107">
        <v>44540</v>
      </c>
      <c r="G294" s="107">
        <v>44788</v>
      </c>
      <c r="H294" s="93" t="s">
        <v>3</v>
      </c>
      <c r="I294" s="64">
        <v>3239159.5</v>
      </c>
      <c r="J294" s="64" t="s">
        <v>4</v>
      </c>
      <c r="K294" s="66">
        <v>500000</v>
      </c>
      <c r="L294" s="55">
        <v>6.4783189999999999</v>
      </c>
      <c r="M294" s="46">
        <v>-500000</v>
      </c>
      <c r="N294" s="48">
        <v>245</v>
      </c>
      <c r="O294" s="58">
        <v>6.4753994948660569</v>
      </c>
      <c r="P294" s="61">
        <v>-2.8657350421482162E-3</v>
      </c>
      <c r="Q294" s="13">
        <v>6235.6972987471108</v>
      </c>
      <c r="R294" s="41">
        <v>224.81466746354127</v>
      </c>
      <c r="S294" s="38"/>
      <c r="U294" s="51">
        <v>-4643</v>
      </c>
    </row>
    <row r="295" spans="1:21" s="7" customFormat="1" x14ac:dyDescent="0.25">
      <c r="A295" s="90">
        <v>1062689</v>
      </c>
      <c r="B295" s="45" t="s">
        <v>327</v>
      </c>
      <c r="C295" s="45"/>
      <c r="D295" s="45" t="s">
        <v>497</v>
      </c>
      <c r="E295" s="107">
        <v>44540</v>
      </c>
      <c r="F295" s="107">
        <v>44540</v>
      </c>
      <c r="G295" s="107">
        <v>44818</v>
      </c>
      <c r="H295" s="93" t="s">
        <v>3</v>
      </c>
      <c r="I295" s="64">
        <v>3245635</v>
      </c>
      <c r="J295" s="64" t="s">
        <v>4</v>
      </c>
      <c r="K295" s="66">
        <v>500000</v>
      </c>
      <c r="L295" s="55">
        <v>6.4912700000000001</v>
      </c>
      <c r="M295" s="46">
        <v>-500000</v>
      </c>
      <c r="N295" s="48">
        <v>275</v>
      </c>
      <c r="O295" s="58">
        <v>6.4882403198750733</v>
      </c>
      <c r="P295" s="61">
        <v>-2.9665480981998916E-3</v>
      </c>
      <c r="Q295" s="13">
        <v>6455.0615079479148</v>
      </c>
      <c r="R295" s="41">
        <v>232.72337267839993</v>
      </c>
      <c r="S295" s="38"/>
      <c r="U295" s="51">
        <v>-4640</v>
      </c>
    </row>
    <row r="296" spans="1:21" s="7" customFormat="1" x14ac:dyDescent="0.25">
      <c r="A296" s="90">
        <v>1062690</v>
      </c>
      <c r="B296" s="45" t="s">
        <v>327</v>
      </c>
      <c r="C296" s="45"/>
      <c r="D296" s="45" t="s">
        <v>497</v>
      </c>
      <c r="E296" s="107">
        <v>44540</v>
      </c>
      <c r="F296" s="107">
        <v>44540</v>
      </c>
      <c r="G296" s="107">
        <v>44848</v>
      </c>
      <c r="H296" s="93" t="s">
        <v>3</v>
      </c>
      <c r="I296" s="64">
        <v>3252312.5</v>
      </c>
      <c r="J296" s="64" t="s">
        <v>4</v>
      </c>
      <c r="K296" s="66">
        <v>500000</v>
      </c>
      <c r="L296" s="55">
        <v>6.5046249999999999</v>
      </c>
      <c r="M296" s="46">
        <v>-500000</v>
      </c>
      <c r="N296" s="48">
        <v>305</v>
      </c>
      <c r="O296" s="58">
        <v>6.501123596063425</v>
      </c>
      <c r="P296" s="61">
        <v>-3.4201325314004187E-3</v>
      </c>
      <c r="Q296" s="13">
        <v>7442.0387348244185</v>
      </c>
      <c r="R296" s="41">
        <v>268.30671587546487</v>
      </c>
      <c r="S296" s="38"/>
      <c r="U296" s="51">
        <v>-3674</v>
      </c>
    </row>
    <row r="297" spans="1:21" s="7" customFormat="1" x14ac:dyDescent="0.25">
      <c r="A297" s="90">
        <v>1062691</v>
      </c>
      <c r="B297" s="45" t="s">
        <v>327</v>
      </c>
      <c r="C297" s="45"/>
      <c r="D297" s="45" t="s">
        <v>497</v>
      </c>
      <c r="E297" s="107">
        <v>44540</v>
      </c>
      <c r="F297" s="107">
        <v>44540</v>
      </c>
      <c r="G297" s="107">
        <v>44879</v>
      </c>
      <c r="H297" s="93" t="s">
        <v>3</v>
      </c>
      <c r="I297" s="64">
        <v>3258636.5</v>
      </c>
      <c r="J297" s="64" t="s">
        <v>4</v>
      </c>
      <c r="K297" s="66">
        <v>500000</v>
      </c>
      <c r="L297" s="55">
        <v>6.5172730000000003</v>
      </c>
      <c r="M297" s="46">
        <v>-500000</v>
      </c>
      <c r="N297" s="48">
        <v>336</v>
      </c>
      <c r="O297" s="58">
        <v>6.5145100527892783</v>
      </c>
      <c r="P297" s="61">
        <v>-2.6919872049179531E-3</v>
      </c>
      <c r="Q297" s="13">
        <v>5857.630623585218</v>
      </c>
      <c r="R297" s="41">
        <v>211.18428584244413</v>
      </c>
      <c r="S297" s="38"/>
      <c r="U297" s="51">
        <v>-4982</v>
      </c>
    </row>
    <row r="298" spans="1:21" s="7" customFormat="1" x14ac:dyDescent="0.25">
      <c r="A298" s="90">
        <v>1062693</v>
      </c>
      <c r="B298" s="45" t="s">
        <v>327</v>
      </c>
      <c r="C298" s="45"/>
      <c r="D298" s="45" t="s">
        <v>497</v>
      </c>
      <c r="E298" s="107">
        <v>44540</v>
      </c>
      <c r="F298" s="107">
        <v>44540</v>
      </c>
      <c r="G298" s="107">
        <v>44909</v>
      </c>
      <c r="H298" s="93" t="s">
        <v>3</v>
      </c>
      <c r="I298" s="64">
        <v>3264930</v>
      </c>
      <c r="J298" s="64" t="s">
        <v>4</v>
      </c>
      <c r="K298" s="66">
        <v>500000</v>
      </c>
      <c r="L298" s="55">
        <v>6.5298600000000002</v>
      </c>
      <c r="M298" s="46">
        <v>-500000</v>
      </c>
      <c r="N298" s="48">
        <v>366</v>
      </c>
      <c r="O298" s="58">
        <v>6.5275352254674992</v>
      </c>
      <c r="P298" s="61">
        <v>-2.2594648216959887E-3</v>
      </c>
      <c r="Q298" s="13">
        <v>4916.4833726924498</v>
      </c>
      <c r="R298" s="41">
        <v>177.25324395460336</v>
      </c>
      <c r="S298" s="38"/>
      <c r="U298" s="51">
        <v>-5473</v>
      </c>
    </row>
    <row r="299" spans="1:21" s="7" customFormat="1" x14ac:dyDescent="0.25">
      <c r="A299" s="90">
        <v>1062702</v>
      </c>
      <c r="B299" s="45" t="s">
        <v>327</v>
      </c>
      <c r="C299" s="45"/>
      <c r="D299" s="45" t="s">
        <v>503</v>
      </c>
      <c r="E299" s="107">
        <v>44540</v>
      </c>
      <c r="F299" s="107">
        <v>44544</v>
      </c>
      <c r="G299" s="107">
        <v>44697</v>
      </c>
      <c r="H299" s="93" t="s">
        <v>4</v>
      </c>
      <c r="I299" s="64">
        <v>500000</v>
      </c>
      <c r="J299" s="64" t="s">
        <v>3</v>
      </c>
      <c r="K299" s="66">
        <v>3218450</v>
      </c>
      <c r="L299" s="55">
        <v>6.4368999999999996</v>
      </c>
      <c r="M299" s="46">
        <v>500000</v>
      </c>
      <c r="N299" s="48">
        <v>154</v>
      </c>
      <c r="O299" s="58">
        <v>6.436424904676163</v>
      </c>
      <c r="P299" s="61">
        <v>-4.6975694269807471E-4</v>
      </c>
      <c r="Q299" s="13">
        <v>-1022.167805316101</v>
      </c>
      <c r="R299" s="41">
        <v>-36.852063888708734</v>
      </c>
      <c r="S299" s="38"/>
      <c r="U299" s="51">
        <v>8783</v>
      </c>
    </row>
    <row r="300" spans="1:21" s="7" customFormat="1" x14ac:dyDescent="0.25">
      <c r="A300" s="90">
        <v>1062707</v>
      </c>
      <c r="B300" s="45" t="s">
        <v>327</v>
      </c>
      <c r="C300" s="45"/>
      <c r="D300" s="45" t="s">
        <v>503</v>
      </c>
      <c r="E300" s="107">
        <v>44540</v>
      </c>
      <c r="F300" s="107">
        <v>44544</v>
      </c>
      <c r="G300" s="107">
        <v>44726</v>
      </c>
      <c r="H300" s="93" t="s">
        <v>4</v>
      </c>
      <c r="I300" s="64">
        <v>500000</v>
      </c>
      <c r="J300" s="64" t="s">
        <v>3</v>
      </c>
      <c r="K300" s="66">
        <v>3225000</v>
      </c>
      <c r="L300" s="55">
        <v>6.45</v>
      </c>
      <c r="M300" s="46">
        <v>500000</v>
      </c>
      <c r="N300" s="48">
        <v>183</v>
      </c>
      <c r="O300" s="58">
        <v>6.4490991219651894</v>
      </c>
      <c r="P300" s="61">
        <v>-8.8871129745505607E-4</v>
      </c>
      <c r="Q300" s="13">
        <v>-1933.7916993025046</v>
      </c>
      <c r="R300" s="41">
        <v>-69.718704580127508</v>
      </c>
      <c r="S300" s="38"/>
      <c r="U300" s="51">
        <v>7829</v>
      </c>
    </row>
    <row r="301" spans="1:21" s="7" customFormat="1" x14ac:dyDescent="0.25">
      <c r="A301" s="90">
        <v>1062715</v>
      </c>
      <c r="B301" s="45" t="s">
        <v>327</v>
      </c>
      <c r="C301" s="45"/>
      <c r="D301" s="45" t="s">
        <v>503</v>
      </c>
      <c r="E301" s="107">
        <v>44540</v>
      </c>
      <c r="F301" s="107">
        <v>44544</v>
      </c>
      <c r="G301" s="107">
        <v>44756</v>
      </c>
      <c r="H301" s="93" t="s">
        <v>4</v>
      </c>
      <c r="I301" s="64">
        <v>500000</v>
      </c>
      <c r="J301" s="64" t="s">
        <v>3</v>
      </c>
      <c r="K301" s="66">
        <v>3231000</v>
      </c>
      <c r="L301" s="55">
        <v>6.4619999999999997</v>
      </c>
      <c r="M301" s="46">
        <v>500000</v>
      </c>
      <c r="N301" s="48">
        <v>213</v>
      </c>
      <c r="O301" s="58">
        <v>6.4617824457979482</v>
      </c>
      <c r="P301" s="61">
        <v>-2.1410340571975702E-4</v>
      </c>
      <c r="Q301" s="13">
        <v>-465.87839038267759</v>
      </c>
      <c r="R301" s="41">
        <v>-16.796244332350025</v>
      </c>
      <c r="S301" s="38"/>
      <c r="U301" s="51">
        <v>9960</v>
      </c>
    </row>
    <row r="302" spans="1:21" s="7" customFormat="1" x14ac:dyDescent="0.25">
      <c r="A302" s="90">
        <v>1062722</v>
      </c>
      <c r="B302" s="45" t="s">
        <v>327</v>
      </c>
      <c r="C302" s="45"/>
      <c r="D302" s="45" t="s">
        <v>503</v>
      </c>
      <c r="E302" s="107">
        <v>44540</v>
      </c>
      <c r="F302" s="107">
        <v>44544</v>
      </c>
      <c r="G302" s="107">
        <v>44788</v>
      </c>
      <c r="H302" s="93" t="s">
        <v>4</v>
      </c>
      <c r="I302" s="64">
        <v>500000</v>
      </c>
      <c r="J302" s="64" t="s">
        <v>3</v>
      </c>
      <c r="K302" s="66">
        <v>3238250</v>
      </c>
      <c r="L302" s="55">
        <v>6.4764999999999997</v>
      </c>
      <c r="M302" s="46">
        <v>500000</v>
      </c>
      <c r="N302" s="48">
        <v>245</v>
      </c>
      <c r="O302" s="58">
        <v>6.4753994948660569</v>
      </c>
      <c r="P302" s="61">
        <v>-1.0802365406853871E-3</v>
      </c>
      <c r="Q302" s="13">
        <v>-2350.5411280836074</v>
      </c>
      <c r="R302" s="41">
        <v>-84.743709765332554</v>
      </c>
      <c r="S302" s="38"/>
      <c r="U302" s="51">
        <v>8525</v>
      </c>
    </row>
    <row r="303" spans="1:21" s="7" customFormat="1" x14ac:dyDescent="0.25">
      <c r="A303" s="88">
        <v>1062727</v>
      </c>
      <c r="B303" s="45" t="s">
        <v>327</v>
      </c>
      <c r="C303" s="45"/>
      <c r="D303" s="39" t="s">
        <v>503</v>
      </c>
      <c r="E303" s="108">
        <v>44540</v>
      </c>
      <c r="F303" s="108">
        <v>44544</v>
      </c>
      <c r="G303" s="108">
        <v>44818</v>
      </c>
      <c r="H303" s="94" t="s">
        <v>4</v>
      </c>
      <c r="I303" s="65">
        <v>500000</v>
      </c>
      <c r="J303" s="65" t="s">
        <v>3</v>
      </c>
      <c r="K303" s="67">
        <v>3244500</v>
      </c>
      <c r="L303" s="55">
        <v>6.4889999999999999</v>
      </c>
      <c r="M303" s="46">
        <v>500000</v>
      </c>
      <c r="N303" s="48">
        <v>275</v>
      </c>
      <c r="O303" s="58">
        <v>6.4882403198750733</v>
      </c>
      <c r="P303" s="61">
        <v>-7.4385002274641012E-4</v>
      </c>
      <c r="Q303" s="13">
        <v>-1618.5807512880556</v>
      </c>
      <c r="R303" s="41">
        <v>-58.354451143230548</v>
      </c>
      <c r="S303" s="38"/>
      <c r="U303" s="51">
        <v>9472</v>
      </c>
    </row>
    <row r="304" spans="1:21" s="7" customFormat="1" x14ac:dyDescent="0.25">
      <c r="A304" s="88">
        <v>1062733</v>
      </c>
      <c r="B304" s="45" t="s">
        <v>327</v>
      </c>
      <c r="C304" s="45"/>
      <c r="D304" s="39" t="s">
        <v>503</v>
      </c>
      <c r="E304" s="108">
        <v>44540</v>
      </c>
      <c r="F304" s="108">
        <v>44544</v>
      </c>
      <c r="G304" s="108">
        <v>44848</v>
      </c>
      <c r="H304" s="94" t="s">
        <v>4</v>
      </c>
      <c r="I304" s="65">
        <v>500000</v>
      </c>
      <c r="J304" s="65" t="s">
        <v>3</v>
      </c>
      <c r="K304" s="67">
        <v>3251750</v>
      </c>
      <c r="L304" s="55">
        <v>6.5034999999999998</v>
      </c>
      <c r="M304" s="46">
        <v>500000</v>
      </c>
      <c r="N304" s="48">
        <v>305</v>
      </c>
      <c r="O304" s="58">
        <v>6.501123596063425</v>
      </c>
      <c r="P304" s="61">
        <v>-2.3212450087030257E-3</v>
      </c>
      <c r="Q304" s="13">
        <v>-5050.9139950528079</v>
      </c>
      <c r="R304" s="41">
        <v>-182.09985119272781</v>
      </c>
      <c r="S304" s="38"/>
      <c r="U304" s="51">
        <v>6063</v>
      </c>
    </row>
    <row r="305" spans="1:21" s="7" customFormat="1" x14ac:dyDescent="0.25">
      <c r="A305" s="90">
        <v>1062737</v>
      </c>
      <c r="B305" s="45" t="s">
        <v>327</v>
      </c>
      <c r="C305" s="45"/>
      <c r="D305" s="45" t="s">
        <v>503</v>
      </c>
      <c r="E305" s="107">
        <v>44540</v>
      </c>
      <c r="F305" s="107">
        <v>44544</v>
      </c>
      <c r="G305" s="107">
        <v>44879</v>
      </c>
      <c r="H305" s="93" t="s">
        <v>4</v>
      </c>
      <c r="I305" s="64">
        <v>500000</v>
      </c>
      <c r="J305" s="64" t="s">
        <v>3</v>
      </c>
      <c r="K305" s="66">
        <v>3257500</v>
      </c>
      <c r="L305" s="55">
        <v>6.5149999999999997</v>
      </c>
      <c r="M305" s="46">
        <v>500000</v>
      </c>
      <c r="N305" s="48">
        <v>336</v>
      </c>
      <c r="O305" s="58">
        <v>6.5145100527892783</v>
      </c>
      <c r="P305" s="61">
        <v>-4.7736403259131417E-4</v>
      </c>
      <c r="Q305" s="13">
        <v>-1038.7204555789253</v>
      </c>
      <c r="R305" s="41">
        <v>-37.448834127255253</v>
      </c>
      <c r="S305" s="38"/>
      <c r="U305" s="51">
        <v>9797</v>
      </c>
    </row>
    <row r="306" spans="1:21" s="7" customFormat="1" x14ac:dyDescent="0.25">
      <c r="A306" s="90">
        <v>1062742</v>
      </c>
      <c r="B306" s="45" t="s">
        <v>327</v>
      </c>
      <c r="C306" s="45"/>
      <c r="D306" s="45" t="s">
        <v>503</v>
      </c>
      <c r="E306" s="107">
        <v>44540</v>
      </c>
      <c r="F306" s="107">
        <v>44544</v>
      </c>
      <c r="G306" s="107">
        <v>44909</v>
      </c>
      <c r="H306" s="93" t="s">
        <v>4</v>
      </c>
      <c r="I306" s="64">
        <v>500000</v>
      </c>
      <c r="J306" s="64" t="s">
        <v>3</v>
      </c>
      <c r="K306" s="66">
        <v>3263500</v>
      </c>
      <c r="L306" s="55">
        <v>6.5270000000000001</v>
      </c>
      <c r="M306" s="46">
        <v>500000</v>
      </c>
      <c r="N306" s="48">
        <v>366</v>
      </c>
      <c r="O306" s="58">
        <v>6.5275352254674992</v>
      </c>
      <c r="P306" s="61">
        <v>5.201894199128765E-4</v>
      </c>
      <c r="Q306" s="13">
        <v>1131.9063740644954</v>
      </c>
      <c r="R306" s="41">
        <v>40.808452189669424</v>
      </c>
      <c r="S306" s="38"/>
      <c r="U306" s="51">
        <v>11517</v>
      </c>
    </row>
    <row r="307" spans="1:21" s="7" customFormat="1" x14ac:dyDescent="0.25">
      <c r="A307" s="90">
        <v>851251</v>
      </c>
      <c r="B307" s="45" t="s">
        <v>457</v>
      </c>
      <c r="C307" s="45"/>
      <c r="D307" s="45" t="s">
        <v>497</v>
      </c>
      <c r="E307" s="107">
        <v>44257</v>
      </c>
      <c r="F307" s="107">
        <v>44257</v>
      </c>
      <c r="G307" s="107">
        <v>44565</v>
      </c>
      <c r="H307" s="93" t="s">
        <v>511</v>
      </c>
      <c r="I307" s="64">
        <v>16530250</v>
      </c>
      <c r="J307" s="64" t="s">
        <v>4</v>
      </c>
      <c r="K307" s="66">
        <v>2500000</v>
      </c>
      <c r="L307" s="55">
        <v>6.6120999999999999</v>
      </c>
      <c r="M307" s="46">
        <v>-2500000</v>
      </c>
      <c r="N307" s="48">
        <v>22</v>
      </c>
      <c r="O307" s="58">
        <v>6.3796901360201304</v>
      </c>
      <c r="P307" s="61">
        <v>-0.23216994793862106</v>
      </c>
      <c r="Q307" s="13">
        <v>2525951.4503578437</v>
      </c>
      <c r="R307" s="41">
        <v>91067.752030770673</v>
      </c>
      <c r="S307" s="38"/>
      <c r="U307" s="51">
        <v>2431894</v>
      </c>
    </row>
    <row r="308" spans="1:21" s="7" customFormat="1" x14ac:dyDescent="0.25">
      <c r="A308" s="90">
        <v>851276</v>
      </c>
      <c r="B308" s="45" t="s">
        <v>457</v>
      </c>
      <c r="C308" s="45"/>
      <c r="D308" s="45" t="s">
        <v>504</v>
      </c>
      <c r="E308" s="107">
        <v>44257</v>
      </c>
      <c r="F308" s="107">
        <v>44565</v>
      </c>
      <c r="G308" s="107">
        <v>44565</v>
      </c>
      <c r="H308" s="93" t="s">
        <v>4</v>
      </c>
      <c r="I308" s="64">
        <v>2500000</v>
      </c>
      <c r="J308" s="64" t="s">
        <v>511</v>
      </c>
      <c r="K308" s="66">
        <v>16477500</v>
      </c>
      <c r="L308" s="55">
        <v>6.5910000000000002</v>
      </c>
      <c r="M308" s="46">
        <v>2500000</v>
      </c>
      <c r="N308" s="48">
        <v>22</v>
      </c>
      <c r="O308" s="58">
        <v>6.3796901360201304</v>
      </c>
      <c r="P308" s="61">
        <v>-0.21109172940857993</v>
      </c>
      <c r="Q308" s="13">
        <v>-2296625.6606092383</v>
      </c>
      <c r="R308" s="41">
        <v>-82799.903433709129</v>
      </c>
      <c r="S308" s="38"/>
      <c r="U308" s="51">
        <v>-2202949</v>
      </c>
    </row>
    <row r="309" spans="1:21" s="7" customFormat="1" x14ac:dyDescent="0.25">
      <c r="A309" s="90">
        <v>867706</v>
      </c>
      <c r="B309" s="45" t="s">
        <v>457</v>
      </c>
      <c r="C309" s="45"/>
      <c r="D309" s="45" t="s">
        <v>328</v>
      </c>
      <c r="E309" s="107">
        <v>44278</v>
      </c>
      <c r="F309" s="107">
        <v>44278</v>
      </c>
      <c r="G309" s="107">
        <v>44586</v>
      </c>
      <c r="H309" s="93" t="s">
        <v>511</v>
      </c>
      <c r="I309" s="64">
        <v>13313300</v>
      </c>
      <c r="J309" s="64" t="s">
        <v>4</v>
      </c>
      <c r="K309" s="66">
        <v>2000000</v>
      </c>
      <c r="L309" s="55">
        <v>6.65665</v>
      </c>
      <c r="M309" s="46">
        <v>-2000000</v>
      </c>
      <c r="N309" s="48">
        <v>43</v>
      </c>
      <c r="O309" s="58">
        <v>6.3893231657975127</v>
      </c>
      <c r="P309" s="61">
        <v>-0.26662694416645405</v>
      </c>
      <c r="Q309" s="13">
        <v>2320668.0185836446</v>
      </c>
      <c r="R309" s="41">
        <v>83666.698990661767</v>
      </c>
      <c r="S309" s="38"/>
      <c r="U309" s="51">
        <v>2234444</v>
      </c>
    </row>
    <row r="310" spans="1:21" s="7" customFormat="1" x14ac:dyDescent="0.25">
      <c r="A310" s="90">
        <v>867708</v>
      </c>
      <c r="B310" s="45" t="s">
        <v>457</v>
      </c>
      <c r="C310" s="45"/>
      <c r="D310" s="45" t="s">
        <v>328</v>
      </c>
      <c r="E310" s="107">
        <v>44278</v>
      </c>
      <c r="F310" s="107">
        <v>44278</v>
      </c>
      <c r="G310" s="107">
        <v>44617</v>
      </c>
      <c r="H310" s="93" t="s">
        <v>511</v>
      </c>
      <c r="I310" s="64">
        <v>13340860</v>
      </c>
      <c r="J310" s="64" t="s">
        <v>4</v>
      </c>
      <c r="K310" s="66">
        <v>2000000</v>
      </c>
      <c r="L310" s="55">
        <v>6.6704299999999996</v>
      </c>
      <c r="M310" s="46">
        <v>-2000000</v>
      </c>
      <c r="N310" s="48">
        <v>74</v>
      </c>
      <c r="O310" s="58">
        <v>6.4028096901066061</v>
      </c>
      <c r="P310" s="61">
        <v>-0.2662798227724405</v>
      </c>
      <c r="Q310" s="13">
        <v>2317646.7428450962</v>
      </c>
      <c r="R310" s="41">
        <v>83557.773385723587</v>
      </c>
      <c r="S310" s="38"/>
      <c r="U310" s="51">
        <v>2225533</v>
      </c>
    </row>
    <row r="311" spans="1:21" s="7" customFormat="1" x14ac:dyDescent="0.25">
      <c r="A311" s="90">
        <v>867709</v>
      </c>
      <c r="B311" s="45" t="s">
        <v>457</v>
      </c>
      <c r="C311" s="45"/>
      <c r="D311" s="45" t="s">
        <v>328</v>
      </c>
      <c r="E311" s="107">
        <v>44278</v>
      </c>
      <c r="F311" s="107">
        <v>44278</v>
      </c>
      <c r="G311" s="107">
        <v>44638</v>
      </c>
      <c r="H311" s="93" t="s">
        <v>511</v>
      </c>
      <c r="I311" s="64">
        <v>13354360</v>
      </c>
      <c r="J311" s="64" t="s">
        <v>4</v>
      </c>
      <c r="K311" s="66">
        <v>2000000</v>
      </c>
      <c r="L311" s="55">
        <v>6.6771799999999999</v>
      </c>
      <c r="M311" s="46">
        <v>-2000000</v>
      </c>
      <c r="N311" s="48">
        <v>95</v>
      </c>
      <c r="O311" s="58">
        <v>6.4113817167235458</v>
      </c>
      <c r="P311" s="61">
        <v>-0.26400056612077849</v>
      </c>
      <c r="Q311" s="13">
        <v>2297808.5451933467</v>
      </c>
      <c r="R311" s="41">
        <v>82842.549795725063</v>
      </c>
      <c r="S311" s="38"/>
      <c r="U311" s="51">
        <v>2187571</v>
      </c>
    </row>
    <row r="312" spans="1:21" s="7" customFormat="1" x14ac:dyDescent="0.25">
      <c r="A312" s="90">
        <v>867722</v>
      </c>
      <c r="B312" s="45" t="s">
        <v>457</v>
      </c>
      <c r="C312" s="45"/>
      <c r="D312" s="45" t="s">
        <v>504</v>
      </c>
      <c r="E312" s="107">
        <v>44278</v>
      </c>
      <c r="F312" s="107">
        <v>44586</v>
      </c>
      <c r="G312" s="107">
        <v>44586</v>
      </c>
      <c r="H312" s="93" t="s">
        <v>4</v>
      </c>
      <c r="I312" s="64">
        <v>2000000</v>
      </c>
      <c r="J312" s="64" t="s">
        <v>511</v>
      </c>
      <c r="K312" s="66">
        <v>13280000</v>
      </c>
      <c r="L312" s="55">
        <v>6.64</v>
      </c>
      <c r="M312" s="46">
        <v>2000000</v>
      </c>
      <c r="N312" s="48">
        <v>43</v>
      </c>
      <c r="O312" s="58">
        <v>6.3893231657975127</v>
      </c>
      <c r="P312" s="61">
        <v>-0.25002053563430887</v>
      </c>
      <c r="Q312" s="13">
        <v>-2176129.1337212627</v>
      </c>
      <c r="R312" s="41">
        <v>-78455.66006765049</v>
      </c>
      <c r="S312" s="38"/>
      <c r="U312" s="51">
        <v>-2090122</v>
      </c>
    </row>
    <row r="313" spans="1:21" s="7" customFormat="1" x14ac:dyDescent="0.25">
      <c r="A313" s="90">
        <v>867727</v>
      </c>
      <c r="B313" s="45" t="s">
        <v>457</v>
      </c>
      <c r="C313" s="45"/>
      <c r="D313" s="45" t="s">
        <v>504</v>
      </c>
      <c r="E313" s="107">
        <v>44278</v>
      </c>
      <c r="F313" s="107">
        <v>44617</v>
      </c>
      <c r="G313" s="107">
        <v>44617</v>
      </c>
      <c r="H313" s="93" t="s">
        <v>4</v>
      </c>
      <c r="I313" s="64">
        <v>2000000</v>
      </c>
      <c r="J313" s="64" t="s">
        <v>511</v>
      </c>
      <c r="K313" s="66">
        <v>13304000</v>
      </c>
      <c r="L313" s="55">
        <v>6.6520000000000001</v>
      </c>
      <c r="M313" s="46">
        <v>2000000</v>
      </c>
      <c r="N313" s="48">
        <v>74</v>
      </c>
      <c r="O313" s="58">
        <v>6.4028096901066061</v>
      </c>
      <c r="P313" s="61">
        <v>-0.24794213705773949</v>
      </c>
      <c r="Q313" s="13">
        <v>-2158039.1649013702</v>
      </c>
      <c r="R313" s="41">
        <v>-77803.465111765268</v>
      </c>
      <c r="S313" s="38"/>
      <c r="U313" s="51">
        <v>-2066184</v>
      </c>
    </row>
    <row r="314" spans="1:21" s="7" customFormat="1" x14ac:dyDescent="0.25">
      <c r="A314" s="90">
        <v>867730</v>
      </c>
      <c r="B314" s="45" t="s">
        <v>457</v>
      </c>
      <c r="C314" s="45"/>
      <c r="D314" s="45" t="s">
        <v>504</v>
      </c>
      <c r="E314" s="107">
        <v>44278</v>
      </c>
      <c r="F314" s="107">
        <v>44638</v>
      </c>
      <c r="G314" s="107">
        <v>44638</v>
      </c>
      <c r="H314" s="93" t="s">
        <v>4</v>
      </c>
      <c r="I314" s="64">
        <v>2000000</v>
      </c>
      <c r="J314" s="64" t="s">
        <v>511</v>
      </c>
      <c r="K314" s="66">
        <v>13324000</v>
      </c>
      <c r="L314" s="55">
        <v>6.6619999999999999</v>
      </c>
      <c r="M314" s="46">
        <v>2000000</v>
      </c>
      <c r="N314" s="48">
        <v>95</v>
      </c>
      <c r="O314" s="58">
        <v>6.4113817167235458</v>
      </c>
      <c r="P314" s="61">
        <v>-0.24892323550632445</v>
      </c>
      <c r="Q314" s="13">
        <v>-2166578.4511307906</v>
      </c>
      <c r="R314" s="41">
        <v>-78111.330728402711</v>
      </c>
      <c r="S314" s="38"/>
      <c r="U314" s="51">
        <v>-2056596</v>
      </c>
    </row>
    <row r="315" spans="1:21" s="7" customFormat="1" x14ac:dyDescent="0.25">
      <c r="A315" s="90">
        <v>895114</v>
      </c>
      <c r="B315" s="45" t="s">
        <v>457</v>
      </c>
      <c r="C315" s="45"/>
      <c r="D315" s="45" t="s">
        <v>328</v>
      </c>
      <c r="E315" s="107">
        <v>44312</v>
      </c>
      <c r="F315" s="107">
        <v>44312</v>
      </c>
      <c r="G315" s="107">
        <v>44620</v>
      </c>
      <c r="H315" s="93" t="s">
        <v>511</v>
      </c>
      <c r="I315" s="64">
        <v>13256900</v>
      </c>
      <c r="J315" s="64" t="s">
        <v>4</v>
      </c>
      <c r="K315" s="66">
        <v>2000000</v>
      </c>
      <c r="L315" s="55">
        <v>6.62845</v>
      </c>
      <c r="M315" s="46">
        <v>-2000000</v>
      </c>
      <c r="N315" s="48">
        <v>77</v>
      </c>
      <c r="O315" s="58">
        <v>6.4040246357981916</v>
      </c>
      <c r="P315" s="61">
        <v>-0.22324477177000759</v>
      </c>
      <c r="Q315" s="13">
        <v>1943078.1978254539</v>
      </c>
      <c r="R315" s="41">
        <v>70053.509330473069</v>
      </c>
      <c r="S315" s="38"/>
      <c r="U315" s="51">
        <v>1849021</v>
      </c>
    </row>
    <row r="316" spans="1:21" s="7" customFormat="1" x14ac:dyDescent="0.25">
      <c r="A316" s="90">
        <v>895116</v>
      </c>
      <c r="B316" s="45" t="s">
        <v>457</v>
      </c>
      <c r="C316" s="45"/>
      <c r="D316" s="45" t="s">
        <v>504</v>
      </c>
      <c r="E316" s="107">
        <v>44312</v>
      </c>
      <c r="F316" s="107">
        <v>44620</v>
      </c>
      <c r="G316" s="107">
        <v>44620</v>
      </c>
      <c r="H316" s="93" t="s">
        <v>4</v>
      </c>
      <c r="I316" s="64">
        <v>2000000</v>
      </c>
      <c r="J316" s="64" t="s">
        <v>511</v>
      </c>
      <c r="K316" s="66">
        <v>13211000</v>
      </c>
      <c r="L316" s="55">
        <v>6.6055000000000001</v>
      </c>
      <c r="M316" s="46">
        <v>2000000</v>
      </c>
      <c r="N316" s="48">
        <v>77</v>
      </c>
      <c r="O316" s="58">
        <v>6.4040246357981916</v>
      </c>
      <c r="P316" s="61">
        <v>-0.20041550053168852</v>
      </c>
      <c r="Q316" s="13">
        <v>-1744376.7506931499</v>
      </c>
      <c r="R316" s="41">
        <v>-62889.7556039173</v>
      </c>
      <c r="S316" s="38"/>
      <c r="U316" s="51">
        <v>-1650652</v>
      </c>
    </row>
    <row r="317" spans="1:21" s="7" customFormat="1" x14ac:dyDescent="0.25">
      <c r="A317" s="90">
        <v>900237</v>
      </c>
      <c r="B317" s="45" t="s">
        <v>457</v>
      </c>
      <c r="C317" s="45"/>
      <c r="D317" s="45" t="s">
        <v>489</v>
      </c>
      <c r="E317" s="107">
        <v>44320</v>
      </c>
      <c r="F317" s="107">
        <v>44320</v>
      </c>
      <c r="G317" s="107">
        <v>44679</v>
      </c>
      <c r="H317" s="93" t="s">
        <v>511</v>
      </c>
      <c r="I317" s="64">
        <v>19957200</v>
      </c>
      <c r="J317" s="64" t="s">
        <v>4</v>
      </c>
      <c r="K317" s="66">
        <v>3000000</v>
      </c>
      <c r="L317" s="55">
        <v>6.6524000000000001</v>
      </c>
      <c r="M317" s="46">
        <v>-3000000</v>
      </c>
      <c r="N317" s="48">
        <v>136</v>
      </c>
      <c r="O317" s="58">
        <v>6.4286594203275769</v>
      </c>
      <c r="P317" s="61">
        <v>-0.22153669952134802</v>
      </c>
      <c r="Q317" s="13">
        <v>2892317.2138267187</v>
      </c>
      <c r="R317" s="41">
        <v>104276.28242252499</v>
      </c>
      <c r="S317" s="38"/>
      <c r="U317" s="51">
        <v>2684326</v>
      </c>
    </row>
    <row r="318" spans="1:21" s="7" customFormat="1" x14ac:dyDescent="0.25">
      <c r="A318" s="90">
        <v>900238</v>
      </c>
      <c r="B318" s="45" t="s">
        <v>457</v>
      </c>
      <c r="C318" s="45"/>
      <c r="D318" s="45" t="s">
        <v>504</v>
      </c>
      <c r="E318" s="107">
        <v>44320</v>
      </c>
      <c r="F318" s="107">
        <v>44679</v>
      </c>
      <c r="G318" s="107">
        <v>44679</v>
      </c>
      <c r="H318" s="93" t="s">
        <v>4</v>
      </c>
      <c r="I318" s="64">
        <v>3000000</v>
      </c>
      <c r="J318" s="64" t="s">
        <v>511</v>
      </c>
      <c r="K318" s="66">
        <v>19894500</v>
      </c>
      <c r="L318" s="55">
        <v>6.6315</v>
      </c>
      <c r="M318" s="46">
        <v>3000000</v>
      </c>
      <c r="N318" s="48">
        <v>136</v>
      </c>
      <c r="O318" s="58">
        <v>6.4286594203275769</v>
      </c>
      <c r="P318" s="61">
        <v>-0.20084256783198204</v>
      </c>
      <c r="Q318" s="13">
        <v>-2622140.7896059426</v>
      </c>
      <c r="R318" s="41">
        <v>-94535.651975327637</v>
      </c>
      <c r="S318" s="38"/>
      <c r="U318" s="51">
        <v>-2414792</v>
      </c>
    </row>
    <row r="319" spans="1:21" s="7" customFormat="1" x14ac:dyDescent="0.25">
      <c r="A319" s="90">
        <v>909494</v>
      </c>
      <c r="B319" s="45" t="s">
        <v>457</v>
      </c>
      <c r="C319" s="45"/>
      <c r="D319" s="45" t="s">
        <v>489</v>
      </c>
      <c r="E319" s="107">
        <v>44329</v>
      </c>
      <c r="F319" s="107">
        <v>44329</v>
      </c>
      <c r="G319" s="107">
        <v>44698</v>
      </c>
      <c r="H319" s="93" t="s">
        <v>511</v>
      </c>
      <c r="I319" s="64">
        <v>13245400</v>
      </c>
      <c r="J319" s="64" t="s">
        <v>4</v>
      </c>
      <c r="K319" s="66">
        <v>2000000</v>
      </c>
      <c r="L319" s="55">
        <v>6.6227</v>
      </c>
      <c r="M319" s="46">
        <v>-2000000</v>
      </c>
      <c r="N319" s="48">
        <v>155</v>
      </c>
      <c r="O319" s="58">
        <v>6.4368595373668462</v>
      </c>
      <c r="P319" s="61">
        <v>-0.18373786185869029</v>
      </c>
      <c r="Q319" s="13">
        <v>1599217.8928180861</v>
      </c>
      <c r="R319" s="41">
        <v>57656.364886069794</v>
      </c>
      <c r="S319" s="38"/>
      <c r="U319" s="51">
        <v>1457250</v>
      </c>
    </row>
    <row r="320" spans="1:21" s="7" customFormat="1" x14ac:dyDescent="0.25">
      <c r="A320" s="90">
        <v>909510</v>
      </c>
      <c r="B320" s="45" t="s">
        <v>457</v>
      </c>
      <c r="C320" s="45"/>
      <c r="D320" s="45" t="s">
        <v>504</v>
      </c>
      <c r="E320" s="107">
        <v>44329</v>
      </c>
      <c r="F320" s="107">
        <v>44698</v>
      </c>
      <c r="G320" s="107">
        <v>44698</v>
      </c>
      <c r="H320" s="93" t="s">
        <v>4</v>
      </c>
      <c r="I320" s="64">
        <v>2000000</v>
      </c>
      <c r="J320" s="64" t="s">
        <v>511</v>
      </c>
      <c r="K320" s="66">
        <v>13200000</v>
      </c>
      <c r="L320" s="55">
        <v>6.6</v>
      </c>
      <c r="M320" s="46">
        <v>2000000</v>
      </c>
      <c r="N320" s="48">
        <v>155</v>
      </c>
      <c r="O320" s="58">
        <v>6.4368595373668462</v>
      </c>
      <c r="P320" s="61">
        <v>-0.16129468987614129</v>
      </c>
      <c r="Q320" s="13">
        <v>-1403876.9769991708</v>
      </c>
      <c r="R320" s="41">
        <v>-50613.767895244629</v>
      </c>
      <c r="S320" s="38"/>
      <c r="U320" s="51">
        <v>-1262379</v>
      </c>
    </row>
    <row r="321" spans="1:21" s="7" customFormat="1" x14ac:dyDescent="0.25">
      <c r="A321" s="90">
        <v>931417</v>
      </c>
      <c r="B321" s="45" t="s">
        <v>457</v>
      </c>
      <c r="C321" s="45"/>
      <c r="D321" s="45" t="s">
        <v>489</v>
      </c>
      <c r="E321" s="107">
        <v>44358</v>
      </c>
      <c r="F321" s="107">
        <v>44358</v>
      </c>
      <c r="G321" s="107">
        <v>44728</v>
      </c>
      <c r="H321" s="93" t="s">
        <v>511</v>
      </c>
      <c r="I321" s="64">
        <v>6546000</v>
      </c>
      <c r="J321" s="64" t="s">
        <v>4</v>
      </c>
      <c r="K321" s="66">
        <v>1000000</v>
      </c>
      <c r="L321" s="55">
        <v>6.5460000000000003</v>
      </c>
      <c r="M321" s="46">
        <v>-1000000</v>
      </c>
      <c r="N321" s="48">
        <v>185</v>
      </c>
      <c r="O321" s="58">
        <v>6.4499421571339735</v>
      </c>
      <c r="P321" s="61">
        <v>-9.4745567460489885E-2</v>
      </c>
      <c r="Q321" s="13">
        <v>412323.31000060576</v>
      </c>
      <c r="R321" s="41">
        <v>14865.430982975642</v>
      </c>
      <c r="S321" s="38"/>
      <c r="U321" s="51">
        <v>349340</v>
      </c>
    </row>
    <row r="322" spans="1:21" s="7" customFormat="1" x14ac:dyDescent="0.25">
      <c r="A322" s="90">
        <v>931423</v>
      </c>
      <c r="B322" s="45" t="s">
        <v>457</v>
      </c>
      <c r="C322" s="45"/>
      <c r="D322" s="45" t="s">
        <v>504</v>
      </c>
      <c r="E322" s="107">
        <v>44358</v>
      </c>
      <c r="F322" s="107">
        <v>44728</v>
      </c>
      <c r="G322" s="107">
        <v>44728</v>
      </c>
      <c r="H322" s="93" t="s">
        <v>4</v>
      </c>
      <c r="I322" s="64">
        <v>1000000</v>
      </c>
      <c r="J322" s="64" t="s">
        <v>511</v>
      </c>
      <c r="K322" s="66">
        <v>6518000</v>
      </c>
      <c r="L322" s="55">
        <v>6.5179999999999998</v>
      </c>
      <c r="M322" s="46">
        <v>1000000</v>
      </c>
      <c r="N322" s="48">
        <v>185</v>
      </c>
      <c r="O322" s="58">
        <v>6.4499421571339735</v>
      </c>
      <c r="P322" s="61">
        <v>-6.7128083976150527E-2</v>
      </c>
      <c r="Q322" s="13">
        <v>-292134.76177223056</v>
      </c>
      <c r="R322" s="41">
        <v>-10532.291125735152</v>
      </c>
      <c r="S322" s="38"/>
      <c r="U322" s="51">
        <v>-229424</v>
      </c>
    </row>
    <row r="323" spans="1:21" s="7" customFormat="1" x14ac:dyDescent="0.25">
      <c r="A323" s="90">
        <v>959076</v>
      </c>
      <c r="B323" s="45" t="s">
        <v>457</v>
      </c>
      <c r="C323" s="45"/>
      <c r="D323" s="45" t="s">
        <v>489</v>
      </c>
      <c r="E323" s="107">
        <v>44397</v>
      </c>
      <c r="F323" s="107">
        <v>44397</v>
      </c>
      <c r="G323" s="107">
        <v>44761</v>
      </c>
      <c r="H323" s="93" t="s">
        <v>511</v>
      </c>
      <c r="I323" s="64">
        <v>13322000</v>
      </c>
      <c r="J323" s="64" t="s">
        <v>4</v>
      </c>
      <c r="K323" s="66">
        <v>2000000</v>
      </c>
      <c r="L323" s="55">
        <v>6.6609999999999996</v>
      </c>
      <c r="M323" s="46">
        <v>-2000000</v>
      </c>
      <c r="N323" s="48">
        <v>218</v>
      </c>
      <c r="O323" s="58">
        <v>6.463904154042214</v>
      </c>
      <c r="P323" s="61">
        <v>-0.19389141157358628</v>
      </c>
      <c r="Q323" s="13">
        <v>1687592.3748949911</v>
      </c>
      <c r="R323" s="41">
        <v>60842.516947102966</v>
      </c>
      <c r="S323" s="38"/>
      <c r="U323" s="51">
        <v>1549275</v>
      </c>
    </row>
    <row r="324" spans="1:21" s="7" customFormat="1" x14ac:dyDescent="0.25">
      <c r="A324" s="90">
        <v>959100</v>
      </c>
      <c r="B324" s="45" t="s">
        <v>457</v>
      </c>
      <c r="C324" s="45"/>
      <c r="D324" s="45" t="s">
        <v>504</v>
      </c>
      <c r="E324" s="107">
        <v>44397</v>
      </c>
      <c r="F324" s="107">
        <v>44761</v>
      </c>
      <c r="G324" s="107">
        <v>44761</v>
      </c>
      <c r="H324" s="93" t="s">
        <v>4</v>
      </c>
      <c r="I324" s="64">
        <v>2000000</v>
      </c>
      <c r="J324" s="64" t="s">
        <v>511</v>
      </c>
      <c r="K324" s="66">
        <v>13263000</v>
      </c>
      <c r="L324" s="55">
        <v>6.6315</v>
      </c>
      <c r="M324" s="46">
        <v>2000000</v>
      </c>
      <c r="N324" s="48">
        <v>218</v>
      </c>
      <c r="O324" s="58">
        <v>6.463904154042214</v>
      </c>
      <c r="P324" s="61">
        <v>-0.16487103007530854</v>
      </c>
      <c r="Q324" s="13">
        <v>-1435004.7324843823</v>
      </c>
      <c r="R324" s="41">
        <v>-51736.012235055714</v>
      </c>
      <c r="S324" s="38"/>
      <c r="U324" s="51">
        <v>-1297315</v>
      </c>
    </row>
    <row r="325" spans="1:21" s="7" customFormat="1" x14ac:dyDescent="0.25">
      <c r="A325" s="90">
        <v>964354</v>
      </c>
      <c r="B325" s="45" t="s">
        <v>457</v>
      </c>
      <c r="C325" s="45"/>
      <c r="D325" s="45" t="s">
        <v>489</v>
      </c>
      <c r="E325" s="107">
        <v>44404</v>
      </c>
      <c r="F325" s="107">
        <v>44404</v>
      </c>
      <c r="G325" s="107">
        <v>44771</v>
      </c>
      <c r="H325" s="93" t="s">
        <v>511</v>
      </c>
      <c r="I325" s="64">
        <v>13381600</v>
      </c>
      <c r="J325" s="64" t="s">
        <v>4</v>
      </c>
      <c r="K325" s="66">
        <v>2000000</v>
      </c>
      <c r="L325" s="55">
        <v>6.6908000000000003</v>
      </c>
      <c r="M325" s="46">
        <v>-2000000</v>
      </c>
      <c r="N325" s="48">
        <v>228</v>
      </c>
      <c r="O325" s="58">
        <v>6.4681542116806519</v>
      </c>
      <c r="P325" s="61">
        <v>-0.21884869878533558</v>
      </c>
      <c r="Q325" s="13">
        <v>1904815.6508245065</v>
      </c>
      <c r="R325" s="41">
        <v>68674.035413088655</v>
      </c>
      <c r="S325" s="38"/>
      <c r="U325" s="51">
        <v>1763598</v>
      </c>
    </row>
    <row r="326" spans="1:21" s="7" customFormat="1" x14ac:dyDescent="0.25">
      <c r="A326" s="90">
        <v>964421</v>
      </c>
      <c r="B326" s="45" t="s">
        <v>457</v>
      </c>
      <c r="C326" s="45"/>
      <c r="D326" s="45" t="s">
        <v>504</v>
      </c>
      <c r="E326" s="107">
        <v>44404</v>
      </c>
      <c r="F326" s="107">
        <v>44771</v>
      </c>
      <c r="G326" s="107">
        <v>44771</v>
      </c>
      <c r="H326" s="93" t="s">
        <v>4</v>
      </c>
      <c r="I326" s="64">
        <v>2000000</v>
      </c>
      <c r="J326" s="64" t="s">
        <v>511</v>
      </c>
      <c r="K326" s="66">
        <v>13285600</v>
      </c>
      <c r="L326" s="55">
        <v>6.6428000000000003</v>
      </c>
      <c r="M326" s="46">
        <v>2000000</v>
      </c>
      <c r="N326" s="48">
        <v>228</v>
      </c>
      <c r="O326" s="58">
        <v>6.4681542116806519</v>
      </c>
      <c r="P326" s="61">
        <v>-0.17166730981323064</v>
      </c>
      <c r="Q326" s="13">
        <v>-1494158.2028226897</v>
      </c>
      <c r="R326" s="41">
        <v>-53868.663505041666</v>
      </c>
      <c r="S326" s="38"/>
      <c r="U326" s="51">
        <v>-1353979</v>
      </c>
    </row>
    <row r="327" spans="1:21" s="7" customFormat="1" x14ac:dyDescent="0.25">
      <c r="A327" s="90">
        <v>973212</v>
      </c>
      <c r="B327" s="45" t="s">
        <v>457</v>
      </c>
      <c r="C327" s="45"/>
      <c r="D327" s="45" t="s">
        <v>473</v>
      </c>
      <c r="E327" s="107">
        <v>44413</v>
      </c>
      <c r="F327" s="107">
        <v>44413</v>
      </c>
      <c r="G327" s="107">
        <v>44781</v>
      </c>
      <c r="H327" s="93" t="s">
        <v>511</v>
      </c>
      <c r="I327" s="64">
        <v>6633300</v>
      </c>
      <c r="J327" s="64" t="s">
        <v>4</v>
      </c>
      <c r="K327" s="66">
        <v>1000000</v>
      </c>
      <c r="L327" s="55">
        <v>6.6333000000000002</v>
      </c>
      <c r="M327" s="46">
        <v>-1000000</v>
      </c>
      <c r="N327" s="48">
        <v>238</v>
      </c>
      <c r="O327" s="58">
        <v>6.4724130776709332</v>
      </c>
      <c r="P327" s="61">
        <v>-0.15801432334755952</v>
      </c>
      <c r="Q327" s="13">
        <v>687662.65880819573</v>
      </c>
      <c r="R327" s="41">
        <v>24792.199582574514</v>
      </c>
      <c r="S327" s="38"/>
      <c r="U327" s="51">
        <v>616738</v>
      </c>
    </row>
    <row r="328" spans="1:21" s="7" customFormat="1" x14ac:dyDescent="0.25">
      <c r="A328" s="90">
        <v>973214</v>
      </c>
      <c r="B328" s="45" t="s">
        <v>457</v>
      </c>
      <c r="C328" s="45"/>
      <c r="D328" s="45" t="s">
        <v>504</v>
      </c>
      <c r="E328" s="107">
        <v>44413</v>
      </c>
      <c r="F328" s="107">
        <v>44781</v>
      </c>
      <c r="G328" s="107">
        <v>44781</v>
      </c>
      <c r="H328" s="93" t="s">
        <v>4</v>
      </c>
      <c r="I328" s="64">
        <v>1000000</v>
      </c>
      <c r="J328" s="64" t="s">
        <v>511</v>
      </c>
      <c r="K328" s="66">
        <v>6605300</v>
      </c>
      <c r="L328" s="55">
        <v>6.6052999999999997</v>
      </c>
      <c r="M328" s="46">
        <v>1000000</v>
      </c>
      <c r="N328" s="48">
        <v>238</v>
      </c>
      <c r="O328" s="58">
        <v>6.4724130776709332</v>
      </c>
      <c r="P328" s="61">
        <v>-0.13051425690535126</v>
      </c>
      <c r="Q328" s="13">
        <v>-567985.09789837932</v>
      </c>
      <c r="R328" s="41">
        <v>-20477.482275146212</v>
      </c>
      <c r="S328" s="38"/>
      <c r="U328" s="51">
        <v>-497366</v>
      </c>
    </row>
    <row r="329" spans="1:21" s="7" customFormat="1" x14ac:dyDescent="0.25">
      <c r="A329" s="90">
        <v>999158</v>
      </c>
      <c r="B329" s="45" t="s">
        <v>457</v>
      </c>
      <c r="C329" s="45"/>
      <c r="D329" s="45" t="s">
        <v>473</v>
      </c>
      <c r="E329" s="107">
        <v>44449</v>
      </c>
      <c r="F329" s="107">
        <v>44449</v>
      </c>
      <c r="G329" s="107">
        <v>44818</v>
      </c>
      <c r="H329" s="93" t="s">
        <v>511</v>
      </c>
      <c r="I329" s="64">
        <v>13249600</v>
      </c>
      <c r="J329" s="64" t="s">
        <v>4</v>
      </c>
      <c r="K329" s="66">
        <v>2000000</v>
      </c>
      <c r="L329" s="55">
        <v>6.6247999999999996</v>
      </c>
      <c r="M329" s="46">
        <v>-2000000</v>
      </c>
      <c r="N329" s="48">
        <v>275</v>
      </c>
      <c r="O329" s="58">
        <v>6.4882403198750733</v>
      </c>
      <c r="P329" s="61">
        <v>-0.13371406969083158</v>
      </c>
      <c r="Q329" s="13">
        <v>1163820.7313828524</v>
      </c>
      <c r="R329" s="41">
        <v>41959.055768403217</v>
      </c>
      <c r="S329" s="38"/>
      <c r="U329" s="51">
        <v>1018332</v>
      </c>
    </row>
    <row r="330" spans="1:21" s="7" customFormat="1" x14ac:dyDescent="0.25">
      <c r="A330" s="90">
        <v>999167</v>
      </c>
      <c r="B330" s="45" t="s">
        <v>457</v>
      </c>
      <c r="C330" s="45"/>
      <c r="D330" s="45" t="s">
        <v>504</v>
      </c>
      <c r="E330" s="107">
        <v>44449</v>
      </c>
      <c r="F330" s="107">
        <v>44818</v>
      </c>
      <c r="G330" s="107">
        <v>44818</v>
      </c>
      <c r="H330" s="93" t="s">
        <v>4</v>
      </c>
      <c r="I330" s="64">
        <v>2000000</v>
      </c>
      <c r="J330" s="64" t="s">
        <v>511</v>
      </c>
      <c r="K330" s="66">
        <v>13181600</v>
      </c>
      <c r="L330" s="55">
        <v>6.5907999999999998</v>
      </c>
      <c r="M330" s="46">
        <v>2000000</v>
      </c>
      <c r="N330" s="48">
        <v>275</v>
      </c>
      <c r="O330" s="58">
        <v>6.4882403198750733</v>
      </c>
      <c r="P330" s="61">
        <v>-0.10042255666642157</v>
      </c>
      <c r="Q330" s="13">
        <v>-874058.00763585931</v>
      </c>
      <c r="R330" s="41">
        <v>-31512.283376869898</v>
      </c>
      <c r="S330" s="38"/>
      <c r="U330" s="51">
        <v>-729324</v>
      </c>
    </row>
    <row r="331" spans="1:21" s="7" customFormat="1" x14ac:dyDescent="0.25">
      <c r="A331" s="90">
        <v>1015587</v>
      </c>
      <c r="B331" s="45" t="s">
        <v>457</v>
      </c>
      <c r="C331" s="45"/>
      <c r="D331" s="45" t="s">
        <v>504</v>
      </c>
      <c r="E331" s="107">
        <v>44475</v>
      </c>
      <c r="F331" s="107">
        <v>44846</v>
      </c>
      <c r="G331" s="107">
        <v>44846</v>
      </c>
      <c r="H331" s="93" t="s">
        <v>4</v>
      </c>
      <c r="I331" s="64">
        <v>2000000</v>
      </c>
      <c r="J331" s="64" t="s">
        <v>511</v>
      </c>
      <c r="K331" s="66">
        <v>13220000</v>
      </c>
      <c r="L331" s="55">
        <v>6.61</v>
      </c>
      <c r="M331" s="46">
        <v>2000000</v>
      </c>
      <c r="N331" s="48">
        <v>303</v>
      </c>
      <c r="O331" s="58">
        <v>6.5002625182224607</v>
      </c>
      <c r="P331" s="61">
        <v>-0.10720778043825449</v>
      </c>
      <c r="Q331" s="13">
        <v>-933115.24903902295</v>
      </c>
      <c r="R331" s="41">
        <v>-33641.465319366362</v>
      </c>
      <c r="S331" s="38"/>
      <c r="U331" s="51">
        <v>-785454</v>
      </c>
    </row>
    <row r="332" spans="1:21" s="7" customFormat="1" x14ac:dyDescent="0.25">
      <c r="A332" s="90">
        <v>1015591</v>
      </c>
      <c r="B332" s="45" t="s">
        <v>457</v>
      </c>
      <c r="C332" s="45"/>
      <c r="D332" s="45" t="s">
        <v>489</v>
      </c>
      <c r="E332" s="107">
        <v>44475</v>
      </c>
      <c r="F332" s="107">
        <v>44475</v>
      </c>
      <c r="G332" s="107">
        <v>44846</v>
      </c>
      <c r="H332" s="93" t="s">
        <v>511</v>
      </c>
      <c r="I332" s="64">
        <v>13271600</v>
      </c>
      <c r="J332" s="64" t="s">
        <v>4</v>
      </c>
      <c r="K332" s="66">
        <v>2000000</v>
      </c>
      <c r="L332" s="55">
        <v>6.6357999999999997</v>
      </c>
      <c r="M332" s="46">
        <v>-2000000</v>
      </c>
      <c r="N332" s="48">
        <v>303</v>
      </c>
      <c r="O332" s="58">
        <v>6.5002625182224607</v>
      </c>
      <c r="P332" s="61">
        <v>-0.13241303110105054</v>
      </c>
      <c r="Q332" s="13">
        <v>1152496.7496461712</v>
      </c>
      <c r="R332" s="41">
        <v>41550.79393872674</v>
      </c>
      <c r="S332" s="38"/>
      <c r="U332" s="51">
        <v>1004249</v>
      </c>
    </row>
    <row r="333" spans="1:21" s="7" customFormat="1" x14ac:dyDescent="0.25">
      <c r="A333" s="90">
        <v>1029583</v>
      </c>
      <c r="B333" s="45" t="s">
        <v>457</v>
      </c>
      <c r="C333" s="45"/>
      <c r="D333" s="45" t="s">
        <v>489</v>
      </c>
      <c r="E333" s="107">
        <v>44496</v>
      </c>
      <c r="F333" s="107">
        <v>44496</v>
      </c>
      <c r="G333" s="107">
        <v>44865</v>
      </c>
      <c r="H333" s="93" t="s">
        <v>511</v>
      </c>
      <c r="I333" s="64">
        <v>13132800</v>
      </c>
      <c r="J333" s="64" t="s">
        <v>4</v>
      </c>
      <c r="K333" s="66">
        <v>2000000</v>
      </c>
      <c r="L333" s="55">
        <v>6.5663999999999998</v>
      </c>
      <c r="M333" s="46">
        <v>-2000000</v>
      </c>
      <c r="N333" s="48">
        <v>322</v>
      </c>
      <c r="O333" s="58">
        <v>6.5084553306628026</v>
      </c>
      <c r="P333" s="61">
        <v>-5.6521310747236278E-2</v>
      </c>
      <c r="Q333" s="13">
        <v>491950.27392899996</v>
      </c>
      <c r="R333" s="41">
        <v>17736.210072956503</v>
      </c>
      <c r="S333" s="38"/>
      <c r="U333" s="51">
        <v>344893</v>
      </c>
    </row>
    <row r="334" spans="1:21" s="7" customFormat="1" x14ac:dyDescent="0.25">
      <c r="A334" s="90">
        <v>1029587</v>
      </c>
      <c r="B334" s="45" t="s">
        <v>457</v>
      </c>
      <c r="C334" s="45"/>
      <c r="D334" s="45" t="s">
        <v>504</v>
      </c>
      <c r="E334" s="107">
        <v>44496</v>
      </c>
      <c r="F334" s="107">
        <v>44865</v>
      </c>
      <c r="G334" s="107">
        <v>44865</v>
      </c>
      <c r="H334" s="93" t="s">
        <v>4</v>
      </c>
      <c r="I334" s="64">
        <v>2000000</v>
      </c>
      <c r="J334" s="64" t="s">
        <v>511</v>
      </c>
      <c r="K334" s="66">
        <v>13081600</v>
      </c>
      <c r="L334" s="55">
        <v>6.5407999999999999</v>
      </c>
      <c r="M334" s="46">
        <v>2000000</v>
      </c>
      <c r="N334" s="48">
        <v>322</v>
      </c>
      <c r="O334" s="58">
        <v>6.5084553306628026</v>
      </c>
      <c r="P334" s="61">
        <v>-3.1550151679798431E-2</v>
      </c>
      <c r="Q334" s="13">
        <v>-274606.26011998975</v>
      </c>
      <c r="R334" s="41">
        <v>-9900.3386621551108</v>
      </c>
      <c r="S334" s="38"/>
      <c r="U334" s="51">
        <v>-128133</v>
      </c>
    </row>
    <row r="335" spans="1:21" s="7" customFormat="1" x14ac:dyDescent="0.25">
      <c r="A335" s="90">
        <v>1039948</v>
      </c>
      <c r="B335" s="45" t="s">
        <v>457</v>
      </c>
      <c r="C335" s="45"/>
      <c r="D335" s="45" t="s">
        <v>489</v>
      </c>
      <c r="E335" s="107">
        <v>44509</v>
      </c>
      <c r="F335" s="107">
        <v>44509</v>
      </c>
      <c r="G335" s="107">
        <v>44879</v>
      </c>
      <c r="H335" s="93" t="s">
        <v>511</v>
      </c>
      <c r="I335" s="64">
        <v>13141200</v>
      </c>
      <c r="J335" s="64" t="s">
        <v>4</v>
      </c>
      <c r="K335" s="66">
        <v>2000000</v>
      </c>
      <c r="L335" s="55">
        <v>6.5705999999999998</v>
      </c>
      <c r="M335" s="46">
        <v>-2000000</v>
      </c>
      <c r="N335" s="48">
        <v>336</v>
      </c>
      <c r="O335" s="58">
        <v>6.5145100527892783</v>
      </c>
      <c r="P335" s="61">
        <v>-5.4649404675497996E-2</v>
      </c>
      <c r="Q335" s="13">
        <v>475657.57489943912</v>
      </c>
      <c r="R335" s="41">
        <v>17148.81181756809</v>
      </c>
      <c r="S335" s="38"/>
      <c r="U335" s="51">
        <v>328882</v>
      </c>
    </row>
    <row r="336" spans="1:21" s="7" customFormat="1" x14ac:dyDescent="0.25">
      <c r="A336" s="88">
        <v>1040310</v>
      </c>
      <c r="B336" s="45" t="s">
        <v>457</v>
      </c>
      <c r="C336" s="45"/>
      <c r="D336" s="39" t="s">
        <v>504</v>
      </c>
      <c r="E336" s="108">
        <v>44509</v>
      </c>
      <c r="F336" s="108">
        <v>44879</v>
      </c>
      <c r="G336" s="108">
        <v>44879</v>
      </c>
      <c r="H336" s="94" t="s">
        <v>4</v>
      </c>
      <c r="I336" s="65">
        <v>2000000</v>
      </c>
      <c r="J336" s="64" t="s">
        <v>511</v>
      </c>
      <c r="K336" s="67">
        <v>13091200</v>
      </c>
      <c r="L336" s="55">
        <v>6.5456000000000003</v>
      </c>
      <c r="M336" s="46">
        <v>2000000</v>
      </c>
      <c r="N336" s="48">
        <v>336</v>
      </c>
      <c r="O336" s="58">
        <v>6.5145100527892783</v>
      </c>
      <c r="P336" s="61">
        <v>-3.0291472731745553E-2</v>
      </c>
      <c r="Q336" s="13">
        <v>-263650.96830001805</v>
      </c>
      <c r="R336" s="41">
        <v>-9505.3691552215641</v>
      </c>
      <c r="S336" s="38"/>
      <c r="U336" s="51">
        <v>-117444</v>
      </c>
    </row>
    <row r="337" spans="1:21" s="7" customFormat="1" x14ac:dyDescent="0.25">
      <c r="A337" s="90">
        <v>1045270</v>
      </c>
      <c r="B337" s="45" t="s">
        <v>457</v>
      </c>
      <c r="C337" s="45"/>
      <c r="D337" s="45" t="s">
        <v>473</v>
      </c>
      <c r="E337" s="107">
        <v>44517</v>
      </c>
      <c r="F337" s="107">
        <v>44517</v>
      </c>
      <c r="G337" s="107">
        <v>44882</v>
      </c>
      <c r="H337" s="93" t="s">
        <v>511</v>
      </c>
      <c r="I337" s="64">
        <v>19672800</v>
      </c>
      <c r="J337" s="64" t="s">
        <v>4</v>
      </c>
      <c r="K337" s="66">
        <v>3000000</v>
      </c>
      <c r="L337" s="55">
        <v>6.5575999999999999</v>
      </c>
      <c r="M337" s="46">
        <v>-3000000</v>
      </c>
      <c r="N337" s="48">
        <v>339</v>
      </c>
      <c r="O337" s="58">
        <v>6.5158094615741113</v>
      </c>
      <c r="P337" s="61">
        <v>-4.0707204875406029E-2</v>
      </c>
      <c r="Q337" s="13">
        <v>531461.15132297587</v>
      </c>
      <c r="R337" s="41">
        <v>19160.689860374048</v>
      </c>
      <c r="S337" s="38"/>
      <c r="U337" s="51">
        <v>311972</v>
      </c>
    </row>
    <row r="338" spans="1:21" s="7" customFormat="1" x14ac:dyDescent="0.25">
      <c r="A338" s="90">
        <v>1045271</v>
      </c>
      <c r="B338" s="45" t="s">
        <v>457</v>
      </c>
      <c r="C338" s="45"/>
      <c r="D338" s="45" t="s">
        <v>504</v>
      </c>
      <c r="E338" s="107">
        <v>44517</v>
      </c>
      <c r="F338" s="107">
        <v>44882</v>
      </c>
      <c r="G338" s="107">
        <v>44882</v>
      </c>
      <c r="H338" s="93" t="s">
        <v>4</v>
      </c>
      <c r="I338" s="64">
        <v>3000000</v>
      </c>
      <c r="J338" s="64" t="s">
        <v>511</v>
      </c>
      <c r="K338" s="66">
        <v>19578600</v>
      </c>
      <c r="L338" s="55">
        <v>6.5262000000000002</v>
      </c>
      <c r="M338" s="46">
        <v>3000000</v>
      </c>
      <c r="N338" s="48">
        <v>339</v>
      </c>
      <c r="O338" s="58">
        <v>6.5158094615741113</v>
      </c>
      <c r="P338" s="61">
        <v>-1.012118513903652E-2</v>
      </c>
      <c r="Q338" s="13">
        <v>-132139.18084548149</v>
      </c>
      <c r="R338" s="41">
        <v>-4763.9942379259519</v>
      </c>
      <c r="S338" s="38"/>
      <c r="U338" s="51">
        <v>86280</v>
      </c>
    </row>
    <row r="339" spans="1:21" s="7" customFormat="1" x14ac:dyDescent="0.25">
      <c r="A339" s="90">
        <v>1053695</v>
      </c>
      <c r="B339" s="45" t="s">
        <v>457</v>
      </c>
      <c r="C339" s="45"/>
      <c r="D339" s="45" t="s">
        <v>473</v>
      </c>
      <c r="E339" s="107">
        <v>44529</v>
      </c>
      <c r="F339" s="107">
        <v>44529</v>
      </c>
      <c r="G339" s="107">
        <v>44896</v>
      </c>
      <c r="H339" s="93" t="s">
        <v>511</v>
      </c>
      <c r="I339" s="64">
        <v>16397500</v>
      </c>
      <c r="J339" s="64" t="s">
        <v>4</v>
      </c>
      <c r="K339" s="66">
        <v>2500000</v>
      </c>
      <c r="L339" s="55">
        <v>6.5590000000000002</v>
      </c>
      <c r="M339" s="46">
        <v>-2500000</v>
      </c>
      <c r="N339" s="48">
        <v>353</v>
      </c>
      <c r="O339" s="58">
        <v>6.5218825181878897</v>
      </c>
      <c r="P339" s="61">
        <v>-3.6113590681981451E-2</v>
      </c>
      <c r="Q339" s="13">
        <v>392906.90966126579</v>
      </c>
      <c r="R339" s="41">
        <v>14165.414388760149</v>
      </c>
      <c r="S339" s="38"/>
      <c r="U339" s="51">
        <v>211277</v>
      </c>
    </row>
    <row r="340" spans="1:21" s="7" customFormat="1" x14ac:dyDescent="0.25">
      <c r="A340" s="90">
        <v>1053697</v>
      </c>
      <c r="B340" s="45" t="s">
        <v>457</v>
      </c>
      <c r="C340" s="45"/>
      <c r="D340" s="45" t="s">
        <v>504</v>
      </c>
      <c r="E340" s="107">
        <v>44529</v>
      </c>
      <c r="F340" s="107">
        <v>44896</v>
      </c>
      <c r="G340" s="107">
        <v>44896</v>
      </c>
      <c r="H340" s="93" t="s">
        <v>4</v>
      </c>
      <c r="I340" s="64">
        <v>2500000</v>
      </c>
      <c r="J340" s="64" t="s">
        <v>511</v>
      </c>
      <c r="K340" s="66">
        <v>16321250</v>
      </c>
      <c r="L340" s="55">
        <v>6.5285000000000002</v>
      </c>
      <c r="M340" s="46">
        <v>2500000</v>
      </c>
      <c r="N340" s="48">
        <v>353</v>
      </c>
      <c r="O340" s="58">
        <v>6.5218825181878897</v>
      </c>
      <c r="P340" s="61">
        <v>-6.4385033100506006E-3</v>
      </c>
      <c r="Q340" s="13">
        <v>-70049.319124005007</v>
      </c>
      <c r="R340" s="41">
        <v>-2525.4776860439988</v>
      </c>
      <c r="S340" s="38"/>
      <c r="U340" s="51">
        <v>110723</v>
      </c>
    </row>
    <row r="341" spans="1:21" s="7" customFormat="1" x14ac:dyDescent="0.25">
      <c r="A341" s="90">
        <v>1055586</v>
      </c>
      <c r="B341" s="45" t="s">
        <v>457</v>
      </c>
      <c r="C341" s="45"/>
      <c r="D341" s="45" t="s">
        <v>473</v>
      </c>
      <c r="E341" s="107">
        <v>44531</v>
      </c>
      <c r="F341" s="107">
        <v>44531</v>
      </c>
      <c r="G341" s="107">
        <v>44900</v>
      </c>
      <c r="H341" s="93" t="s">
        <v>511</v>
      </c>
      <c r="I341" s="64">
        <v>9807000</v>
      </c>
      <c r="J341" s="64" t="s">
        <v>4</v>
      </c>
      <c r="K341" s="66">
        <v>1500000</v>
      </c>
      <c r="L341" s="55">
        <v>6.5380000000000003</v>
      </c>
      <c r="M341" s="46">
        <v>-1500000</v>
      </c>
      <c r="N341" s="48">
        <v>357</v>
      </c>
      <c r="O341" s="58">
        <v>6.5236204374565734</v>
      </c>
      <c r="P341" s="61">
        <v>-1.3986022762170846E-2</v>
      </c>
      <c r="Q341" s="13">
        <v>91298.675288111714</v>
      </c>
      <c r="R341" s="41">
        <v>3291.5775640492761</v>
      </c>
      <c r="S341" s="38"/>
      <c r="U341" s="51">
        <v>-17024</v>
      </c>
    </row>
    <row r="342" spans="1:21" s="7" customFormat="1" x14ac:dyDescent="0.25">
      <c r="A342" s="90">
        <v>1055587</v>
      </c>
      <c r="B342" s="45" t="s">
        <v>457</v>
      </c>
      <c r="C342" s="45"/>
      <c r="D342" s="45" t="s">
        <v>504</v>
      </c>
      <c r="E342" s="107">
        <v>44531</v>
      </c>
      <c r="F342" s="107">
        <v>44900</v>
      </c>
      <c r="G342" s="107">
        <v>44900</v>
      </c>
      <c r="H342" s="93" t="s">
        <v>4</v>
      </c>
      <c r="I342" s="64">
        <v>1500000</v>
      </c>
      <c r="J342" s="64" t="s">
        <v>511</v>
      </c>
      <c r="K342" s="66">
        <v>9766200</v>
      </c>
      <c r="L342" s="55">
        <v>6.5107999999999997</v>
      </c>
      <c r="M342" s="46">
        <v>1500000</v>
      </c>
      <c r="N342" s="48">
        <v>357</v>
      </c>
      <c r="O342" s="58">
        <v>6.5236204374565734</v>
      </c>
      <c r="P342" s="61">
        <v>1.246956780132309E-2</v>
      </c>
      <c r="Q342" s="13">
        <v>81399.48297205432</v>
      </c>
      <c r="R342" s="41">
        <v>2934.6834554883562</v>
      </c>
      <c r="S342" s="38"/>
      <c r="U342" s="51">
        <v>189265</v>
      </c>
    </row>
    <row r="343" spans="1:21" s="7" customFormat="1" x14ac:dyDescent="0.25">
      <c r="A343" s="90">
        <v>810414</v>
      </c>
      <c r="B343" s="45" t="s">
        <v>493</v>
      </c>
      <c r="C343" s="45"/>
      <c r="D343" s="45" t="s">
        <v>489</v>
      </c>
      <c r="E343" s="107">
        <v>44196</v>
      </c>
      <c r="F343" s="107">
        <v>44201</v>
      </c>
      <c r="G343" s="107">
        <v>44545</v>
      </c>
      <c r="H343" s="93" t="s">
        <v>3</v>
      </c>
      <c r="I343" s="64">
        <v>6642231</v>
      </c>
      <c r="J343" s="64" t="s">
        <v>4</v>
      </c>
      <c r="K343" s="66">
        <v>1000000</v>
      </c>
      <c r="L343" s="55">
        <v>6.6422309999999998</v>
      </c>
      <c r="M343" s="46">
        <v>-1000000</v>
      </c>
      <c r="N343" s="48">
        <v>2</v>
      </c>
      <c r="O343" s="58">
        <v>6.373772078483352</v>
      </c>
      <c r="P343" s="61">
        <v>-0.26844854517485295</v>
      </c>
      <c r="Q343" s="13">
        <v>1168261.436161651</v>
      </c>
      <c r="R343" s="41">
        <v>42119.15583746045</v>
      </c>
      <c r="S343" s="38"/>
      <c r="U343" s="51">
        <v>1164044</v>
      </c>
    </row>
    <row r="344" spans="1:21" s="7" customFormat="1" x14ac:dyDescent="0.25">
      <c r="A344" s="90">
        <v>898747</v>
      </c>
      <c r="B344" s="45" t="s">
        <v>493</v>
      </c>
      <c r="C344" s="45"/>
      <c r="D344" s="45" t="s">
        <v>505</v>
      </c>
      <c r="E344" s="107">
        <v>44316</v>
      </c>
      <c r="F344" s="107">
        <v>44322</v>
      </c>
      <c r="G344" s="107">
        <v>44687</v>
      </c>
      <c r="H344" s="93" t="s">
        <v>2</v>
      </c>
      <c r="I344" s="64">
        <v>324897000</v>
      </c>
      <c r="J344" s="64" t="s">
        <v>4</v>
      </c>
      <c r="K344" s="66">
        <v>3000000</v>
      </c>
      <c r="L344" s="55">
        <v>108.29900000000001</v>
      </c>
      <c r="M344" s="46">
        <v>-3000000</v>
      </c>
      <c r="N344" s="48">
        <v>144</v>
      </c>
      <c r="O344" s="58">
        <v>113.40420143257525</v>
      </c>
      <c r="P344" s="61">
        <v>5.1073460040078125</v>
      </c>
      <c r="Q344" s="13">
        <v>-3740831.9152628821</v>
      </c>
      <c r="R344" s="41">
        <v>-134867.65677926689</v>
      </c>
      <c r="S344" s="38"/>
      <c r="U344" s="51">
        <v>-3745281</v>
      </c>
    </row>
    <row r="345" spans="1:21" s="7" customFormat="1" x14ac:dyDescent="0.25">
      <c r="A345" s="90">
        <v>959065</v>
      </c>
      <c r="B345" s="45" t="s">
        <v>493</v>
      </c>
      <c r="C345" s="45"/>
      <c r="D345" s="45" t="s">
        <v>489</v>
      </c>
      <c r="E345" s="107">
        <v>44397</v>
      </c>
      <c r="F345" s="107">
        <v>44398</v>
      </c>
      <c r="G345" s="107">
        <v>44761</v>
      </c>
      <c r="H345" s="93" t="s">
        <v>3</v>
      </c>
      <c r="I345" s="64">
        <v>33294605</v>
      </c>
      <c r="J345" s="64" t="s">
        <v>4</v>
      </c>
      <c r="K345" s="66">
        <v>5000000</v>
      </c>
      <c r="L345" s="55">
        <v>6.6589210000000003</v>
      </c>
      <c r="M345" s="46">
        <v>-5000000</v>
      </c>
      <c r="N345" s="48">
        <v>218</v>
      </c>
      <c r="O345" s="58">
        <v>6.463904154042214</v>
      </c>
      <c r="P345" s="61">
        <v>-0.19184621248426767</v>
      </c>
      <c r="Q345" s="13">
        <v>4174478.4195619286</v>
      </c>
      <c r="R345" s="41">
        <v>150501.84971552523</v>
      </c>
      <c r="S345" s="38"/>
      <c r="U345" s="51">
        <v>4066016</v>
      </c>
    </row>
    <row r="346" spans="1:21" s="7" customFormat="1" x14ac:dyDescent="0.25">
      <c r="A346" s="90">
        <v>959114</v>
      </c>
      <c r="B346" s="45" t="s">
        <v>493</v>
      </c>
      <c r="C346" s="45"/>
      <c r="D346" s="45" t="s">
        <v>505</v>
      </c>
      <c r="E346" s="107">
        <v>44397</v>
      </c>
      <c r="F346" s="107">
        <v>44399</v>
      </c>
      <c r="G346" s="107">
        <v>44641</v>
      </c>
      <c r="H346" s="93" t="s">
        <v>3</v>
      </c>
      <c r="I346" s="64">
        <v>19834650</v>
      </c>
      <c r="J346" s="64" t="s">
        <v>4</v>
      </c>
      <c r="K346" s="66">
        <v>3000000</v>
      </c>
      <c r="L346" s="55">
        <v>6.6115500000000003</v>
      </c>
      <c r="M346" s="46">
        <v>-3000000</v>
      </c>
      <c r="N346" s="48">
        <v>98</v>
      </c>
      <c r="O346" s="58">
        <v>6.4126265667585889</v>
      </c>
      <c r="P346" s="61">
        <v>-0.19753376516046137</v>
      </c>
      <c r="Q346" s="13">
        <v>2578942.0467129042</v>
      </c>
      <c r="R346" s="41">
        <v>92978.21412145799</v>
      </c>
      <c r="S346" s="38"/>
      <c r="U346" s="51">
        <v>2528249</v>
      </c>
    </row>
    <row r="347" spans="1:21" s="7" customFormat="1" x14ac:dyDescent="0.25">
      <c r="A347" s="90">
        <v>959128</v>
      </c>
      <c r="B347" s="45" t="s">
        <v>493</v>
      </c>
      <c r="C347" s="45"/>
      <c r="D347" s="45" t="s">
        <v>505</v>
      </c>
      <c r="E347" s="107">
        <v>44397</v>
      </c>
      <c r="F347" s="107">
        <v>44399</v>
      </c>
      <c r="G347" s="107">
        <v>44704</v>
      </c>
      <c r="H347" s="93" t="s">
        <v>3</v>
      </c>
      <c r="I347" s="64">
        <v>13277818</v>
      </c>
      <c r="J347" s="64" t="s">
        <v>4</v>
      </c>
      <c r="K347" s="66">
        <v>2000000</v>
      </c>
      <c r="L347" s="55">
        <v>6.6389089999999999</v>
      </c>
      <c r="M347" s="46">
        <v>-2000000</v>
      </c>
      <c r="N347" s="48">
        <v>161</v>
      </c>
      <c r="O347" s="58">
        <v>6.4394744387815051</v>
      </c>
      <c r="P347" s="61">
        <v>-0.19708509682722233</v>
      </c>
      <c r="Q347" s="13">
        <v>1715389.5776597215</v>
      </c>
      <c r="R347" s="41">
        <v>61844.685364935736</v>
      </c>
      <c r="S347" s="38"/>
      <c r="U347" s="51">
        <v>1675040</v>
      </c>
    </row>
    <row r="348" spans="1:21" s="7" customFormat="1" x14ac:dyDescent="0.25">
      <c r="A348" s="90">
        <v>965665</v>
      </c>
      <c r="B348" s="45" t="s">
        <v>493</v>
      </c>
      <c r="C348" s="45"/>
      <c r="D348" s="45" t="s">
        <v>473</v>
      </c>
      <c r="E348" s="107">
        <v>44405</v>
      </c>
      <c r="F348" s="107">
        <v>44406</v>
      </c>
      <c r="G348" s="107">
        <v>44771</v>
      </c>
      <c r="H348" s="93" t="s">
        <v>3</v>
      </c>
      <c r="I348" s="64">
        <v>13403200</v>
      </c>
      <c r="J348" s="64" t="s">
        <v>4</v>
      </c>
      <c r="K348" s="66">
        <v>2000000</v>
      </c>
      <c r="L348" s="55">
        <v>6.7016</v>
      </c>
      <c r="M348" s="46">
        <v>-2000000</v>
      </c>
      <c r="N348" s="48">
        <v>228</v>
      </c>
      <c r="O348" s="58">
        <v>6.4681542116806519</v>
      </c>
      <c r="P348" s="61">
        <v>-0.22946451130405887</v>
      </c>
      <c r="Q348" s="13">
        <v>1997213.5766249124</v>
      </c>
      <c r="R348" s="41">
        <v>72005.244092399123</v>
      </c>
      <c r="S348" s="38"/>
      <c r="U348" s="51">
        <v>1952944</v>
      </c>
    </row>
    <row r="349" spans="1:21" s="7" customFormat="1" x14ac:dyDescent="0.25">
      <c r="A349" s="90">
        <v>965672</v>
      </c>
      <c r="B349" s="45" t="s">
        <v>493</v>
      </c>
      <c r="C349" s="45"/>
      <c r="D349" s="45" t="s">
        <v>473</v>
      </c>
      <c r="E349" s="107">
        <v>44405</v>
      </c>
      <c r="F349" s="107">
        <v>44406</v>
      </c>
      <c r="G349" s="107">
        <v>44771</v>
      </c>
      <c r="H349" s="93" t="s">
        <v>3</v>
      </c>
      <c r="I349" s="64">
        <v>53612160</v>
      </c>
      <c r="J349" s="64" t="s">
        <v>4</v>
      </c>
      <c r="K349" s="66">
        <v>8000000</v>
      </c>
      <c r="L349" s="55">
        <v>6.7015200000000004</v>
      </c>
      <c r="M349" s="46">
        <v>-8000000</v>
      </c>
      <c r="N349" s="48">
        <v>228</v>
      </c>
      <c r="O349" s="58">
        <v>6.4681542116806519</v>
      </c>
      <c r="P349" s="61">
        <v>-0.2293858756557724</v>
      </c>
      <c r="Q349" s="13">
        <v>7986116.590179652</v>
      </c>
      <c r="R349" s="41">
        <v>287922.27389021002</v>
      </c>
      <c r="S349" s="38"/>
      <c r="U349" s="51">
        <v>7809041</v>
      </c>
    </row>
    <row r="350" spans="1:21" s="7" customFormat="1" x14ac:dyDescent="0.25">
      <c r="A350" s="90">
        <v>991094</v>
      </c>
      <c r="B350" s="45" t="s">
        <v>493</v>
      </c>
      <c r="C350" s="45"/>
      <c r="D350" s="45" t="s">
        <v>489</v>
      </c>
      <c r="E350" s="107">
        <v>44439</v>
      </c>
      <c r="F350" s="107">
        <v>44441</v>
      </c>
      <c r="G350" s="107">
        <v>44771</v>
      </c>
      <c r="H350" s="93" t="s">
        <v>4</v>
      </c>
      <c r="I350" s="64">
        <v>5000000</v>
      </c>
      <c r="J350" s="64" t="s">
        <v>3</v>
      </c>
      <c r="K350" s="66">
        <v>33075085</v>
      </c>
      <c r="L350" s="55">
        <v>6.6150169999999999</v>
      </c>
      <c r="M350" s="46">
        <v>5000000</v>
      </c>
      <c r="N350" s="48">
        <v>228</v>
      </c>
      <c r="O350" s="58">
        <v>6.4681542116806519</v>
      </c>
      <c r="P350" s="61">
        <v>-0.14435813210881385</v>
      </c>
      <c r="Q350" s="13">
        <v>-3141161.3467528382</v>
      </c>
      <c r="R350" s="41">
        <v>-113247.8229437878</v>
      </c>
      <c r="S350" s="38"/>
      <c r="U350" s="51">
        <v>-3032029</v>
      </c>
    </row>
    <row r="351" spans="1:21" s="7" customFormat="1" x14ac:dyDescent="0.25">
      <c r="A351" s="88">
        <v>991101</v>
      </c>
      <c r="B351" s="45" t="s">
        <v>493</v>
      </c>
      <c r="C351" s="45"/>
      <c r="D351" s="39" t="s">
        <v>473</v>
      </c>
      <c r="E351" s="108">
        <v>44439</v>
      </c>
      <c r="F351" s="108">
        <v>44441</v>
      </c>
      <c r="G351" s="108">
        <v>44771</v>
      </c>
      <c r="H351" s="94" t="s">
        <v>4</v>
      </c>
      <c r="I351" s="65">
        <v>5000000</v>
      </c>
      <c r="J351" s="65" t="s">
        <v>3</v>
      </c>
      <c r="K351" s="67">
        <v>33070100</v>
      </c>
      <c r="L351" s="55">
        <v>6.61402</v>
      </c>
      <c r="M351" s="46">
        <v>5000000</v>
      </c>
      <c r="N351" s="48">
        <v>228</v>
      </c>
      <c r="O351" s="58">
        <v>6.4681542116806519</v>
      </c>
      <c r="P351" s="61">
        <v>-0.14337813534203916</v>
      </c>
      <c r="Q351" s="13">
        <v>-3119837.1032289956</v>
      </c>
      <c r="R351" s="41">
        <v>-112479.02316293772</v>
      </c>
      <c r="S351" s="38"/>
      <c r="U351" s="51">
        <v>-3010722</v>
      </c>
    </row>
    <row r="352" spans="1:21" s="7" customFormat="1" x14ac:dyDescent="0.25">
      <c r="A352" s="88">
        <v>1003618</v>
      </c>
      <c r="B352" s="45" t="s">
        <v>493</v>
      </c>
      <c r="C352" s="45"/>
      <c r="D352" s="39" t="s">
        <v>489</v>
      </c>
      <c r="E352" s="108">
        <v>44455</v>
      </c>
      <c r="F352" s="108">
        <v>44455</v>
      </c>
      <c r="G352" s="108">
        <v>44546</v>
      </c>
      <c r="H352" s="94" t="s">
        <v>3</v>
      </c>
      <c r="I352" s="65">
        <v>32370430</v>
      </c>
      <c r="J352" s="65" t="s">
        <v>4</v>
      </c>
      <c r="K352" s="67">
        <v>5000000</v>
      </c>
      <c r="L352" s="55">
        <v>6.4740859999999998</v>
      </c>
      <c r="M352" s="46">
        <v>-5000000</v>
      </c>
      <c r="N352" s="48">
        <v>3</v>
      </c>
      <c r="O352" s="58">
        <v>6.3739083336789131</v>
      </c>
      <c r="P352" s="61">
        <v>-0.10017144305109807</v>
      </c>
      <c r="Q352" s="13">
        <v>2179680.9113835231</v>
      </c>
      <c r="R352" s="41">
        <v>78583.711779558638</v>
      </c>
      <c r="S352" s="38"/>
      <c r="U352" s="51">
        <v>2154989</v>
      </c>
    </row>
    <row r="353" spans="1:21" s="7" customFormat="1" x14ac:dyDescent="0.25">
      <c r="A353" s="88">
        <v>1017492</v>
      </c>
      <c r="B353" s="45" t="s">
        <v>493</v>
      </c>
      <c r="C353" s="45"/>
      <c r="D353" s="39" t="s">
        <v>473</v>
      </c>
      <c r="E353" s="108">
        <v>44477</v>
      </c>
      <c r="F353" s="108">
        <v>44477</v>
      </c>
      <c r="G353" s="108">
        <v>44543</v>
      </c>
      <c r="H353" s="94" t="s">
        <v>3</v>
      </c>
      <c r="I353" s="65">
        <v>50000000</v>
      </c>
      <c r="J353" s="65" t="s">
        <v>4</v>
      </c>
      <c r="K353" s="67">
        <v>7710433.1413000003</v>
      </c>
      <c r="L353" s="55">
        <v>6.484719999993394</v>
      </c>
      <c r="M353" s="46">
        <v>-7710433.1413000003</v>
      </c>
      <c r="N353" s="48">
        <v>0</v>
      </c>
      <c r="O353" s="58">
        <v>6.3735499878204322</v>
      </c>
      <c r="P353" s="61">
        <v>-0.11117001217296174</v>
      </c>
      <c r="Q353" s="13">
        <v>3730314.2151200892</v>
      </c>
      <c r="R353" s="41">
        <v>134488.46370000078</v>
      </c>
      <c r="S353" s="38"/>
      <c r="U353" s="51">
        <v>3701269</v>
      </c>
    </row>
    <row r="354" spans="1:21" s="7" customFormat="1" x14ac:dyDescent="0.25">
      <c r="A354" s="88">
        <v>1024740</v>
      </c>
      <c r="B354" s="45" t="s">
        <v>493</v>
      </c>
      <c r="C354" s="45"/>
      <c r="D354" s="39" t="s">
        <v>489</v>
      </c>
      <c r="E354" s="108">
        <v>44489</v>
      </c>
      <c r="F354" s="108">
        <v>44489</v>
      </c>
      <c r="G354" s="108">
        <v>44550</v>
      </c>
      <c r="H354" s="94" t="s">
        <v>4</v>
      </c>
      <c r="I354" s="65">
        <v>10000000</v>
      </c>
      <c r="J354" s="65" t="s">
        <v>1</v>
      </c>
      <c r="K354" s="67">
        <v>77740210</v>
      </c>
      <c r="L354" s="55">
        <v>7.7740210000000003</v>
      </c>
      <c r="M354" s="46">
        <v>10000000</v>
      </c>
      <c r="N354" s="48">
        <v>7</v>
      </c>
      <c r="O354" s="58">
        <v>7.7997347105016503</v>
      </c>
      <c r="P354" s="61">
        <v>2.571352244964676E-2</v>
      </c>
      <c r="Q354" s="13">
        <v>914404.90229336231</v>
      </c>
      <c r="R354" s="41">
        <v>32966.90397037362</v>
      </c>
      <c r="S354" s="38"/>
      <c r="U354" s="51">
        <v>911821</v>
      </c>
    </row>
    <row r="355" spans="1:21" s="7" customFormat="1" x14ac:dyDescent="0.25">
      <c r="A355" s="88">
        <v>1027715</v>
      </c>
      <c r="B355" s="45" t="s">
        <v>493</v>
      </c>
      <c r="C355" s="45"/>
      <c r="D355" s="39" t="s">
        <v>506</v>
      </c>
      <c r="E355" s="108">
        <v>44494</v>
      </c>
      <c r="F355" s="108">
        <v>44495</v>
      </c>
      <c r="G355" s="108">
        <v>44585</v>
      </c>
      <c r="H355" s="94" t="s">
        <v>4</v>
      </c>
      <c r="I355" s="65">
        <v>5608425</v>
      </c>
      <c r="J355" s="65" t="s">
        <v>6</v>
      </c>
      <c r="K355" s="67">
        <v>7500000</v>
      </c>
      <c r="L355" s="55">
        <v>1.3372738335628986</v>
      </c>
      <c r="M355" s="46">
        <v>5608425</v>
      </c>
      <c r="N355" s="48">
        <v>42</v>
      </c>
      <c r="O355" s="58">
        <v>1.3982226155701505</v>
      </c>
      <c r="P355" s="61">
        <v>6.0956895670878364E-2</v>
      </c>
      <c r="Q355" s="13">
        <v>6779945.0461298646</v>
      </c>
      <c r="R355" s="41">
        <v>244436.35057029166</v>
      </c>
      <c r="S355" s="38"/>
      <c r="U355" s="51">
        <v>6775019</v>
      </c>
    </row>
    <row r="356" spans="1:21" s="7" customFormat="1" x14ac:dyDescent="0.25">
      <c r="A356" s="88">
        <v>1027722</v>
      </c>
      <c r="B356" s="45" t="s">
        <v>493</v>
      </c>
      <c r="C356" s="45"/>
      <c r="D356" s="39" t="s">
        <v>507</v>
      </c>
      <c r="E356" s="108">
        <v>44494</v>
      </c>
      <c r="F356" s="108">
        <v>44495</v>
      </c>
      <c r="G356" s="108">
        <v>44579</v>
      </c>
      <c r="H356" s="94" t="s">
        <v>4</v>
      </c>
      <c r="I356" s="65">
        <v>4490284.2</v>
      </c>
      <c r="J356" s="65" t="s">
        <v>6</v>
      </c>
      <c r="K356" s="67">
        <v>6000000</v>
      </c>
      <c r="L356" s="55">
        <v>1.3362183177626039</v>
      </c>
      <c r="M356" s="46">
        <v>4490284.2</v>
      </c>
      <c r="N356" s="48">
        <v>36</v>
      </c>
      <c r="O356" s="58">
        <v>1.3982570008540072</v>
      </c>
      <c r="P356" s="61">
        <v>6.204650887635426E-2</v>
      </c>
      <c r="Q356" s="13">
        <v>5525271.1442792006</v>
      </c>
      <c r="R356" s="41">
        <v>199201.77895687887</v>
      </c>
      <c r="S356" s="38"/>
      <c r="U356" s="51">
        <v>5520410</v>
      </c>
    </row>
    <row r="357" spans="1:21" s="7" customFormat="1" x14ac:dyDescent="0.25">
      <c r="A357" s="88">
        <v>1031380</v>
      </c>
      <c r="B357" s="45" t="s">
        <v>493</v>
      </c>
      <c r="C357" s="45"/>
      <c r="D357" s="39" t="s">
        <v>507</v>
      </c>
      <c r="E357" s="108">
        <v>44498</v>
      </c>
      <c r="F357" s="108">
        <v>44501</v>
      </c>
      <c r="G357" s="108">
        <v>44687</v>
      </c>
      <c r="H357" s="94" t="s">
        <v>4</v>
      </c>
      <c r="I357" s="65">
        <v>3000000</v>
      </c>
      <c r="J357" s="65" t="s">
        <v>2</v>
      </c>
      <c r="K357" s="67">
        <v>339731970</v>
      </c>
      <c r="L357" s="55">
        <v>113.24399</v>
      </c>
      <c r="M357" s="46">
        <v>3000000</v>
      </c>
      <c r="N357" s="48">
        <v>144</v>
      </c>
      <c r="O357" s="58">
        <v>113.40420143257525</v>
      </c>
      <c r="P357" s="61">
        <v>0.16027873351646102</v>
      </c>
      <c r="Q357" s="13">
        <v>117394.78805739729</v>
      </c>
      <c r="R357" s="41">
        <v>4232.4168372283602</v>
      </c>
      <c r="S357" s="38"/>
      <c r="U357" s="51">
        <v>121803</v>
      </c>
    </row>
    <row r="358" spans="1:21" s="7" customFormat="1" x14ac:dyDescent="0.25">
      <c r="A358" s="88">
        <v>1031403</v>
      </c>
      <c r="B358" s="45" t="s">
        <v>493</v>
      </c>
      <c r="C358" s="45"/>
      <c r="D358" s="39" t="s">
        <v>497</v>
      </c>
      <c r="E358" s="108">
        <v>44498</v>
      </c>
      <c r="F358" s="108">
        <v>44498</v>
      </c>
      <c r="G358" s="108">
        <v>44565</v>
      </c>
      <c r="H358" s="94" t="s">
        <v>3</v>
      </c>
      <c r="I358" s="65">
        <v>32097400</v>
      </c>
      <c r="J358" s="65" t="s">
        <v>4</v>
      </c>
      <c r="K358" s="67">
        <v>5000000</v>
      </c>
      <c r="L358" s="55">
        <v>6.4194800000000001</v>
      </c>
      <c r="M358" s="46">
        <v>-5000000</v>
      </c>
      <c r="N358" s="48">
        <v>22</v>
      </c>
      <c r="O358" s="58">
        <v>6.3796901360201304</v>
      </c>
      <c r="P358" s="61">
        <v>-3.9748789016508052E-2</v>
      </c>
      <c r="Q358" s="13">
        <v>864913.93186477525</v>
      </c>
      <c r="R358" s="41">
        <v>31182.613372819073</v>
      </c>
      <c r="S358" s="38"/>
      <c r="U358" s="51">
        <v>789888</v>
      </c>
    </row>
    <row r="359" spans="1:21" s="7" customFormat="1" x14ac:dyDescent="0.25">
      <c r="A359" s="88">
        <v>1031408</v>
      </c>
      <c r="B359" s="45" t="s">
        <v>493</v>
      </c>
      <c r="C359" s="45"/>
      <c r="D359" s="39" t="s">
        <v>497</v>
      </c>
      <c r="E359" s="108">
        <v>44498</v>
      </c>
      <c r="F359" s="108">
        <v>44498</v>
      </c>
      <c r="G359" s="108">
        <v>44599</v>
      </c>
      <c r="H359" s="94" t="s">
        <v>3</v>
      </c>
      <c r="I359" s="65">
        <v>32191200</v>
      </c>
      <c r="J359" s="65" t="s">
        <v>4</v>
      </c>
      <c r="K359" s="67">
        <v>5000000</v>
      </c>
      <c r="L359" s="55">
        <v>6.4382400000000004</v>
      </c>
      <c r="M359" s="46">
        <v>-5000000</v>
      </c>
      <c r="N359" s="48">
        <v>56</v>
      </c>
      <c r="O359" s="58">
        <v>6.3952404241652623</v>
      </c>
      <c r="P359" s="61">
        <v>-4.2845864831249074E-2</v>
      </c>
      <c r="Q359" s="13">
        <v>932304.76530874427</v>
      </c>
      <c r="R359" s="41">
        <v>33612.245069957557</v>
      </c>
      <c r="S359" s="38"/>
      <c r="U359" s="51">
        <v>865638</v>
      </c>
    </row>
    <row r="360" spans="1:21" s="7" customFormat="1" x14ac:dyDescent="0.25">
      <c r="A360" s="88">
        <v>1032424</v>
      </c>
      <c r="B360" s="45" t="s">
        <v>493</v>
      </c>
      <c r="C360" s="45"/>
      <c r="D360" s="39" t="s">
        <v>497</v>
      </c>
      <c r="E360" s="108">
        <v>44501</v>
      </c>
      <c r="F360" s="108">
        <v>44501</v>
      </c>
      <c r="G360" s="108">
        <v>44559</v>
      </c>
      <c r="H360" s="94" t="s">
        <v>4</v>
      </c>
      <c r="I360" s="65">
        <v>2000000</v>
      </c>
      <c r="J360" s="65" t="s">
        <v>7</v>
      </c>
      <c r="K360" s="67">
        <v>2477956</v>
      </c>
      <c r="L360" s="55">
        <v>1.2389779999999999</v>
      </c>
      <c r="M360" s="46">
        <v>2000000</v>
      </c>
      <c r="N360" s="48">
        <v>16</v>
      </c>
      <c r="O360" s="58">
        <v>1.2712806293041579</v>
      </c>
      <c r="P360" s="61">
        <v>3.2302476973757523E-2</v>
      </c>
      <c r="Q360" s="13">
        <v>1409507.5164869775</v>
      </c>
      <c r="R360" s="41">
        <v>50816.764898137291</v>
      </c>
      <c r="S360" s="38"/>
      <c r="U360" s="51">
        <v>1414159</v>
      </c>
    </row>
    <row r="361" spans="1:21" s="7" customFormat="1" x14ac:dyDescent="0.25">
      <c r="A361" s="88">
        <v>1032426</v>
      </c>
      <c r="B361" s="45" t="s">
        <v>493</v>
      </c>
      <c r="C361" s="45"/>
      <c r="D361" s="39" t="s">
        <v>507</v>
      </c>
      <c r="E361" s="108">
        <v>44501</v>
      </c>
      <c r="F361" s="108">
        <v>44504</v>
      </c>
      <c r="G361" s="108">
        <v>44565</v>
      </c>
      <c r="H361" s="94" t="s">
        <v>2</v>
      </c>
      <c r="I361" s="65">
        <v>113997200</v>
      </c>
      <c r="J361" s="65" t="s">
        <v>4</v>
      </c>
      <c r="K361" s="67">
        <v>1000000</v>
      </c>
      <c r="L361" s="55">
        <v>113.99720000000001</v>
      </c>
      <c r="M361" s="46">
        <v>-1000000</v>
      </c>
      <c r="N361" s="48">
        <v>22</v>
      </c>
      <c r="O361" s="58">
        <v>113.57722743044489</v>
      </c>
      <c r="P361" s="61">
        <v>-0.42005680291088621</v>
      </c>
      <c r="Q361" s="13">
        <v>102555.67133557964</v>
      </c>
      <c r="R361" s="41">
        <v>3697.4243686333248</v>
      </c>
      <c r="S361" s="38"/>
      <c r="U361" s="51">
        <v>108823</v>
      </c>
    </row>
    <row r="362" spans="1:21" s="7" customFormat="1" x14ac:dyDescent="0.25">
      <c r="A362" s="88">
        <v>1035999</v>
      </c>
      <c r="B362" s="45" t="s">
        <v>493</v>
      </c>
      <c r="C362" s="45"/>
      <c r="D362" s="39" t="s">
        <v>489</v>
      </c>
      <c r="E362" s="108">
        <v>44504</v>
      </c>
      <c r="F362" s="108">
        <v>44508</v>
      </c>
      <c r="G362" s="108">
        <v>44600</v>
      </c>
      <c r="H362" s="94" t="s">
        <v>4</v>
      </c>
      <c r="I362" s="65">
        <v>1491454.4</v>
      </c>
      <c r="J362" s="65" t="s">
        <v>6</v>
      </c>
      <c r="K362" s="67">
        <v>2000000</v>
      </c>
      <c r="L362" s="55">
        <v>1.340972945602628</v>
      </c>
      <c r="M362" s="46">
        <v>1491454.4</v>
      </c>
      <c r="N362" s="48">
        <v>57</v>
      </c>
      <c r="O362" s="58">
        <v>1.3981681025298929</v>
      </c>
      <c r="P362" s="61">
        <v>5.7202764486860805E-2</v>
      </c>
      <c r="Q362" s="13">
        <v>1691957.356397615</v>
      </c>
      <c r="R362" s="41">
        <v>60999.88697614432</v>
      </c>
      <c r="S362" s="38"/>
      <c r="U362" s="51">
        <v>1691530</v>
      </c>
    </row>
    <row r="363" spans="1:21" s="7" customFormat="1" x14ac:dyDescent="0.25">
      <c r="A363" s="90">
        <v>1039419</v>
      </c>
      <c r="B363" s="45" t="s">
        <v>493</v>
      </c>
      <c r="C363" s="45"/>
      <c r="D363" s="45" t="s">
        <v>489</v>
      </c>
      <c r="E363" s="107">
        <v>44509</v>
      </c>
      <c r="F363" s="107">
        <v>44510</v>
      </c>
      <c r="G363" s="107">
        <v>44545</v>
      </c>
      <c r="H363" s="93" t="s">
        <v>4</v>
      </c>
      <c r="I363" s="64">
        <v>12839230.113500001</v>
      </c>
      <c r="J363" s="64" t="s">
        <v>1</v>
      </c>
      <c r="K363" s="66">
        <v>100000000</v>
      </c>
      <c r="L363" s="55">
        <v>7.7886290000249705</v>
      </c>
      <c r="M363" s="46">
        <v>12839230.113500001</v>
      </c>
      <c r="N363" s="48">
        <v>2</v>
      </c>
      <c r="O363" s="58">
        <v>7.7997811869155793</v>
      </c>
      <c r="P363" s="61">
        <v>1.1152169896039781E-2</v>
      </c>
      <c r="Q363" s="13">
        <v>509184.68352507654</v>
      </c>
      <c r="R363" s="41">
        <v>18357.559679367143</v>
      </c>
      <c r="S363" s="38"/>
      <c r="U363" s="51">
        <v>507006</v>
      </c>
    </row>
    <row r="364" spans="1:21" s="7" customFormat="1" x14ac:dyDescent="0.25">
      <c r="A364" s="90">
        <v>1039433</v>
      </c>
      <c r="B364" s="45" t="s">
        <v>493</v>
      </c>
      <c r="C364" s="45"/>
      <c r="D364" s="45" t="s">
        <v>489</v>
      </c>
      <c r="E364" s="107">
        <v>44509</v>
      </c>
      <c r="F364" s="107">
        <v>44512</v>
      </c>
      <c r="G364" s="107">
        <v>44543</v>
      </c>
      <c r="H364" s="93" t="s">
        <v>4</v>
      </c>
      <c r="I364" s="64">
        <v>12839131.206800001</v>
      </c>
      <c r="J364" s="64" t="s">
        <v>1</v>
      </c>
      <c r="K364" s="66">
        <v>100000000</v>
      </c>
      <c r="L364" s="55">
        <v>7.7886890000031244</v>
      </c>
      <c r="M364" s="46">
        <v>12839131.206800001</v>
      </c>
      <c r="N364" s="48">
        <v>0</v>
      </c>
      <c r="O364" s="58">
        <v>7.7997989962159444</v>
      </c>
      <c r="P364" s="61">
        <v>1.110999621282005E-2</v>
      </c>
      <c r="Q364" s="13">
        <v>507255.21395865129</v>
      </c>
      <c r="R364" s="41">
        <v>18287.996800000939</v>
      </c>
      <c r="S364" s="38"/>
      <c r="U364" s="51">
        <v>505883</v>
      </c>
    </row>
    <row r="365" spans="1:21" s="7" customFormat="1" x14ac:dyDescent="0.25">
      <c r="A365" s="90">
        <v>1040383</v>
      </c>
      <c r="B365" s="45" t="s">
        <v>493</v>
      </c>
      <c r="C365" s="45"/>
      <c r="D365" s="45" t="s">
        <v>489</v>
      </c>
      <c r="E365" s="107">
        <v>44510</v>
      </c>
      <c r="F365" s="107">
        <v>44512</v>
      </c>
      <c r="G365" s="107">
        <v>44558</v>
      </c>
      <c r="H365" s="93" t="s">
        <v>4</v>
      </c>
      <c r="I365" s="64">
        <v>10000000</v>
      </c>
      <c r="J365" s="64" t="s">
        <v>1</v>
      </c>
      <c r="K365" s="66">
        <v>77883320</v>
      </c>
      <c r="L365" s="55">
        <v>7.7883319999999996</v>
      </c>
      <c r="M365" s="46">
        <v>10000000</v>
      </c>
      <c r="N365" s="48">
        <v>15</v>
      </c>
      <c r="O365" s="58">
        <v>7.7996545457167681</v>
      </c>
      <c r="P365" s="61">
        <v>1.1322291426597636E-2</v>
      </c>
      <c r="Q365" s="13">
        <v>402634.79287790897</v>
      </c>
      <c r="R365" s="41">
        <v>14516.132315833551</v>
      </c>
      <c r="S365" s="38"/>
      <c r="U365" s="51">
        <v>398919</v>
      </c>
    </row>
    <row r="366" spans="1:21" s="7" customFormat="1" x14ac:dyDescent="0.25">
      <c r="A366" s="90">
        <v>1040389</v>
      </c>
      <c r="B366" s="45" t="s">
        <v>493</v>
      </c>
      <c r="C366" s="45"/>
      <c r="D366" s="45" t="s">
        <v>489</v>
      </c>
      <c r="E366" s="107">
        <v>44510</v>
      </c>
      <c r="F366" s="107">
        <v>44512</v>
      </c>
      <c r="G366" s="107">
        <v>44553</v>
      </c>
      <c r="H366" s="93" t="s">
        <v>4</v>
      </c>
      <c r="I366" s="64">
        <v>10000000</v>
      </c>
      <c r="J366" s="64" t="s">
        <v>1</v>
      </c>
      <c r="K366" s="66">
        <v>77884440</v>
      </c>
      <c r="L366" s="55">
        <v>7.7884440000000001</v>
      </c>
      <c r="M366" s="46">
        <v>10000000</v>
      </c>
      <c r="N366" s="48">
        <v>10</v>
      </c>
      <c r="O366" s="58">
        <v>7.7997054855159851</v>
      </c>
      <c r="P366" s="61">
        <v>1.1261348751524828E-2</v>
      </c>
      <c r="Q366" s="13">
        <v>400467.59540605062</v>
      </c>
      <c r="R366" s="41">
        <v>14437.998667642905</v>
      </c>
      <c r="S366" s="38"/>
      <c r="U366" s="51">
        <v>397233</v>
      </c>
    </row>
    <row r="367" spans="1:21" s="7" customFormat="1" x14ac:dyDescent="0.25">
      <c r="A367" s="90">
        <v>1042188</v>
      </c>
      <c r="B367" s="45" t="s">
        <v>493</v>
      </c>
      <c r="C367" s="45"/>
      <c r="D367" s="45" t="s">
        <v>489</v>
      </c>
      <c r="E367" s="107">
        <v>44512</v>
      </c>
      <c r="F367" s="107">
        <v>44512</v>
      </c>
      <c r="G367" s="107">
        <v>44545</v>
      </c>
      <c r="H367" s="93" t="s">
        <v>3</v>
      </c>
      <c r="I367" s="64">
        <v>64051790</v>
      </c>
      <c r="J367" s="64" t="s">
        <v>4</v>
      </c>
      <c r="K367" s="66">
        <v>10000000</v>
      </c>
      <c r="L367" s="55">
        <v>6.4051790000000004</v>
      </c>
      <c r="M367" s="46">
        <v>-10000000</v>
      </c>
      <c r="N367" s="48">
        <v>2</v>
      </c>
      <c r="O367" s="58">
        <v>6.373772078483352</v>
      </c>
      <c r="P367" s="61">
        <v>-3.1405707591811979E-2</v>
      </c>
      <c r="Q367" s="13">
        <v>1366745.2371919241</v>
      </c>
      <c r="R367" s="41">
        <v>49275.062801463668</v>
      </c>
      <c r="S367" s="38"/>
      <c r="U367" s="51">
        <v>1326160</v>
      </c>
    </row>
    <row r="368" spans="1:21" s="7" customFormat="1" x14ac:dyDescent="0.25">
      <c r="A368" s="90">
        <v>1043186</v>
      </c>
      <c r="B368" s="45" t="s">
        <v>493</v>
      </c>
      <c r="C368" s="45"/>
      <c r="D368" s="45" t="s">
        <v>489</v>
      </c>
      <c r="E368" s="107">
        <v>44515</v>
      </c>
      <c r="F368" s="107">
        <v>44515</v>
      </c>
      <c r="G368" s="107">
        <v>44559</v>
      </c>
      <c r="H368" s="93" t="s">
        <v>4</v>
      </c>
      <c r="I368" s="64">
        <v>20000000</v>
      </c>
      <c r="J368" s="64" t="s">
        <v>1</v>
      </c>
      <c r="K368" s="66">
        <v>155831320</v>
      </c>
      <c r="L368" s="55">
        <v>7.7915660000000004</v>
      </c>
      <c r="M368" s="46">
        <v>20000000</v>
      </c>
      <c r="N368" s="48">
        <v>16</v>
      </c>
      <c r="O368" s="58">
        <v>7.7996440230782795</v>
      </c>
      <c r="P368" s="61">
        <v>8.077822250927914E-3</v>
      </c>
      <c r="Q368" s="13">
        <v>574514.85151964135</v>
      </c>
      <c r="R368" s="41">
        <v>20712.898511479209</v>
      </c>
      <c r="S368" s="38"/>
      <c r="U368" s="51">
        <v>560099</v>
      </c>
    </row>
    <row r="369" spans="1:21" s="7" customFormat="1" x14ac:dyDescent="0.25">
      <c r="A369" s="90">
        <v>1043367</v>
      </c>
      <c r="B369" s="45" t="s">
        <v>493</v>
      </c>
      <c r="C369" s="45"/>
      <c r="D369" s="45" t="s">
        <v>489</v>
      </c>
      <c r="E369" s="107">
        <v>44515</v>
      </c>
      <c r="F369" s="107">
        <v>44515</v>
      </c>
      <c r="G369" s="107">
        <v>44560</v>
      </c>
      <c r="H369" s="93" t="s">
        <v>4</v>
      </c>
      <c r="I369" s="64">
        <v>25668850.0163</v>
      </c>
      <c r="J369" s="64" t="s">
        <v>1</v>
      </c>
      <c r="K369" s="66">
        <v>200000000</v>
      </c>
      <c r="L369" s="55">
        <v>7.7915449999901751</v>
      </c>
      <c r="M369" s="46">
        <v>25668850.0163</v>
      </c>
      <c r="N369" s="48">
        <v>17</v>
      </c>
      <c r="O369" s="58">
        <v>7.799633388892361</v>
      </c>
      <c r="P369" s="61">
        <v>8.0881674722475972E-3</v>
      </c>
      <c r="Q369" s="13">
        <v>738301.10644921521</v>
      </c>
      <c r="R369" s="41">
        <v>26617.860005439026</v>
      </c>
      <c r="S369" s="38"/>
      <c r="U369" s="51">
        <v>713847</v>
      </c>
    </row>
    <row r="370" spans="1:21" s="7" customFormat="1" x14ac:dyDescent="0.25">
      <c r="A370" s="90">
        <v>1044339</v>
      </c>
      <c r="B370" s="45" t="s">
        <v>493</v>
      </c>
      <c r="C370" s="45"/>
      <c r="D370" s="45" t="s">
        <v>489</v>
      </c>
      <c r="E370" s="107">
        <v>44516</v>
      </c>
      <c r="F370" s="107">
        <v>44518</v>
      </c>
      <c r="G370" s="107">
        <v>44610</v>
      </c>
      <c r="H370" s="93" t="s">
        <v>4</v>
      </c>
      <c r="I370" s="64">
        <v>10318868</v>
      </c>
      <c r="J370" s="64" t="s">
        <v>6</v>
      </c>
      <c r="K370" s="66">
        <v>14000000</v>
      </c>
      <c r="L370" s="55">
        <v>1.3567379677693328</v>
      </c>
      <c r="M370" s="46">
        <v>10318868</v>
      </c>
      <c r="N370" s="48">
        <v>67</v>
      </c>
      <c r="O370" s="58">
        <v>1.3981474649208105</v>
      </c>
      <c r="P370" s="61">
        <v>4.141058679962932E-2</v>
      </c>
      <c r="Q370" s="13">
        <v>8474339.4665586874</v>
      </c>
      <c r="R370" s="41">
        <v>305524.10065356165</v>
      </c>
      <c r="S370" s="38"/>
      <c r="U370" s="51">
        <v>8468854</v>
      </c>
    </row>
    <row r="371" spans="1:21" s="7" customFormat="1" x14ac:dyDescent="0.25">
      <c r="A371" s="90">
        <v>1046233</v>
      </c>
      <c r="B371" s="45" t="s">
        <v>493</v>
      </c>
      <c r="C371" s="45"/>
      <c r="D371" s="45" t="s">
        <v>473</v>
      </c>
      <c r="E371" s="107">
        <v>44518</v>
      </c>
      <c r="F371" s="107">
        <v>44519</v>
      </c>
      <c r="G371" s="107">
        <v>44551</v>
      </c>
      <c r="H371" s="93" t="s">
        <v>4</v>
      </c>
      <c r="I371" s="64">
        <v>20000000</v>
      </c>
      <c r="J371" s="64" t="s">
        <v>1</v>
      </c>
      <c r="K371" s="66">
        <v>155781040</v>
      </c>
      <c r="L371" s="55">
        <v>7.7890519999999999</v>
      </c>
      <c r="M371" s="46">
        <v>20000000</v>
      </c>
      <c r="N371" s="48">
        <v>8</v>
      </c>
      <c r="O371" s="58">
        <v>7.7997250804254721</v>
      </c>
      <c r="P371" s="61">
        <v>1.067298638969698E-2</v>
      </c>
      <c r="Q371" s="13">
        <v>759089.39321406151</v>
      </c>
      <c r="R371" s="41">
        <v>27367.337016953788</v>
      </c>
      <c r="S371" s="38"/>
      <c r="U371" s="51">
        <v>753538</v>
      </c>
    </row>
    <row r="372" spans="1:21" s="7" customFormat="1" x14ac:dyDescent="0.25">
      <c r="A372" s="90">
        <v>1046241</v>
      </c>
      <c r="B372" s="45" t="s">
        <v>493</v>
      </c>
      <c r="C372" s="45"/>
      <c r="D372" s="45" t="s">
        <v>489</v>
      </c>
      <c r="E372" s="107">
        <v>44518</v>
      </c>
      <c r="F372" s="107">
        <v>44519</v>
      </c>
      <c r="G372" s="107">
        <v>44547</v>
      </c>
      <c r="H372" s="93" t="s">
        <v>4</v>
      </c>
      <c r="I372" s="64">
        <v>10000000</v>
      </c>
      <c r="J372" s="64" t="s">
        <v>1</v>
      </c>
      <c r="K372" s="66">
        <v>77890420</v>
      </c>
      <c r="L372" s="55">
        <v>7.7890420000000002</v>
      </c>
      <c r="M372" s="46">
        <v>10000000</v>
      </c>
      <c r="N372" s="48">
        <v>4</v>
      </c>
      <c r="O372" s="58">
        <v>7.7997629311610197</v>
      </c>
      <c r="P372" s="61">
        <v>1.0720893634900386E-2</v>
      </c>
      <c r="Q372" s="13">
        <v>381248.33794808574</v>
      </c>
      <c r="R372" s="41">
        <v>13745.089636414483</v>
      </c>
      <c r="S372" s="38"/>
      <c r="U372" s="51">
        <v>379210</v>
      </c>
    </row>
    <row r="373" spans="1:21" s="7" customFormat="1" x14ac:dyDescent="0.25">
      <c r="A373" s="90">
        <v>1047430</v>
      </c>
      <c r="B373" s="45" t="s">
        <v>493</v>
      </c>
      <c r="C373" s="45"/>
      <c r="D373" s="45" t="s">
        <v>497</v>
      </c>
      <c r="E373" s="107">
        <v>44519</v>
      </c>
      <c r="F373" s="107">
        <v>44519</v>
      </c>
      <c r="G373" s="107">
        <v>44544</v>
      </c>
      <c r="H373" s="93" t="s">
        <v>4</v>
      </c>
      <c r="I373" s="64">
        <v>20000000</v>
      </c>
      <c r="J373" s="64" t="s">
        <v>1</v>
      </c>
      <c r="K373" s="66">
        <v>155801100</v>
      </c>
      <c r="L373" s="55">
        <v>7.7900549999999997</v>
      </c>
      <c r="M373" s="46">
        <v>20000000</v>
      </c>
      <c r="N373" s="48">
        <v>1</v>
      </c>
      <c r="O373" s="58">
        <v>7.7997901473745888</v>
      </c>
      <c r="P373" s="61">
        <v>9.7351405076628542E-3</v>
      </c>
      <c r="Q373" s="13">
        <v>692387.45661187277</v>
      </c>
      <c r="R373" s="41">
        <v>24962.54201521305</v>
      </c>
      <c r="S373" s="38"/>
      <c r="U373" s="51">
        <v>689530</v>
      </c>
    </row>
    <row r="374" spans="1:21" s="7" customFormat="1" x14ac:dyDescent="0.25">
      <c r="A374" s="90">
        <v>1047436</v>
      </c>
      <c r="B374" s="45" t="s">
        <v>493</v>
      </c>
      <c r="C374" s="45"/>
      <c r="D374" s="45" t="s">
        <v>497</v>
      </c>
      <c r="E374" s="107">
        <v>44519</v>
      </c>
      <c r="F374" s="107">
        <v>44519</v>
      </c>
      <c r="G374" s="107">
        <v>44552</v>
      </c>
      <c r="H374" s="93" t="s">
        <v>4</v>
      </c>
      <c r="I374" s="64">
        <v>20000000</v>
      </c>
      <c r="J374" s="64" t="s">
        <v>1</v>
      </c>
      <c r="K374" s="66">
        <v>155792434</v>
      </c>
      <c r="L374" s="55">
        <v>7.7896216999999996</v>
      </c>
      <c r="M374" s="46">
        <v>20000000</v>
      </c>
      <c r="N374" s="48">
        <v>9</v>
      </c>
      <c r="O374" s="58">
        <v>7.7997153387620237</v>
      </c>
      <c r="P374" s="61">
        <v>1.0093533576837165E-2</v>
      </c>
      <c r="Q374" s="13">
        <v>717877.26494464406</v>
      </c>
      <c r="R374" s="41">
        <v>25881.522284699953</v>
      </c>
      <c r="S374" s="38"/>
      <c r="U374" s="51">
        <v>711829</v>
      </c>
    </row>
    <row r="375" spans="1:21" s="7" customFormat="1" x14ac:dyDescent="0.25">
      <c r="A375" s="90">
        <v>1048646</v>
      </c>
      <c r="B375" s="45" t="s">
        <v>493</v>
      </c>
      <c r="C375" s="45"/>
      <c r="D375" s="45" t="s">
        <v>489</v>
      </c>
      <c r="E375" s="107">
        <v>44522</v>
      </c>
      <c r="F375" s="107">
        <v>44524</v>
      </c>
      <c r="G375" s="107">
        <v>44610</v>
      </c>
      <c r="H375" s="93" t="s">
        <v>4</v>
      </c>
      <c r="I375" s="64">
        <v>1413815.325</v>
      </c>
      <c r="J375" s="64" t="s">
        <v>6</v>
      </c>
      <c r="K375" s="66">
        <v>1950000</v>
      </c>
      <c r="L375" s="55">
        <v>1.3792466141219681</v>
      </c>
      <c r="M375" s="46">
        <v>1413815.325</v>
      </c>
      <c r="N375" s="48">
        <v>67</v>
      </c>
      <c r="O375" s="58">
        <v>1.3981474649208105</v>
      </c>
      <c r="P375" s="61">
        <v>1.8901348155211162E-2</v>
      </c>
      <c r="Q375" s="13">
        <v>529965.84595303936</v>
      </c>
      <c r="R375" s="41">
        <v>19106.779838223636</v>
      </c>
      <c r="S375" s="38"/>
      <c r="U375" s="51">
        <v>529199</v>
      </c>
    </row>
    <row r="376" spans="1:21" s="7" customFormat="1" x14ac:dyDescent="0.25">
      <c r="A376" s="90">
        <v>1048651</v>
      </c>
      <c r="B376" s="45" t="s">
        <v>493</v>
      </c>
      <c r="C376" s="45"/>
      <c r="D376" s="45" t="s">
        <v>489</v>
      </c>
      <c r="E376" s="107">
        <v>44522</v>
      </c>
      <c r="F376" s="107">
        <v>44524</v>
      </c>
      <c r="G376" s="107">
        <v>44543</v>
      </c>
      <c r="H376" s="93" t="s">
        <v>4</v>
      </c>
      <c r="I376" s="64">
        <v>2175063.2999999998</v>
      </c>
      <c r="J376" s="64" t="s">
        <v>6</v>
      </c>
      <c r="K376" s="66">
        <v>3000000</v>
      </c>
      <c r="L376" s="55">
        <v>1.379270203308566</v>
      </c>
      <c r="M376" s="46">
        <v>2175063.2999999998</v>
      </c>
      <c r="N376" s="48">
        <v>0</v>
      </c>
      <c r="O376" s="58">
        <v>1.3986143092000001</v>
      </c>
      <c r="P376" s="61">
        <v>1.9344105891434094E-2</v>
      </c>
      <c r="Q376" s="13">
        <v>834416.67979641084</v>
      </c>
      <c r="R376" s="41">
        <v>30083.100478939712</v>
      </c>
      <c r="S376" s="38"/>
      <c r="U376" s="51">
        <v>833828</v>
      </c>
    </row>
    <row r="377" spans="1:21" s="7" customFormat="1" x14ac:dyDescent="0.25">
      <c r="A377" s="90">
        <v>1048656</v>
      </c>
      <c r="B377" s="45" t="s">
        <v>493</v>
      </c>
      <c r="C377" s="45"/>
      <c r="D377" s="45" t="s">
        <v>489</v>
      </c>
      <c r="E377" s="107">
        <v>44522</v>
      </c>
      <c r="F377" s="107">
        <v>44524</v>
      </c>
      <c r="G377" s="107">
        <v>44606</v>
      </c>
      <c r="H377" s="93" t="s">
        <v>4</v>
      </c>
      <c r="I377" s="64">
        <v>7255497</v>
      </c>
      <c r="J377" s="64" t="s">
        <v>6</v>
      </c>
      <c r="K377" s="66">
        <v>10000000</v>
      </c>
      <c r="L377" s="55">
        <v>1.3782653345456555</v>
      </c>
      <c r="M377" s="46">
        <v>7255497</v>
      </c>
      <c r="N377" s="48">
        <v>63</v>
      </c>
      <c r="O377" s="58">
        <v>1.3981551468908979</v>
      </c>
      <c r="P377" s="61">
        <v>1.9891574350076775E-2</v>
      </c>
      <c r="Q377" s="13">
        <v>2862191.8435427113</v>
      </c>
      <c r="R377" s="41">
        <v>103190.17692731823</v>
      </c>
      <c r="S377" s="38"/>
      <c r="U377" s="51">
        <v>2862756</v>
      </c>
    </row>
    <row r="378" spans="1:21" s="7" customFormat="1" x14ac:dyDescent="0.25">
      <c r="A378" s="90">
        <v>1048661</v>
      </c>
      <c r="B378" s="45" t="s">
        <v>493</v>
      </c>
      <c r="C378" s="45"/>
      <c r="D378" s="45" t="s">
        <v>473</v>
      </c>
      <c r="E378" s="107">
        <v>44522</v>
      </c>
      <c r="F378" s="107">
        <v>44524</v>
      </c>
      <c r="G378" s="107">
        <v>44592</v>
      </c>
      <c r="H378" s="93" t="s">
        <v>4</v>
      </c>
      <c r="I378" s="64">
        <v>2900649.6</v>
      </c>
      <c r="J378" s="64" t="s">
        <v>6</v>
      </c>
      <c r="K378" s="66">
        <v>4000000</v>
      </c>
      <c r="L378" s="55">
        <v>1.3790014485031215</v>
      </c>
      <c r="M378" s="46">
        <v>2900649.6</v>
      </c>
      <c r="N378" s="48">
        <v>49</v>
      </c>
      <c r="O378" s="58">
        <v>1.3981915852569726</v>
      </c>
      <c r="P378" s="61">
        <v>1.9192750298639764E-2</v>
      </c>
      <c r="Q378" s="13">
        <v>1104065.6483277238</v>
      </c>
      <c r="R378" s="41">
        <v>39804.714644597523</v>
      </c>
      <c r="S378" s="38"/>
      <c r="U378" s="51">
        <v>1102240</v>
      </c>
    </row>
    <row r="379" spans="1:21" s="7" customFormat="1" x14ac:dyDescent="0.25">
      <c r="A379" s="90">
        <v>1049661</v>
      </c>
      <c r="B379" s="45" t="s">
        <v>493</v>
      </c>
      <c r="C379" s="45"/>
      <c r="D379" s="45" t="s">
        <v>473</v>
      </c>
      <c r="E379" s="107">
        <v>44523</v>
      </c>
      <c r="F379" s="107">
        <v>44524</v>
      </c>
      <c r="G379" s="107">
        <v>44543</v>
      </c>
      <c r="H379" s="93" t="s">
        <v>4</v>
      </c>
      <c r="I379" s="64">
        <v>3615412.5</v>
      </c>
      <c r="J379" s="64" t="s">
        <v>6</v>
      </c>
      <c r="K379" s="66">
        <v>5000000</v>
      </c>
      <c r="L379" s="55">
        <v>1.3829680568953058</v>
      </c>
      <c r="M379" s="46">
        <v>3615412.5</v>
      </c>
      <c r="N379" s="48">
        <v>0</v>
      </c>
      <c r="O379" s="58">
        <v>1.3986143092000001</v>
      </c>
      <c r="P379" s="61">
        <v>1.5646252304694297E-2</v>
      </c>
      <c r="Q379" s="13">
        <v>1121839.1705519226</v>
      </c>
      <c r="R379" s="41">
        <v>40445.500798423804</v>
      </c>
      <c r="S379" s="38"/>
      <c r="U379" s="51">
        <v>1120859</v>
      </c>
    </row>
    <row r="380" spans="1:21" s="7" customFormat="1" x14ac:dyDescent="0.25">
      <c r="A380" s="90">
        <v>1049666</v>
      </c>
      <c r="B380" s="45" t="s">
        <v>493</v>
      </c>
      <c r="C380" s="45"/>
      <c r="D380" s="45" t="s">
        <v>489</v>
      </c>
      <c r="E380" s="107">
        <v>44523</v>
      </c>
      <c r="F380" s="107">
        <v>44524</v>
      </c>
      <c r="G380" s="107">
        <v>44614</v>
      </c>
      <c r="H380" s="93" t="s">
        <v>4</v>
      </c>
      <c r="I380" s="64">
        <v>1447050.8</v>
      </c>
      <c r="J380" s="64" t="s">
        <v>6</v>
      </c>
      <c r="K380" s="66">
        <v>2000000</v>
      </c>
      <c r="L380" s="55">
        <v>1.382121484608557</v>
      </c>
      <c r="M380" s="46">
        <v>1447050.8</v>
      </c>
      <c r="N380" s="48">
        <v>71</v>
      </c>
      <c r="O380" s="58">
        <v>1.3981423465525329</v>
      </c>
      <c r="P380" s="61">
        <v>1.6020156090439674E-2</v>
      </c>
      <c r="Q380" s="13">
        <v>459740.68272825319</v>
      </c>
      <c r="R380" s="41">
        <v>16574.962470962189</v>
      </c>
      <c r="S380" s="38"/>
      <c r="U380" s="51">
        <v>458325</v>
      </c>
    </row>
    <row r="381" spans="1:21" s="7" customFormat="1" x14ac:dyDescent="0.25">
      <c r="A381" s="90">
        <v>1049760</v>
      </c>
      <c r="B381" s="45" t="s">
        <v>493</v>
      </c>
      <c r="C381" s="45"/>
      <c r="D381" s="45" t="s">
        <v>489</v>
      </c>
      <c r="E381" s="107">
        <v>44523</v>
      </c>
      <c r="F381" s="107">
        <v>44524</v>
      </c>
      <c r="G381" s="107">
        <v>44585</v>
      </c>
      <c r="H381" s="93" t="s">
        <v>4</v>
      </c>
      <c r="I381" s="64">
        <v>12832206.58</v>
      </c>
      <c r="J381" s="64" t="s">
        <v>1</v>
      </c>
      <c r="K381" s="66">
        <v>100000000</v>
      </c>
      <c r="L381" s="55">
        <v>7.7928920000288837</v>
      </c>
      <c r="M381" s="46">
        <v>12832206.58</v>
      </c>
      <c r="N381" s="48">
        <v>42</v>
      </c>
      <c r="O381" s="58">
        <v>7.7993941193026171</v>
      </c>
      <c r="P381" s="61">
        <v>6.5015011218785921E-3</v>
      </c>
      <c r="Q381" s="13">
        <v>296682.51787823421</v>
      </c>
      <c r="R381" s="41">
        <v>10696.25070037357</v>
      </c>
      <c r="S381" s="38"/>
      <c r="U381" s="51">
        <v>293854</v>
      </c>
    </row>
    <row r="382" spans="1:21" s="7" customFormat="1" x14ac:dyDescent="0.25">
      <c r="A382" s="90">
        <v>1050614</v>
      </c>
      <c r="B382" s="45" t="s">
        <v>493</v>
      </c>
      <c r="C382" s="45"/>
      <c r="D382" s="45" t="s">
        <v>489</v>
      </c>
      <c r="E382" s="107">
        <v>44524</v>
      </c>
      <c r="F382" s="107">
        <v>44526</v>
      </c>
      <c r="G382" s="107">
        <v>44575</v>
      </c>
      <c r="H382" s="93" t="s">
        <v>4</v>
      </c>
      <c r="I382" s="64">
        <v>10000000</v>
      </c>
      <c r="J382" s="64" t="s">
        <v>1</v>
      </c>
      <c r="K382" s="66">
        <v>77927740</v>
      </c>
      <c r="L382" s="55">
        <v>7.7927739999999996</v>
      </c>
      <c r="M382" s="46">
        <v>10000000</v>
      </c>
      <c r="N382" s="48">
        <v>32</v>
      </c>
      <c r="O382" s="58">
        <v>7.7994684724005348</v>
      </c>
      <c r="P382" s="61">
        <v>6.6939728498166184E-3</v>
      </c>
      <c r="Q382" s="13">
        <v>238046.01651436024</v>
      </c>
      <c r="R382" s="41">
        <v>8582.2376359495738</v>
      </c>
      <c r="S382" s="38"/>
      <c r="U382" s="51">
        <v>235006</v>
      </c>
    </row>
    <row r="383" spans="1:21" s="7" customFormat="1" x14ac:dyDescent="0.25">
      <c r="A383" s="90">
        <v>1050619</v>
      </c>
      <c r="B383" s="45" t="s">
        <v>493</v>
      </c>
      <c r="C383" s="45"/>
      <c r="D383" s="45" t="s">
        <v>497</v>
      </c>
      <c r="E383" s="107">
        <v>44524</v>
      </c>
      <c r="F383" s="107">
        <v>44526</v>
      </c>
      <c r="G383" s="107">
        <v>44575</v>
      </c>
      <c r="H383" s="93" t="s">
        <v>4</v>
      </c>
      <c r="I383" s="64">
        <v>10000000</v>
      </c>
      <c r="J383" s="64" t="s">
        <v>1</v>
      </c>
      <c r="K383" s="66">
        <v>77927067</v>
      </c>
      <c r="L383" s="55">
        <v>7.7927067000000001</v>
      </c>
      <c r="M383" s="46">
        <v>10000000</v>
      </c>
      <c r="N383" s="48">
        <v>32</v>
      </c>
      <c r="O383" s="58">
        <v>7.7994684724005348</v>
      </c>
      <c r="P383" s="61">
        <v>6.7612678277977995E-3</v>
      </c>
      <c r="Q383" s="13">
        <v>240439.10979382889</v>
      </c>
      <c r="R383" s="41">
        <v>8668.5154721012859</v>
      </c>
      <c r="S383" s="38"/>
      <c r="U383" s="51">
        <v>237399</v>
      </c>
    </row>
    <row r="384" spans="1:21" s="7" customFormat="1" x14ac:dyDescent="0.25">
      <c r="A384" s="90">
        <v>1050629</v>
      </c>
      <c r="B384" s="45" t="s">
        <v>493</v>
      </c>
      <c r="C384" s="45"/>
      <c r="D384" s="45" t="s">
        <v>473</v>
      </c>
      <c r="E384" s="107">
        <v>44524</v>
      </c>
      <c r="F384" s="107">
        <v>44524</v>
      </c>
      <c r="G384" s="107">
        <v>44554</v>
      </c>
      <c r="H384" s="93" t="s">
        <v>4</v>
      </c>
      <c r="I384" s="64">
        <v>20000000</v>
      </c>
      <c r="J384" s="64" t="s">
        <v>3</v>
      </c>
      <c r="K384" s="66">
        <v>128025000</v>
      </c>
      <c r="L384" s="55">
        <v>6.4012500000000001</v>
      </c>
      <c r="M384" s="46">
        <v>20000000</v>
      </c>
      <c r="N384" s="48">
        <v>11</v>
      </c>
      <c r="O384" s="58">
        <v>6.3756033886198198</v>
      </c>
      <c r="P384" s="61">
        <v>-2.5637652758698611E-2</v>
      </c>
      <c r="Q384" s="13">
        <v>-2231450.4265375827</v>
      </c>
      <c r="R384" s="41">
        <v>-80450.150411281036</v>
      </c>
      <c r="S384" s="38"/>
      <c r="U384" s="51">
        <v>-2056241</v>
      </c>
    </row>
    <row r="385" spans="1:21" s="7" customFormat="1" x14ac:dyDescent="0.25">
      <c r="A385" s="90">
        <v>1050640</v>
      </c>
      <c r="B385" s="45" t="s">
        <v>493</v>
      </c>
      <c r="C385" s="45"/>
      <c r="D385" s="45" t="s">
        <v>501</v>
      </c>
      <c r="E385" s="107">
        <v>44524</v>
      </c>
      <c r="F385" s="107">
        <v>44524</v>
      </c>
      <c r="G385" s="107">
        <v>44554</v>
      </c>
      <c r="H385" s="93" t="s">
        <v>3</v>
      </c>
      <c r="I385" s="64">
        <v>10885100</v>
      </c>
      <c r="J385" s="64" t="s">
        <v>4</v>
      </c>
      <c r="K385" s="66">
        <v>1700000</v>
      </c>
      <c r="L385" s="55">
        <v>6.4029999999999996</v>
      </c>
      <c r="M385" s="46">
        <v>-1700000</v>
      </c>
      <c r="N385" s="48">
        <v>11</v>
      </c>
      <c r="O385" s="58">
        <v>6.3756033886198198</v>
      </c>
      <c r="P385" s="61">
        <v>-2.7387041465948312E-2</v>
      </c>
      <c r="Q385" s="13">
        <v>202615.66862453564</v>
      </c>
      <c r="R385" s="41">
        <v>7304.8725719704589</v>
      </c>
      <c r="S385" s="38"/>
      <c r="U385" s="51">
        <v>187719</v>
      </c>
    </row>
    <row r="386" spans="1:21" s="7" customFormat="1" x14ac:dyDescent="0.25">
      <c r="A386" s="90">
        <v>1050648</v>
      </c>
      <c r="B386" s="45" t="s">
        <v>493</v>
      </c>
      <c r="C386" s="45"/>
      <c r="D386" s="45" t="s">
        <v>508</v>
      </c>
      <c r="E386" s="107">
        <v>44524</v>
      </c>
      <c r="F386" s="107">
        <v>44524</v>
      </c>
      <c r="G386" s="107">
        <v>44554</v>
      </c>
      <c r="H386" s="93" t="s">
        <v>3</v>
      </c>
      <c r="I386" s="64">
        <v>44821000</v>
      </c>
      <c r="J386" s="64" t="s">
        <v>4</v>
      </c>
      <c r="K386" s="66">
        <v>7000000</v>
      </c>
      <c r="L386" s="55">
        <v>6.4029999999999996</v>
      </c>
      <c r="M386" s="46">
        <v>-7000000</v>
      </c>
      <c r="N386" s="48">
        <v>11</v>
      </c>
      <c r="O386" s="58">
        <v>6.3756033886198198</v>
      </c>
      <c r="P386" s="61">
        <v>-2.7387041465948312E-2</v>
      </c>
      <c r="Q386" s="13">
        <v>834299.81198338198</v>
      </c>
      <c r="R386" s="41">
        <v>30078.887061054829</v>
      </c>
      <c r="S386" s="38"/>
      <c r="U386" s="51">
        <v>772959</v>
      </c>
    </row>
    <row r="387" spans="1:21" s="7" customFormat="1" x14ac:dyDescent="0.25">
      <c r="A387" s="90">
        <v>1051486</v>
      </c>
      <c r="B387" s="45" t="s">
        <v>493</v>
      </c>
      <c r="C387" s="45"/>
      <c r="D387" s="45" t="s">
        <v>473</v>
      </c>
      <c r="E387" s="107">
        <v>44525</v>
      </c>
      <c r="F387" s="107">
        <v>44526</v>
      </c>
      <c r="G387" s="107">
        <v>44620</v>
      </c>
      <c r="H387" s="93" t="s">
        <v>4</v>
      </c>
      <c r="I387" s="64">
        <v>2883192</v>
      </c>
      <c r="J387" s="64" t="s">
        <v>6</v>
      </c>
      <c r="K387" s="66">
        <v>4000000</v>
      </c>
      <c r="L387" s="55">
        <v>1.3873512412631555</v>
      </c>
      <c r="M387" s="46">
        <v>2883192</v>
      </c>
      <c r="N387" s="48">
        <v>77</v>
      </c>
      <c r="O387" s="58">
        <v>1.3981394746924953</v>
      </c>
      <c r="P387" s="61">
        <v>1.0786455602292005E-2</v>
      </c>
      <c r="Q387" s="13">
        <v>616757.92689761054</v>
      </c>
      <c r="R387" s="41">
        <v>22235.881826535824</v>
      </c>
      <c r="S387" s="38"/>
      <c r="U387" s="51">
        <v>613051</v>
      </c>
    </row>
    <row r="388" spans="1:21" s="7" customFormat="1" x14ac:dyDescent="0.25">
      <c r="A388" s="88">
        <v>1052353</v>
      </c>
      <c r="B388" s="45" t="s">
        <v>493</v>
      </c>
      <c r="C388" s="45"/>
      <c r="D388" s="39" t="s">
        <v>489</v>
      </c>
      <c r="E388" s="108">
        <v>44526</v>
      </c>
      <c r="F388" s="108">
        <v>44526</v>
      </c>
      <c r="G388" s="108">
        <v>44575</v>
      </c>
      <c r="H388" s="94" t="s">
        <v>3</v>
      </c>
      <c r="I388" s="65">
        <v>64163710</v>
      </c>
      <c r="J388" s="65" t="s">
        <v>4</v>
      </c>
      <c r="K388" s="67">
        <v>10000000</v>
      </c>
      <c r="L388" s="55">
        <v>6.4163709999999998</v>
      </c>
      <c r="M388" s="46">
        <v>-10000000</v>
      </c>
      <c r="N388" s="48">
        <v>32</v>
      </c>
      <c r="O388" s="58">
        <v>6.3847328000339107</v>
      </c>
      <c r="P388" s="61">
        <v>-3.1579090891958317E-2</v>
      </c>
      <c r="Q388" s="13">
        <v>1374290.706402922</v>
      </c>
      <c r="R388" s="41">
        <v>49547.098480916509</v>
      </c>
      <c r="S388" s="38"/>
      <c r="U388" s="51">
        <v>1268732</v>
      </c>
    </row>
    <row r="389" spans="1:21" s="7" customFormat="1" x14ac:dyDescent="0.25">
      <c r="A389" s="90">
        <v>1053462</v>
      </c>
      <c r="B389" s="45" t="s">
        <v>493</v>
      </c>
      <c r="C389" s="45"/>
      <c r="D389" s="45" t="s">
        <v>509</v>
      </c>
      <c r="E389" s="107">
        <v>44529</v>
      </c>
      <c r="F389" s="107">
        <v>44530</v>
      </c>
      <c r="G389" s="107">
        <v>44544</v>
      </c>
      <c r="H389" s="93" t="s">
        <v>2</v>
      </c>
      <c r="I389" s="64">
        <v>2271653600</v>
      </c>
      <c r="J389" s="64" t="s">
        <v>4</v>
      </c>
      <c r="K389" s="66">
        <v>20000000</v>
      </c>
      <c r="L389" s="55">
        <v>113.58268</v>
      </c>
      <c r="M389" s="46">
        <v>-20000000</v>
      </c>
      <c r="N389" s="48">
        <v>1</v>
      </c>
      <c r="O389" s="58">
        <v>113.60793722419515</v>
      </c>
      <c r="P389" s="61">
        <v>2.5257180572091135E-2</v>
      </c>
      <c r="Q389" s="13">
        <v>-123329.37315452944</v>
      </c>
      <c r="R389" s="41">
        <v>-4446.3755512624621</v>
      </c>
      <c r="S389" s="38"/>
      <c r="U389" s="51">
        <v>-108989</v>
      </c>
    </row>
    <row r="390" spans="1:21" s="7" customFormat="1" x14ac:dyDescent="0.25">
      <c r="A390" s="90">
        <v>1053464</v>
      </c>
      <c r="B390" s="45" t="s">
        <v>493</v>
      </c>
      <c r="C390" s="45"/>
      <c r="D390" s="45" t="s">
        <v>507</v>
      </c>
      <c r="E390" s="107">
        <v>44529</v>
      </c>
      <c r="F390" s="107">
        <v>44530</v>
      </c>
      <c r="G390" s="107">
        <v>44544</v>
      </c>
      <c r="H390" s="93" t="s">
        <v>2</v>
      </c>
      <c r="I390" s="64">
        <v>2271932000</v>
      </c>
      <c r="J390" s="64" t="s">
        <v>4</v>
      </c>
      <c r="K390" s="66">
        <v>20000000</v>
      </c>
      <c r="L390" s="55">
        <v>113.5966</v>
      </c>
      <c r="M390" s="46">
        <v>-20000000</v>
      </c>
      <c r="N390" s="48">
        <v>1</v>
      </c>
      <c r="O390" s="58">
        <v>113.60793722419515</v>
      </c>
      <c r="P390" s="61">
        <v>1.133720461404919E-2</v>
      </c>
      <c r="Q390" s="13">
        <v>-55358.923945783965</v>
      </c>
      <c r="R390" s="41">
        <v>-1995.8470531453586</v>
      </c>
      <c r="S390" s="38"/>
      <c r="U390" s="51">
        <v>-41017</v>
      </c>
    </row>
    <row r="391" spans="1:21" s="7" customFormat="1" x14ac:dyDescent="0.25">
      <c r="A391" s="90">
        <v>1053466</v>
      </c>
      <c r="B391" s="45" t="s">
        <v>493</v>
      </c>
      <c r="C391" s="45"/>
      <c r="D391" s="45" t="s">
        <v>509</v>
      </c>
      <c r="E391" s="107">
        <v>44529</v>
      </c>
      <c r="F391" s="107">
        <v>44530</v>
      </c>
      <c r="G391" s="107">
        <v>44544</v>
      </c>
      <c r="H391" s="93" t="s">
        <v>2</v>
      </c>
      <c r="I391" s="64">
        <v>2272353600</v>
      </c>
      <c r="J391" s="64" t="s">
        <v>4</v>
      </c>
      <c r="K391" s="66">
        <v>20000000</v>
      </c>
      <c r="L391" s="55">
        <v>113.61767999999999</v>
      </c>
      <c r="M391" s="46">
        <v>-20000000</v>
      </c>
      <c r="N391" s="48">
        <v>1</v>
      </c>
      <c r="O391" s="58">
        <v>113.60793722419515</v>
      </c>
      <c r="P391" s="61">
        <v>-9.7427589775828452E-3</v>
      </c>
      <c r="Q391" s="13">
        <v>47573.336781250808</v>
      </c>
      <c r="R391" s="41">
        <v>1715.154436819256</v>
      </c>
      <c r="S391" s="38"/>
      <c r="U391" s="51">
        <v>61917</v>
      </c>
    </row>
    <row r="392" spans="1:21" s="7" customFormat="1" x14ac:dyDescent="0.25">
      <c r="A392" s="90">
        <v>1053485</v>
      </c>
      <c r="B392" s="45" t="s">
        <v>493</v>
      </c>
      <c r="C392" s="45"/>
      <c r="D392" s="45" t="s">
        <v>510</v>
      </c>
      <c r="E392" s="107">
        <v>44529</v>
      </c>
      <c r="F392" s="107">
        <v>44530</v>
      </c>
      <c r="G392" s="107">
        <v>44544</v>
      </c>
      <c r="H392" s="93" t="s">
        <v>4</v>
      </c>
      <c r="I392" s="64">
        <v>5000000</v>
      </c>
      <c r="J392" s="64" t="s">
        <v>2</v>
      </c>
      <c r="K392" s="66">
        <v>567900000</v>
      </c>
      <c r="L392" s="55">
        <v>113.58</v>
      </c>
      <c r="M392" s="46">
        <v>5000000</v>
      </c>
      <c r="N392" s="48">
        <v>1</v>
      </c>
      <c r="O392" s="58">
        <v>113.60793722419515</v>
      </c>
      <c r="P392" s="61">
        <v>2.7937175943321593E-2</v>
      </c>
      <c r="Q392" s="13">
        <v>34103.909450258056</v>
      </c>
      <c r="R392" s="41">
        <v>1229.5431761588184</v>
      </c>
      <c r="S392" s="38"/>
      <c r="U392" s="51">
        <v>30519</v>
      </c>
    </row>
    <row r="393" spans="1:21" s="7" customFormat="1" x14ac:dyDescent="0.25">
      <c r="A393" s="90">
        <v>1053495</v>
      </c>
      <c r="B393" s="45" t="s">
        <v>493</v>
      </c>
      <c r="C393" s="45"/>
      <c r="D393" s="45" t="s">
        <v>510</v>
      </c>
      <c r="E393" s="107">
        <v>44529</v>
      </c>
      <c r="F393" s="107">
        <v>44530</v>
      </c>
      <c r="G393" s="107">
        <v>44544</v>
      </c>
      <c r="H393" s="93" t="s">
        <v>4</v>
      </c>
      <c r="I393" s="64">
        <v>5000000</v>
      </c>
      <c r="J393" s="64" t="s">
        <v>2</v>
      </c>
      <c r="K393" s="66">
        <v>567900000</v>
      </c>
      <c r="L393" s="55">
        <v>113.58</v>
      </c>
      <c r="M393" s="46">
        <v>5000000</v>
      </c>
      <c r="N393" s="48">
        <v>1</v>
      </c>
      <c r="O393" s="58">
        <v>113.60793722419515</v>
      </c>
      <c r="P393" s="61">
        <v>2.7937175943321593E-2</v>
      </c>
      <c r="Q393" s="13">
        <v>34103.909450258056</v>
      </c>
      <c r="R393" s="41">
        <v>1229.5431761588184</v>
      </c>
      <c r="S393" s="38"/>
      <c r="U393" s="51">
        <v>30519</v>
      </c>
    </row>
    <row r="394" spans="1:21" s="7" customFormat="1" x14ac:dyDescent="0.25">
      <c r="A394" s="90">
        <v>1053503</v>
      </c>
      <c r="B394" s="45" t="s">
        <v>493</v>
      </c>
      <c r="C394" s="45"/>
      <c r="D394" s="45" t="s">
        <v>510</v>
      </c>
      <c r="E394" s="107">
        <v>44529</v>
      </c>
      <c r="F394" s="107">
        <v>44530</v>
      </c>
      <c r="G394" s="107">
        <v>44544</v>
      </c>
      <c r="H394" s="93" t="s">
        <v>4</v>
      </c>
      <c r="I394" s="64">
        <v>5000000</v>
      </c>
      <c r="J394" s="64" t="s">
        <v>2</v>
      </c>
      <c r="K394" s="66">
        <v>567900000</v>
      </c>
      <c r="L394" s="55">
        <v>113.58</v>
      </c>
      <c r="M394" s="46">
        <v>5000000</v>
      </c>
      <c r="N394" s="48">
        <v>1</v>
      </c>
      <c r="O394" s="58">
        <v>113.60793722419515</v>
      </c>
      <c r="P394" s="61">
        <v>2.7937175943321593E-2</v>
      </c>
      <c r="Q394" s="13">
        <v>34103.909450258056</v>
      </c>
      <c r="R394" s="41">
        <v>1229.5431761588184</v>
      </c>
      <c r="S394" s="38"/>
      <c r="U394" s="51">
        <v>30519</v>
      </c>
    </row>
    <row r="395" spans="1:21" s="7" customFormat="1" x14ac:dyDescent="0.25">
      <c r="A395" s="90">
        <v>1053511</v>
      </c>
      <c r="B395" s="45" t="s">
        <v>493</v>
      </c>
      <c r="C395" s="45"/>
      <c r="D395" s="45" t="s">
        <v>510</v>
      </c>
      <c r="E395" s="107">
        <v>44529</v>
      </c>
      <c r="F395" s="107">
        <v>44530</v>
      </c>
      <c r="G395" s="107">
        <v>44544</v>
      </c>
      <c r="H395" s="93" t="s">
        <v>4</v>
      </c>
      <c r="I395" s="64">
        <v>5000000</v>
      </c>
      <c r="J395" s="64" t="s">
        <v>2</v>
      </c>
      <c r="K395" s="66">
        <v>567900000</v>
      </c>
      <c r="L395" s="55">
        <v>113.58</v>
      </c>
      <c r="M395" s="46">
        <v>5000000</v>
      </c>
      <c r="N395" s="48">
        <v>1</v>
      </c>
      <c r="O395" s="58">
        <v>113.60793722419515</v>
      </c>
      <c r="P395" s="61">
        <v>2.7937175943321593E-2</v>
      </c>
      <c r="Q395" s="13">
        <v>34103.909450258056</v>
      </c>
      <c r="R395" s="41">
        <v>1229.5431761588184</v>
      </c>
      <c r="S395" s="38"/>
      <c r="U395" s="51">
        <v>30519</v>
      </c>
    </row>
    <row r="396" spans="1:21" s="7" customFormat="1" x14ac:dyDescent="0.25">
      <c r="A396" s="90">
        <v>1053519</v>
      </c>
      <c r="B396" s="45" t="s">
        <v>493</v>
      </c>
      <c r="C396" s="45"/>
      <c r="D396" s="45" t="s">
        <v>510</v>
      </c>
      <c r="E396" s="107">
        <v>44529</v>
      </c>
      <c r="F396" s="107">
        <v>44530</v>
      </c>
      <c r="G396" s="107">
        <v>44544</v>
      </c>
      <c r="H396" s="93" t="s">
        <v>4</v>
      </c>
      <c r="I396" s="64">
        <v>5000000</v>
      </c>
      <c r="J396" s="64" t="s">
        <v>2</v>
      </c>
      <c r="K396" s="66">
        <v>567900000</v>
      </c>
      <c r="L396" s="55">
        <v>113.58</v>
      </c>
      <c r="M396" s="46">
        <v>5000000</v>
      </c>
      <c r="N396" s="48">
        <v>1</v>
      </c>
      <c r="O396" s="58">
        <v>113.60793722419515</v>
      </c>
      <c r="P396" s="61">
        <v>2.7937175943321593E-2</v>
      </c>
      <c r="Q396" s="13">
        <v>34103.909450258056</v>
      </c>
      <c r="R396" s="41">
        <v>1229.5431761588184</v>
      </c>
      <c r="S396" s="38"/>
      <c r="U396" s="51">
        <v>30519</v>
      </c>
    </row>
    <row r="397" spans="1:21" s="7" customFormat="1" x14ac:dyDescent="0.25">
      <c r="A397" s="90">
        <v>1053527</v>
      </c>
      <c r="B397" s="45" t="s">
        <v>493</v>
      </c>
      <c r="C397" s="45"/>
      <c r="D397" s="45" t="s">
        <v>510</v>
      </c>
      <c r="E397" s="107">
        <v>44529</v>
      </c>
      <c r="F397" s="107">
        <v>44530</v>
      </c>
      <c r="G397" s="107">
        <v>44544</v>
      </c>
      <c r="H397" s="93" t="s">
        <v>4</v>
      </c>
      <c r="I397" s="64">
        <v>5000000</v>
      </c>
      <c r="J397" s="64" t="s">
        <v>2</v>
      </c>
      <c r="K397" s="66">
        <v>567900000</v>
      </c>
      <c r="L397" s="55">
        <v>113.58</v>
      </c>
      <c r="M397" s="46">
        <v>5000000</v>
      </c>
      <c r="N397" s="48">
        <v>1</v>
      </c>
      <c r="O397" s="58">
        <v>113.60793722419515</v>
      </c>
      <c r="P397" s="61">
        <v>2.7937175943321593E-2</v>
      </c>
      <c r="Q397" s="13">
        <v>34103.909450258056</v>
      </c>
      <c r="R397" s="41">
        <v>1229.5431761588184</v>
      </c>
      <c r="S397" s="38"/>
      <c r="U397" s="51">
        <v>30519</v>
      </c>
    </row>
    <row r="398" spans="1:21" s="7" customFormat="1" x14ac:dyDescent="0.25">
      <c r="A398" s="90">
        <v>1053535</v>
      </c>
      <c r="B398" s="45" t="s">
        <v>493</v>
      </c>
      <c r="C398" s="45"/>
      <c r="D398" s="45" t="s">
        <v>510</v>
      </c>
      <c r="E398" s="107">
        <v>44529</v>
      </c>
      <c r="F398" s="107">
        <v>44530</v>
      </c>
      <c r="G398" s="107">
        <v>44544</v>
      </c>
      <c r="H398" s="93" t="s">
        <v>4</v>
      </c>
      <c r="I398" s="64">
        <v>5000000</v>
      </c>
      <c r="J398" s="64" t="s">
        <v>2</v>
      </c>
      <c r="K398" s="66">
        <v>567900000</v>
      </c>
      <c r="L398" s="55">
        <v>113.58</v>
      </c>
      <c r="M398" s="46">
        <v>5000000</v>
      </c>
      <c r="N398" s="48">
        <v>1</v>
      </c>
      <c r="O398" s="58">
        <v>113.60793722419515</v>
      </c>
      <c r="P398" s="61">
        <v>2.7937175943321593E-2</v>
      </c>
      <c r="Q398" s="13">
        <v>34103.909450258056</v>
      </c>
      <c r="R398" s="41">
        <v>1229.5431761588184</v>
      </c>
      <c r="S398" s="38"/>
      <c r="U398" s="51">
        <v>30519</v>
      </c>
    </row>
    <row r="399" spans="1:21" s="7" customFormat="1" x14ac:dyDescent="0.25">
      <c r="A399" s="90">
        <v>1053543</v>
      </c>
      <c r="B399" s="45" t="s">
        <v>493</v>
      </c>
      <c r="C399" s="45"/>
      <c r="D399" s="45" t="s">
        <v>510</v>
      </c>
      <c r="E399" s="107">
        <v>44529</v>
      </c>
      <c r="F399" s="107">
        <v>44530</v>
      </c>
      <c r="G399" s="107">
        <v>44544</v>
      </c>
      <c r="H399" s="93" t="s">
        <v>4</v>
      </c>
      <c r="I399" s="64">
        <v>5000000</v>
      </c>
      <c r="J399" s="64" t="s">
        <v>2</v>
      </c>
      <c r="K399" s="66">
        <v>567900000</v>
      </c>
      <c r="L399" s="55">
        <v>113.58</v>
      </c>
      <c r="M399" s="46">
        <v>5000000</v>
      </c>
      <c r="N399" s="48">
        <v>1</v>
      </c>
      <c r="O399" s="58">
        <v>113.60793722419515</v>
      </c>
      <c r="P399" s="61">
        <v>2.7937175943321593E-2</v>
      </c>
      <c r="Q399" s="13">
        <v>34103.909450258056</v>
      </c>
      <c r="R399" s="41">
        <v>1229.5431761588184</v>
      </c>
      <c r="S399" s="38"/>
      <c r="U399" s="51">
        <v>30519</v>
      </c>
    </row>
    <row r="400" spans="1:21" s="7" customFormat="1" x14ac:dyDescent="0.25">
      <c r="A400" s="90">
        <v>1053551</v>
      </c>
      <c r="B400" s="45" t="s">
        <v>493</v>
      </c>
      <c r="C400" s="45"/>
      <c r="D400" s="45" t="s">
        <v>510</v>
      </c>
      <c r="E400" s="107">
        <v>44529</v>
      </c>
      <c r="F400" s="107">
        <v>44530</v>
      </c>
      <c r="G400" s="107">
        <v>44544</v>
      </c>
      <c r="H400" s="93" t="s">
        <v>4</v>
      </c>
      <c r="I400" s="64">
        <v>5000000</v>
      </c>
      <c r="J400" s="64" t="s">
        <v>2</v>
      </c>
      <c r="K400" s="66">
        <v>567900000</v>
      </c>
      <c r="L400" s="55">
        <v>113.58</v>
      </c>
      <c r="M400" s="46">
        <v>5000000</v>
      </c>
      <c r="N400" s="48">
        <v>1</v>
      </c>
      <c r="O400" s="58">
        <v>113.60793722419515</v>
      </c>
      <c r="P400" s="61">
        <v>2.7937175943321593E-2</v>
      </c>
      <c r="Q400" s="13">
        <v>34103.909450258056</v>
      </c>
      <c r="R400" s="41">
        <v>1229.5431761588184</v>
      </c>
      <c r="S400" s="38"/>
      <c r="U400" s="51">
        <v>30519</v>
      </c>
    </row>
    <row r="401" spans="1:21" s="7" customFormat="1" x14ac:dyDescent="0.25">
      <c r="A401" s="90">
        <v>1053559</v>
      </c>
      <c r="B401" s="45" t="s">
        <v>493</v>
      </c>
      <c r="C401" s="45"/>
      <c r="D401" s="45" t="s">
        <v>510</v>
      </c>
      <c r="E401" s="107">
        <v>44529</v>
      </c>
      <c r="F401" s="107">
        <v>44530</v>
      </c>
      <c r="G401" s="107">
        <v>44544</v>
      </c>
      <c r="H401" s="93" t="s">
        <v>4</v>
      </c>
      <c r="I401" s="64">
        <v>5000000</v>
      </c>
      <c r="J401" s="64" t="s">
        <v>2</v>
      </c>
      <c r="K401" s="66">
        <v>567900000</v>
      </c>
      <c r="L401" s="55">
        <v>113.58</v>
      </c>
      <c r="M401" s="46">
        <v>5000000</v>
      </c>
      <c r="N401" s="48">
        <v>1</v>
      </c>
      <c r="O401" s="58">
        <v>113.60793722419515</v>
      </c>
      <c r="P401" s="61">
        <v>2.7937175943321593E-2</v>
      </c>
      <c r="Q401" s="13">
        <v>34103.909450258056</v>
      </c>
      <c r="R401" s="41">
        <v>1229.5431761588184</v>
      </c>
      <c r="S401" s="38"/>
      <c r="U401" s="51">
        <v>30519</v>
      </c>
    </row>
    <row r="402" spans="1:21" s="7" customFormat="1" x14ac:dyDescent="0.25">
      <c r="A402" s="90">
        <v>1053567</v>
      </c>
      <c r="B402" s="45" t="s">
        <v>493</v>
      </c>
      <c r="C402" s="45"/>
      <c r="D402" s="45" t="s">
        <v>510</v>
      </c>
      <c r="E402" s="107">
        <v>44529</v>
      </c>
      <c r="F402" s="107">
        <v>44530</v>
      </c>
      <c r="G402" s="107">
        <v>44544</v>
      </c>
      <c r="H402" s="93" t="s">
        <v>4</v>
      </c>
      <c r="I402" s="64">
        <v>5000000</v>
      </c>
      <c r="J402" s="64" t="s">
        <v>2</v>
      </c>
      <c r="K402" s="66">
        <v>567900000</v>
      </c>
      <c r="L402" s="55">
        <v>113.58</v>
      </c>
      <c r="M402" s="46">
        <v>5000000</v>
      </c>
      <c r="N402" s="48">
        <v>1</v>
      </c>
      <c r="O402" s="58">
        <v>113.60793722419515</v>
      </c>
      <c r="P402" s="61">
        <v>2.7937175943321593E-2</v>
      </c>
      <c r="Q402" s="13">
        <v>34103.909450258056</v>
      </c>
      <c r="R402" s="41">
        <v>1229.5431761588184</v>
      </c>
      <c r="S402" s="38"/>
      <c r="U402" s="51">
        <v>30519</v>
      </c>
    </row>
    <row r="403" spans="1:21" s="7" customFormat="1" x14ac:dyDescent="0.25">
      <c r="A403" s="90">
        <v>1053575</v>
      </c>
      <c r="B403" s="45" t="s">
        <v>493</v>
      </c>
      <c r="C403" s="45"/>
      <c r="D403" s="45" t="s">
        <v>510</v>
      </c>
      <c r="E403" s="107">
        <v>44529</v>
      </c>
      <c r="F403" s="107">
        <v>44530</v>
      </c>
      <c r="G403" s="107">
        <v>44544</v>
      </c>
      <c r="H403" s="93" t="s">
        <v>4</v>
      </c>
      <c r="I403" s="64">
        <v>5000000</v>
      </c>
      <c r="J403" s="64" t="s">
        <v>2</v>
      </c>
      <c r="K403" s="66">
        <v>567900000</v>
      </c>
      <c r="L403" s="55">
        <v>113.58</v>
      </c>
      <c r="M403" s="46">
        <v>5000000</v>
      </c>
      <c r="N403" s="48">
        <v>1</v>
      </c>
      <c r="O403" s="58">
        <v>113.60793722419515</v>
      </c>
      <c r="P403" s="61">
        <v>2.7937175943321593E-2</v>
      </c>
      <c r="Q403" s="13">
        <v>34103.909450258056</v>
      </c>
      <c r="R403" s="41">
        <v>1229.5431761588184</v>
      </c>
      <c r="S403" s="38"/>
      <c r="U403" s="51">
        <v>30519</v>
      </c>
    </row>
    <row r="404" spans="1:21" s="7" customFormat="1" x14ac:dyDescent="0.25">
      <c r="A404" s="90">
        <v>1053583</v>
      </c>
      <c r="B404" s="45" t="s">
        <v>493</v>
      </c>
      <c r="C404" s="45"/>
      <c r="D404" s="45" t="s">
        <v>510</v>
      </c>
      <c r="E404" s="107">
        <v>44529</v>
      </c>
      <c r="F404" s="107">
        <v>44530</v>
      </c>
      <c r="G404" s="107">
        <v>44544</v>
      </c>
      <c r="H404" s="93" t="s">
        <v>4</v>
      </c>
      <c r="I404" s="64">
        <v>5000000</v>
      </c>
      <c r="J404" s="64" t="s">
        <v>2</v>
      </c>
      <c r="K404" s="66">
        <v>567900000</v>
      </c>
      <c r="L404" s="55">
        <v>113.58</v>
      </c>
      <c r="M404" s="46">
        <v>5000000</v>
      </c>
      <c r="N404" s="48">
        <v>1</v>
      </c>
      <c r="O404" s="58">
        <v>113.60793722419515</v>
      </c>
      <c r="P404" s="61">
        <v>2.7937175943321593E-2</v>
      </c>
      <c r="Q404" s="13">
        <v>34103.909450258056</v>
      </c>
      <c r="R404" s="41">
        <v>1229.5431761588184</v>
      </c>
      <c r="S404" s="38"/>
      <c r="U404" s="51">
        <v>30519</v>
      </c>
    </row>
    <row r="405" spans="1:21" s="7" customFormat="1" x14ac:dyDescent="0.25">
      <c r="A405" s="90">
        <v>1053591</v>
      </c>
      <c r="B405" s="45" t="s">
        <v>493</v>
      </c>
      <c r="C405" s="45"/>
      <c r="D405" s="45" t="s">
        <v>510</v>
      </c>
      <c r="E405" s="107">
        <v>44529</v>
      </c>
      <c r="F405" s="107">
        <v>44530</v>
      </c>
      <c r="G405" s="107">
        <v>44544</v>
      </c>
      <c r="H405" s="93" t="s">
        <v>4</v>
      </c>
      <c r="I405" s="64">
        <v>5000000</v>
      </c>
      <c r="J405" s="64" t="s">
        <v>2</v>
      </c>
      <c r="K405" s="66">
        <v>567900000</v>
      </c>
      <c r="L405" s="55">
        <v>113.58</v>
      </c>
      <c r="M405" s="46">
        <v>5000000</v>
      </c>
      <c r="N405" s="48">
        <v>1</v>
      </c>
      <c r="O405" s="58">
        <v>113.60793722419515</v>
      </c>
      <c r="P405" s="61">
        <v>2.7937175943321593E-2</v>
      </c>
      <c r="Q405" s="13">
        <v>34103.909450258056</v>
      </c>
      <c r="R405" s="41">
        <v>1229.5431761588184</v>
      </c>
      <c r="S405" s="38"/>
      <c r="U405" s="51">
        <v>30519</v>
      </c>
    </row>
    <row r="406" spans="1:21" s="7" customFormat="1" x14ac:dyDescent="0.25">
      <c r="A406" s="90">
        <v>1053599</v>
      </c>
      <c r="B406" s="45" t="s">
        <v>493</v>
      </c>
      <c r="C406" s="45"/>
      <c r="D406" s="45" t="s">
        <v>510</v>
      </c>
      <c r="E406" s="107">
        <v>44529</v>
      </c>
      <c r="F406" s="107">
        <v>44530</v>
      </c>
      <c r="G406" s="107">
        <v>44544</v>
      </c>
      <c r="H406" s="93" t="s">
        <v>4</v>
      </c>
      <c r="I406" s="64">
        <v>5000000</v>
      </c>
      <c r="J406" s="64" t="s">
        <v>2</v>
      </c>
      <c r="K406" s="66">
        <v>567900000</v>
      </c>
      <c r="L406" s="55">
        <v>113.58</v>
      </c>
      <c r="M406" s="46">
        <v>5000000</v>
      </c>
      <c r="N406" s="48">
        <v>1</v>
      </c>
      <c r="O406" s="58">
        <v>113.60793722419515</v>
      </c>
      <c r="P406" s="61">
        <v>2.7937175943321593E-2</v>
      </c>
      <c r="Q406" s="13">
        <v>34103.909450258056</v>
      </c>
      <c r="R406" s="41">
        <v>1229.5431761588184</v>
      </c>
      <c r="S406" s="38"/>
      <c r="U406" s="51">
        <v>30519</v>
      </c>
    </row>
    <row r="407" spans="1:21" s="7" customFormat="1" x14ac:dyDescent="0.25">
      <c r="A407" s="90">
        <v>1053607</v>
      </c>
      <c r="B407" s="45" t="s">
        <v>493</v>
      </c>
      <c r="C407" s="45"/>
      <c r="D407" s="45" t="s">
        <v>510</v>
      </c>
      <c r="E407" s="107">
        <v>44529</v>
      </c>
      <c r="F407" s="107">
        <v>44530</v>
      </c>
      <c r="G407" s="107">
        <v>44544</v>
      </c>
      <c r="H407" s="93" t="s">
        <v>4</v>
      </c>
      <c r="I407" s="64">
        <v>5000000</v>
      </c>
      <c r="J407" s="64" t="s">
        <v>2</v>
      </c>
      <c r="K407" s="66">
        <v>567900000</v>
      </c>
      <c r="L407" s="55">
        <v>113.58</v>
      </c>
      <c r="M407" s="46">
        <v>5000000</v>
      </c>
      <c r="N407" s="48">
        <v>1</v>
      </c>
      <c r="O407" s="58">
        <v>113.60793722419515</v>
      </c>
      <c r="P407" s="61">
        <v>2.7937175943321593E-2</v>
      </c>
      <c r="Q407" s="13">
        <v>34103.909450258056</v>
      </c>
      <c r="R407" s="41">
        <v>1229.5431761588184</v>
      </c>
      <c r="S407" s="38"/>
      <c r="U407" s="51">
        <v>30519</v>
      </c>
    </row>
    <row r="408" spans="1:21" s="7" customFormat="1" x14ac:dyDescent="0.25">
      <c r="A408" s="90">
        <v>1053615</v>
      </c>
      <c r="B408" s="45" t="s">
        <v>493</v>
      </c>
      <c r="C408" s="45"/>
      <c r="D408" s="45" t="s">
        <v>510</v>
      </c>
      <c r="E408" s="107">
        <v>44529</v>
      </c>
      <c r="F408" s="107">
        <v>44530</v>
      </c>
      <c r="G408" s="107">
        <v>44544</v>
      </c>
      <c r="H408" s="93" t="s">
        <v>4</v>
      </c>
      <c r="I408" s="64">
        <v>5000000</v>
      </c>
      <c r="J408" s="64" t="s">
        <v>2</v>
      </c>
      <c r="K408" s="66">
        <v>567900000</v>
      </c>
      <c r="L408" s="55">
        <v>113.58</v>
      </c>
      <c r="M408" s="46">
        <v>5000000</v>
      </c>
      <c r="N408" s="48">
        <v>1</v>
      </c>
      <c r="O408" s="58">
        <v>113.60793722419515</v>
      </c>
      <c r="P408" s="61">
        <v>2.7937175943321593E-2</v>
      </c>
      <c r="Q408" s="13">
        <v>34103.909450258056</v>
      </c>
      <c r="R408" s="41">
        <v>1229.5431761588184</v>
      </c>
      <c r="S408" s="38"/>
      <c r="U408" s="51">
        <v>30519</v>
      </c>
    </row>
    <row r="409" spans="1:21" s="7" customFormat="1" x14ac:dyDescent="0.25">
      <c r="A409" s="90">
        <v>1053624</v>
      </c>
      <c r="B409" s="45" t="s">
        <v>493</v>
      </c>
      <c r="C409" s="45"/>
      <c r="D409" s="45" t="s">
        <v>473</v>
      </c>
      <c r="E409" s="107">
        <v>44529</v>
      </c>
      <c r="F409" s="107">
        <v>44531</v>
      </c>
      <c r="G409" s="107">
        <v>44615</v>
      </c>
      <c r="H409" s="93" t="s">
        <v>4</v>
      </c>
      <c r="I409" s="64">
        <v>820000</v>
      </c>
      <c r="J409" s="64" t="s">
        <v>3</v>
      </c>
      <c r="K409" s="66">
        <v>5268172</v>
      </c>
      <c r="L409" s="55">
        <v>6.4245999999999999</v>
      </c>
      <c r="M409" s="46">
        <v>820000</v>
      </c>
      <c r="N409" s="48">
        <v>72</v>
      </c>
      <c r="O409" s="58">
        <v>6.4020009128747084</v>
      </c>
      <c r="P409" s="61">
        <v>-2.2489633880961479E-2</v>
      </c>
      <c r="Q409" s="13">
        <v>-80255.577495176738</v>
      </c>
      <c r="R409" s="41">
        <v>-2893.4424014292331</v>
      </c>
      <c r="S409" s="38"/>
      <c r="U409" s="51">
        <v>-68359</v>
      </c>
    </row>
    <row r="410" spans="1:21" s="7" customFormat="1" x14ac:dyDescent="0.25">
      <c r="A410" s="90">
        <v>1053626</v>
      </c>
      <c r="B410" s="45" t="s">
        <v>493</v>
      </c>
      <c r="C410" s="45"/>
      <c r="D410" s="45" t="s">
        <v>506</v>
      </c>
      <c r="E410" s="107">
        <v>44529</v>
      </c>
      <c r="F410" s="107">
        <v>44530</v>
      </c>
      <c r="G410" s="107">
        <v>44544</v>
      </c>
      <c r="H410" s="93" t="s">
        <v>2</v>
      </c>
      <c r="I410" s="64">
        <v>2273812000</v>
      </c>
      <c r="J410" s="64" t="s">
        <v>4</v>
      </c>
      <c r="K410" s="66">
        <v>20000000</v>
      </c>
      <c r="L410" s="55">
        <v>113.6906</v>
      </c>
      <c r="M410" s="46">
        <v>-20000000</v>
      </c>
      <c r="N410" s="48">
        <v>1</v>
      </c>
      <c r="O410" s="58">
        <v>113.60793722419515</v>
      </c>
      <c r="P410" s="61">
        <v>-8.2662633033664099E-2</v>
      </c>
      <c r="Q410" s="13">
        <v>403636.92559611105</v>
      </c>
      <c r="R410" s="41">
        <v>14552.262057705755</v>
      </c>
      <c r="S410" s="38"/>
      <c r="U410" s="51">
        <v>417987</v>
      </c>
    </row>
    <row r="411" spans="1:21" s="7" customFormat="1" x14ac:dyDescent="0.25">
      <c r="A411" s="90">
        <v>1053628</v>
      </c>
      <c r="B411" s="45" t="s">
        <v>493</v>
      </c>
      <c r="C411" s="45"/>
      <c r="D411" s="45" t="s">
        <v>507</v>
      </c>
      <c r="E411" s="107">
        <v>44529</v>
      </c>
      <c r="F411" s="107">
        <v>44530</v>
      </c>
      <c r="G411" s="107">
        <v>44544</v>
      </c>
      <c r="H411" s="93" t="s">
        <v>2</v>
      </c>
      <c r="I411" s="64">
        <v>568483150</v>
      </c>
      <c r="J411" s="64" t="s">
        <v>4</v>
      </c>
      <c r="K411" s="66">
        <v>5000000</v>
      </c>
      <c r="L411" s="55">
        <v>113.69663</v>
      </c>
      <c r="M411" s="46">
        <v>-5000000</v>
      </c>
      <c r="N411" s="48">
        <v>1</v>
      </c>
      <c r="O411" s="58">
        <v>113.60793722419515</v>
      </c>
      <c r="P411" s="61">
        <v>-8.8692622618932626E-2</v>
      </c>
      <c r="Q411" s="13">
        <v>108270.25526268558</v>
      </c>
      <c r="R411" s="41">
        <v>3903.4514131986452</v>
      </c>
      <c r="S411" s="38"/>
      <c r="U411" s="51">
        <v>111858</v>
      </c>
    </row>
    <row r="412" spans="1:21" s="7" customFormat="1" x14ac:dyDescent="0.25">
      <c r="A412" s="90">
        <v>1053641</v>
      </c>
      <c r="B412" s="45" t="s">
        <v>493</v>
      </c>
      <c r="C412" s="45"/>
      <c r="D412" s="45" t="s">
        <v>473</v>
      </c>
      <c r="E412" s="107">
        <v>44526</v>
      </c>
      <c r="F412" s="107">
        <v>44529</v>
      </c>
      <c r="G412" s="107">
        <v>44617</v>
      </c>
      <c r="H412" s="93" t="s">
        <v>3</v>
      </c>
      <c r="I412" s="64">
        <v>64368700</v>
      </c>
      <c r="J412" s="64" t="s">
        <v>4</v>
      </c>
      <c r="K412" s="66">
        <v>10000000</v>
      </c>
      <c r="L412" s="55">
        <v>6.4368699999999999</v>
      </c>
      <c r="M412" s="46">
        <v>-10000000</v>
      </c>
      <c r="N412" s="48">
        <v>74</v>
      </c>
      <c r="O412" s="58">
        <v>6.4028096901066061</v>
      </c>
      <c r="P412" s="61">
        <v>-3.3889704729809809E-2</v>
      </c>
      <c r="Q412" s="13">
        <v>1474846.3282955692</v>
      </c>
      <c r="R412" s="41">
        <v>53172.415364391134</v>
      </c>
      <c r="S412" s="38"/>
      <c r="U412" s="51">
        <v>1328038</v>
      </c>
    </row>
    <row r="413" spans="1:21" s="7" customFormat="1" x14ac:dyDescent="0.25">
      <c r="A413" s="90">
        <v>1054607</v>
      </c>
      <c r="B413" s="45" t="s">
        <v>493</v>
      </c>
      <c r="C413" s="45"/>
      <c r="D413" s="45" t="s">
        <v>473</v>
      </c>
      <c r="E413" s="107">
        <v>44530</v>
      </c>
      <c r="F413" s="107">
        <v>44532</v>
      </c>
      <c r="G413" s="107">
        <v>44543</v>
      </c>
      <c r="H413" s="93" t="s">
        <v>4</v>
      </c>
      <c r="I413" s="64">
        <v>12820626.2337</v>
      </c>
      <c r="J413" s="64" t="s">
        <v>1</v>
      </c>
      <c r="K413" s="66">
        <v>100000000</v>
      </c>
      <c r="L413" s="55">
        <v>7.7999310000273097</v>
      </c>
      <c r="M413" s="46">
        <v>12820626.2337</v>
      </c>
      <c r="N413" s="48">
        <v>0</v>
      </c>
      <c r="O413" s="58">
        <v>7.7997989962159444</v>
      </c>
      <c r="P413" s="61">
        <v>-1.3200381136524442E-4</v>
      </c>
      <c r="Q413" s="13">
        <v>-6018.2840517625737</v>
      </c>
      <c r="R413" s="41">
        <v>-216.97629999935756</v>
      </c>
      <c r="S413" s="38"/>
      <c r="U413" s="51">
        <v>-7386</v>
      </c>
    </row>
    <row r="414" spans="1:21" s="7" customFormat="1" x14ac:dyDescent="0.25">
      <c r="A414" s="90">
        <v>1055552</v>
      </c>
      <c r="B414" s="45" t="s">
        <v>493</v>
      </c>
      <c r="C414" s="45"/>
      <c r="D414" s="45" t="s">
        <v>489</v>
      </c>
      <c r="E414" s="107">
        <v>44531</v>
      </c>
      <c r="F414" s="107">
        <v>44531</v>
      </c>
      <c r="G414" s="107">
        <v>44623</v>
      </c>
      <c r="H414" s="93" t="s">
        <v>5</v>
      </c>
      <c r="I414" s="64">
        <v>881112.23149999999</v>
      </c>
      <c r="J414" s="64" t="s">
        <v>4</v>
      </c>
      <c r="K414" s="66">
        <v>1000000</v>
      </c>
      <c r="L414" s="55">
        <v>0.88111223149999995</v>
      </c>
      <c r="M414" s="46">
        <v>-1000000</v>
      </c>
      <c r="N414" s="48">
        <v>80</v>
      </c>
      <c r="O414" s="58">
        <v>0.88413367635806495</v>
      </c>
      <c r="P414" s="61">
        <v>3.0260893784783216E-3</v>
      </c>
      <c r="Q414" s="13">
        <v>-94734.707011422637</v>
      </c>
      <c r="R414" s="41">
        <v>-3415.4563048318878</v>
      </c>
      <c r="S414" s="38"/>
      <c r="U414" s="51">
        <v>-94236</v>
      </c>
    </row>
    <row r="415" spans="1:21" s="7" customFormat="1" x14ac:dyDescent="0.25">
      <c r="A415" s="90">
        <v>1055556</v>
      </c>
      <c r="B415" s="45" t="s">
        <v>493</v>
      </c>
      <c r="C415" s="45"/>
      <c r="D415" s="45" t="s">
        <v>500</v>
      </c>
      <c r="E415" s="107">
        <v>44531</v>
      </c>
      <c r="F415" s="107">
        <v>44531</v>
      </c>
      <c r="G415" s="107">
        <v>44623</v>
      </c>
      <c r="H415" s="93" t="s">
        <v>4</v>
      </c>
      <c r="I415" s="64">
        <v>1000000</v>
      </c>
      <c r="J415" s="64" t="s">
        <v>5</v>
      </c>
      <c r="K415" s="66">
        <v>881057.26870000002</v>
      </c>
      <c r="L415" s="55">
        <v>0.88105726870000001</v>
      </c>
      <c r="M415" s="46">
        <v>1000000</v>
      </c>
      <c r="N415" s="48">
        <v>80</v>
      </c>
      <c r="O415" s="58">
        <v>0.88413367635806495</v>
      </c>
      <c r="P415" s="61">
        <v>3.0811366664827053E-3</v>
      </c>
      <c r="Q415" s="13">
        <v>96458.01655342005</v>
      </c>
      <c r="R415" s="41">
        <v>3477.5865274933917</v>
      </c>
      <c r="S415" s="38"/>
      <c r="U415" s="51">
        <v>95959</v>
      </c>
    </row>
    <row r="416" spans="1:21" s="7" customFormat="1" x14ac:dyDescent="0.25">
      <c r="A416" s="90">
        <v>1056579</v>
      </c>
      <c r="B416" s="45" t="s">
        <v>493</v>
      </c>
      <c r="C416" s="45"/>
      <c r="D416" s="45" t="s">
        <v>509</v>
      </c>
      <c r="E416" s="107">
        <v>44532</v>
      </c>
      <c r="F416" s="107">
        <v>44533</v>
      </c>
      <c r="G416" s="107">
        <v>44594</v>
      </c>
      <c r="H416" s="93" t="s">
        <v>2</v>
      </c>
      <c r="I416" s="64">
        <v>225646320</v>
      </c>
      <c r="J416" s="64" t="s">
        <v>4</v>
      </c>
      <c r="K416" s="66">
        <v>2000000</v>
      </c>
      <c r="L416" s="55">
        <v>112.82316</v>
      </c>
      <c r="M416" s="46">
        <v>-2000000</v>
      </c>
      <c r="N416" s="48">
        <v>51</v>
      </c>
      <c r="O416" s="58">
        <v>113.52284151948005</v>
      </c>
      <c r="P416" s="61">
        <v>0.70008614556333915</v>
      </c>
      <c r="Q416" s="13">
        <v>-341848.07461012964</v>
      </c>
      <c r="R416" s="41">
        <v>-12324.597801110309</v>
      </c>
      <c r="S416" s="38"/>
      <c r="U416" s="51">
        <v>-341332</v>
      </c>
    </row>
    <row r="417" spans="1:21" s="7" customFormat="1" x14ac:dyDescent="0.25">
      <c r="A417" s="90">
        <v>1056678</v>
      </c>
      <c r="B417" s="45" t="s">
        <v>493</v>
      </c>
      <c r="C417" s="45"/>
      <c r="D417" s="45" t="s">
        <v>473</v>
      </c>
      <c r="E417" s="107">
        <v>44532</v>
      </c>
      <c r="F417" s="107">
        <v>44533</v>
      </c>
      <c r="G417" s="107">
        <v>44554</v>
      </c>
      <c r="H417" s="93" t="s">
        <v>3</v>
      </c>
      <c r="I417" s="64">
        <v>52954498</v>
      </c>
      <c r="J417" s="64" t="s">
        <v>4</v>
      </c>
      <c r="K417" s="66">
        <v>8300000</v>
      </c>
      <c r="L417" s="55">
        <v>6.3800600000000003</v>
      </c>
      <c r="M417" s="46">
        <v>-8300000</v>
      </c>
      <c r="N417" s="48">
        <v>11</v>
      </c>
      <c r="O417" s="58">
        <v>6.3756033886198198</v>
      </c>
      <c r="P417" s="61">
        <v>-4.455054640623202E-3</v>
      </c>
      <c r="Q417" s="13">
        <v>160920.03327012749</v>
      </c>
      <c r="R417" s="41">
        <v>5801.6260306789591</v>
      </c>
      <c r="S417" s="38"/>
      <c r="U417" s="51">
        <v>88455</v>
      </c>
    </row>
    <row r="418" spans="1:21" s="7" customFormat="1" x14ac:dyDescent="0.25">
      <c r="A418" s="90">
        <v>1056688</v>
      </c>
      <c r="B418" s="45" t="s">
        <v>493</v>
      </c>
      <c r="C418" s="45"/>
      <c r="D418" s="45" t="s">
        <v>507</v>
      </c>
      <c r="E418" s="107">
        <v>44532</v>
      </c>
      <c r="F418" s="107">
        <v>44533</v>
      </c>
      <c r="G418" s="107">
        <v>44554</v>
      </c>
      <c r="H418" s="93" t="s">
        <v>3</v>
      </c>
      <c r="I418" s="64">
        <v>19152249</v>
      </c>
      <c r="J418" s="64" t="s">
        <v>4</v>
      </c>
      <c r="K418" s="66">
        <v>3000000</v>
      </c>
      <c r="L418" s="55">
        <v>6.3840830000000004</v>
      </c>
      <c r="M418" s="46">
        <v>-3000000</v>
      </c>
      <c r="N418" s="48">
        <v>11</v>
      </c>
      <c r="O418" s="58">
        <v>6.3756033886198198</v>
      </c>
      <c r="P418" s="61">
        <v>-8.4766493659191172E-3</v>
      </c>
      <c r="Q418" s="13">
        <v>110668.61124857845</v>
      </c>
      <c r="R418" s="41">
        <v>3989.9189849225063</v>
      </c>
      <c r="S418" s="38"/>
      <c r="U418" s="51">
        <v>84460</v>
      </c>
    </row>
    <row r="419" spans="1:21" s="7" customFormat="1" x14ac:dyDescent="0.25">
      <c r="A419" s="90">
        <v>1057548</v>
      </c>
      <c r="B419" s="45" t="s">
        <v>493</v>
      </c>
      <c r="C419" s="45"/>
      <c r="D419" s="45" t="s">
        <v>506</v>
      </c>
      <c r="E419" s="107">
        <v>44533</v>
      </c>
      <c r="F419" s="107">
        <v>44533</v>
      </c>
      <c r="G419" s="107">
        <v>44547</v>
      </c>
      <c r="H419" s="93" t="s">
        <v>15</v>
      </c>
      <c r="I419" s="64">
        <v>20000000</v>
      </c>
      <c r="J419" s="64" t="s">
        <v>4</v>
      </c>
      <c r="K419" s="66">
        <v>26580500</v>
      </c>
      <c r="L419" s="55">
        <v>0.75243129361750161</v>
      </c>
      <c r="M419" s="46">
        <v>-26580500</v>
      </c>
      <c r="N419" s="48">
        <v>4</v>
      </c>
      <c r="O419" s="58">
        <v>0.75689158318336092</v>
      </c>
      <c r="P419" s="61">
        <v>4.4602218770219346E-3</v>
      </c>
      <c r="Q419" s="13">
        <v>-4344595.8107872009</v>
      </c>
      <c r="R419" s="41">
        <v>-156635.06672491389</v>
      </c>
      <c r="S419" s="38"/>
      <c r="U419" s="51">
        <v>-4341531</v>
      </c>
    </row>
    <row r="420" spans="1:21" s="7" customFormat="1" x14ac:dyDescent="0.25">
      <c r="A420" s="90">
        <v>1057550</v>
      </c>
      <c r="B420" s="45" t="s">
        <v>493</v>
      </c>
      <c r="C420" s="45"/>
      <c r="D420" s="45" t="s">
        <v>506</v>
      </c>
      <c r="E420" s="107">
        <v>44533</v>
      </c>
      <c r="F420" s="107">
        <v>44533</v>
      </c>
      <c r="G420" s="107">
        <v>44547</v>
      </c>
      <c r="H420" s="93" t="s">
        <v>15</v>
      </c>
      <c r="I420" s="64">
        <v>20000000</v>
      </c>
      <c r="J420" s="64" t="s">
        <v>4</v>
      </c>
      <c r="K420" s="66">
        <v>26579500</v>
      </c>
      <c r="L420" s="55">
        <v>0.75245960232510012</v>
      </c>
      <c r="M420" s="46">
        <v>-26579500</v>
      </c>
      <c r="N420" s="48">
        <v>4</v>
      </c>
      <c r="O420" s="58">
        <v>0.75689158318336092</v>
      </c>
      <c r="P420" s="61">
        <v>4.431913599033087E-3</v>
      </c>
      <c r="Q420" s="13">
        <v>-4316858.9788914807</v>
      </c>
      <c r="R420" s="41">
        <v>-155635.07484904438</v>
      </c>
      <c r="S420" s="38"/>
      <c r="U420" s="51">
        <v>-4313794</v>
      </c>
    </row>
    <row r="421" spans="1:21" s="7" customFormat="1" x14ac:dyDescent="0.25">
      <c r="A421" s="90">
        <v>1057552</v>
      </c>
      <c r="B421" s="45" t="s">
        <v>493</v>
      </c>
      <c r="C421" s="45"/>
      <c r="D421" s="45" t="s">
        <v>506</v>
      </c>
      <c r="E421" s="107">
        <v>44533</v>
      </c>
      <c r="F421" s="107">
        <v>44533</v>
      </c>
      <c r="G421" s="107">
        <v>44547</v>
      </c>
      <c r="H421" s="93" t="s">
        <v>15</v>
      </c>
      <c r="I421" s="64">
        <v>20000000</v>
      </c>
      <c r="J421" s="64" t="s">
        <v>4</v>
      </c>
      <c r="K421" s="66">
        <v>26578700</v>
      </c>
      <c r="L421" s="55">
        <v>0.75248225082490872</v>
      </c>
      <c r="M421" s="46">
        <v>-26578700</v>
      </c>
      <c r="N421" s="48">
        <v>4</v>
      </c>
      <c r="O421" s="58">
        <v>0.75689158318336092</v>
      </c>
      <c r="P421" s="61">
        <v>4.4092654429354963E-3</v>
      </c>
      <c r="Q421" s="13">
        <v>-4294669.5133747207</v>
      </c>
      <c r="R421" s="41">
        <v>-154835.08134834215</v>
      </c>
      <c r="S421" s="38"/>
      <c r="U421" s="51">
        <v>-4291605</v>
      </c>
    </row>
    <row r="422" spans="1:21" s="7" customFormat="1" x14ac:dyDescent="0.25">
      <c r="A422" s="90">
        <v>1057554</v>
      </c>
      <c r="B422" s="45" t="s">
        <v>493</v>
      </c>
      <c r="C422" s="45"/>
      <c r="D422" s="45" t="s">
        <v>497</v>
      </c>
      <c r="E422" s="107">
        <v>44533</v>
      </c>
      <c r="F422" s="107">
        <v>44533</v>
      </c>
      <c r="G422" s="107">
        <v>44547</v>
      </c>
      <c r="H422" s="93" t="s">
        <v>15</v>
      </c>
      <c r="I422" s="64">
        <v>20000000</v>
      </c>
      <c r="J422" s="64" t="s">
        <v>4</v>
      </c>
      <c r="K422" s="66">
        <v>26581052</v>
      </c>
      <c r="L422" s="55">
        <v>0.75241566812329319</v>
      </c>
      <c r="M422" s="46">
        <v>-26581052</v>
      </c>
      <c r="N422" s="48">
        <v>4</v>
      </c>
      <c r="O422" s="58">
        <v>0.75689158318336092</v>
      </c>
      <c r="P422" s="61">
        <v>4.4758471340996609E-3</v>
      </c>
      <c r="Q422" s="13">
        <v>-4359906.5419937959</v>
      </c>
      <c r="R422" s="41">
        <v>-157187.06224039954</v>
      </c>
      <c r="S422" s="38"/>
      <c r="U422" s="51">
        <v>-4356842</v>
      </c>
    </row>
    <row r="423" spans="1:21" s="7" customFormat="1" x14ac:dyDescent="0.25">
      <c r="A423" s="90">
        <v>1057556</v>
      </c>
      <c r="B423" s="45" t="s">
        <v>493</v>
      </c>
      <c r="C423" s="45"/>
      <c r="D423" s="45" t="s">
        <v>497</v>
      </c>
      <c r="E423" s="107">
        <v>44533</v>
      </c>
      <c r="F423" s="107">
        <v>44533</v>
      </c>
      <c r="G423" s="107">
        <v>44547</v>
      </c>
      <c r="H423" s="93" t="s">
        <v>15</v>
      </c>
      <c r="I423" s="64">
        <v>20000000</v>
      </c>
      <c r="J423" s="64" t="s">
        <v>4</v>
      </c>
      <c r="K423" s="66">
        <v>26580864</v>
      </c>
      <c r="L423" s="55">
        <v>0.75242098977670557</v>
      </c>
      <c r="M423" s="46">
        <v>-26580864</v>
      </c>
      <c r="N423" s="48">
        <v>4</v>
      </c>
      <c r="O423" s="58">
        <v>0.75689158318336092</v>
      </c>
      <c r="P423" s="61">
        <v>4.4705255614480742E-3</v>
      </c>
      <c r="Q423" s="13">
        <v>-4354692.0175972907</v>
      </c>
      <c r="R423" s="41">
        <v>-156999.06376773209</v>
      </c>
      <c r="S423" s="38"/>
      <c r="U423" s="51">
        <v>-4351627</v>
      </c>
    </row>
    <row r="424" spans="1:21" s="7" customFormat="1" x14ac:dyDescent="0.25">
      <c r="A424" s="90">
        <v>1057558</v>
      </c>
      <c r="B424" s="45" t="s">
        <v>493</v>
      </c>
      <c r="C424" s="45"/>
      <c r="D424" s="45" t="s">
        <v>497</v>
      </c>
      <c r="E424" s="107">
        <v>44533</v>
      </c>
      <c r="F424" s="107">
        <v>44533</v>
      </c>
      <c r="G424" s="107">
        <v>44547</v>
      </c>
      <c r="H424" s="93" t="s">
        <v>15</v>
      </c>
      <c r="I424" s="64">
        <v>20000000</v>
      </c>
      <c r="J424" s="64" t="s">
        <v>4</v>
      </c>
      <c r="K424" s="66">
        <v>26582468</v>
      </c>
      <c r="L424" s="55">
        <v>0.75237558830128193</v>
      </c>
      <c r="M424" s="46">
        <v>-26582468</v>
      </c>
      <c r="N424" s="48">
        <v>4</v>
      </c>
      <c r="O424" s="58">
        <v>0.75689158318336092</v>
      </c>
      <c r="P424" s="61">
        <v>4.5159263478641914E-3</v>
      </c>
      <c r="Q424" s="13">
        <v>-4399181.8959581936</v>
      </c>
      <c r="R424" s="41">
        <v>-158603.05073663281</v>
      </c>
      <c r="S424" s="38"/>
      <c r="U424" s="51">
        <v>-4396117</v>
      </c>
    </row>
    <row r="425" spans="1:21" s="7" customFormat="1" x14ac:dyDescent="0.25">
      <c r="A425" s="90">
        <v>1057560</v>
      </c>
      <c r="B425" s="45" t="s">
        <v>493</v>
      </c>
      <c r="C425" s="45"/>
      <c r="D425" s="45" t="s">
        <v>505</v>
      </c>
      <c r="E425" s="107">
        <v>44533</v>
      </c>
      <c r="F425" s="107">
        <v>44533</v>
      </c>
      <c r="G425" s="107">
        <v>44547</v>
      </c>
      <c r="H425" s="93" t="s">
        <v>15</v>
      </c>
      <c r="I425" s="64">
        <v>10000000</v>
      </c>
      <c r="J425" s="64" t="s">
        <v>4</v>
      </c>
      <c r="K425" s="66">
        <v>13289720</v>
      </c>
      <c r="L425" s="55">
        <v>0.75246130091529395</v>
      </c>
      <c r="M425" s="46">
        <v>-13289720</v>
      </c>
      <c r="N425" s="48">
        <v>4</v>
      </c>
      <c r="O425" s="58">
        <v>0.75689158318336092</v>
      </c>
      <c r="P425" s="61">
        <v>4.4302150346168618E-3</v>
      </c>
      <c r="Q425" s="13">
        <v>-2157597.3844888275</v>
      </c>
      <c r="R425" s="41">
        <v>-77787.537668244622</v>
      </c>
      <c r="S425" s="38"/>
      <c r="U425" s="51">
        <v>-2156065</v>
      </c>
    </row>
    <row r="426" spans="1:21" s="7" customFormat="1" x14ac:dyDescent="0.25">
      <c r="A426" s="90">
        <v>1057562</v>
      </c>
      <c r="B426" s="45" t="s">
        <v>493</v>
      </c>
      <c r="C426" s="45"/>
      <c r="D426" s="45" t="s">
        <v>489</v>
      </c>
      <c r="E426" s="107">
        <v>44533</v>
      </c>
      <c r="F426" s="107">
        <v>44533</v>
      </c>
      <c r="G426" s="107">
        <v>44547</v>
      </c>
      <c r="H426" s="93" t="s">
        <v>15</v>
      </c>
      <c r="I426" s="64">
        <v>15000000</v>
      </c>
      <c r="J426" s="64" t="s">
        <v>4</v>
      </c>
      <c r="K426" s="66">
        <v>19933143</v>
      </c>
      <c r="L426" s="55">
        <v>0.75251554659493491</v>
      </c>
      <c r="M426" s="46">
        <v>-19933143</v>
      </c>
      <c r="N426" s="48">
        <v>4</v>
      </c>
      <c r="O426" s="58">
        <v>0.75689158318336092</v>
      </c>
      <c r="P426" s="61">
        <v>4.3759701782020441E-3</v>
      </c>
      <c r="Q426" s="13">
        <v>-3196538.249298932</v>
      </c>
      <c r="R426" s="41">
        <v>-115244.31817673672</v>
      </c>
      <c r="S426" s="38"/>
      <c r="U426" s="51">
        <v>-3194240</v>
      </c>
    </row>
    <row r="427" spans="1:21" s="7" customFormat="1" x14ac:dyDescent="0.25">
      <c r="A427" s="90">
        <v>1057566</v>
      </c>
      <c r="B427" s="45" t="s">
        <v>493</v>
      </c>
      <c r="C427" s="45"/>
      <c r="D427" s="45" t="s">
        <v>510</v>
      </c>
      <c r="E427" s="107">
        <v>44533</v>
      </c>
      <c r="F427" s="107">
        <v>44533</v>
      </c>
      <c r="G427" s="107">
        <v>44547</v>
      </c>
      <c r="H427" s="93" t="s">
        <v>4</v>
      </c>
      <c r="I427" s="64">
        <v>6645200</v>
      </c>
      <c r="J427" s="64" t="s">
        <v>15</v>
      </c>
      <c r="K427" s="66">
        <v>5000000</v>
      </c>
      <c r="L427" s="55">
        <v>0.75242280142057427</v>
      </c>
      <c r="M427" s="46">
        <v>6645200</v>
      </c>
      <c r="N427" s="48">
        <v>4</v>
      </c>
      <c r="O427" s="58">
        <v>0.75689158318336092</v>
      </c>
      <c r="P427" s="61">
        <v>4.4687139450726721E-3</v>
      </c>
      <c r="Q427" s="13">
        <v>1088229.2150889947</v>
      </c>
      <c r="R427" s="41">
        <v>39233.766071919243</v>
      </c>
      <c r="S427" s="38"/>
      <c r="U427" s="51">
        <v>1087463</v>
      </c>
    </row>
    <row r="428" spans="1:21" s="7" customFormat="1" x14ac:dyDescent="0.25">
      <c r="A428" s="90">
        <v>1057575</v>
      </c>
      <c r="B428" s="45" t="s">
        <v>493</v>
      </c>
      <c r="C428" s="45"/>
      <c r="D428" s="45" t="s">
        <v>510</v>
      </c>
      <c r="E428" s="107">
        <v>44533</v>
      </c>
      <c r="F428" s="107">
        <v>44533</v>
      </c>
      <c r="G428" s="107">
        <v>44547</v>
      </c>
      <c r="H428" s="93" t="s">
        <v>4</v>
      </c>
      <c r="I428" s="64">
        <v>6645200</v>
      </c>
      <c r="J428" s="64" t="s">
        <v>15</v>
      </c>
      <c r="K428" s="66">
        <v>5000000</v>
      </c>
      <c r="L428" s="55">
        <v>0.75242280142057427</v>
      </c>
      <c r="M428" s="46">
        <v>6645200</v>
      </c>
      <c r="N428" s="48">
        <v>4</v>
      </c>
      <c r="O428" s="58">
        <v>0.75689158318336092</v>
      </c>
      <c r="P428" s="61">
        <v>4.4687139450726721E-3</v>
      </c>
      <c r="Q428" s="13">
        <v>1088229.2150889947</v>
      </c>
      <c r="R428" s="41">
        <v>39233.766071919243</v>
      </c>
      <c r="S428" s="38"/>
      <c r="U428" s="51">
        <v>1087463</v>
      </c>
    </row>
    <row r="429" spans="1:21" s="7" customFormat="1" x14ac:dyDescent="0.25">
      <c r="A429" s="90">
        <v>1057584</v>
      </c>
      <c r="B429" s="45" t="s">
        <v>493</v>
      </c>
      <c r="C429" s="45"/>
      <c r="D429" s="45" t="s">
        <v>510</v>
      </c>
      <c r="E429" s="107">
        <v>44533</v>
      </c>
      <c r="F429" s="107">
        <v>44533</v>
      </c>
      <c r="G429" s="107">
        <v>44547</v>
      </c>
      <c r="H429" s="93" t="s">
        <v>4</v>
      </c>
      <c r="I429" s="64">
        <v>6645200</v>
      </c>
      <c r="J429" s="64" t="s">
        <v>15</v>
      </c>
      <c r="K429" s="66">
        <v>5000000</v>
      </c>
      <c r="L429" s="55">
        <v>0.75242280142057427</v>
      </c>
      <c r="M429" s="46">
        <v>6645200</v>
      </c>
      <c r="N429" s="48">
        <v>4</v>
      </c>
      <c r="O429" s="58">
        <v>0.75689158318336092</v>
      </c>
      <c r="P429" s="61">
        <v>4.4687139450726721E-3</v>
      </c>
      <c r="Q429" s="13">
        <v>1088229.2150889947</v>
      </c>
      <c r="R429" s="41">
        <v>39233.766071919243</v>
      </c>
      <c r="S429" s="38"/>
      <c r="U429" s="51">
        <v>1087463</v>
      </c>
    </row>
    <row r="430" spans="1:21" s="7" customFormat="1" x14ac:dyDescent="0.25">
      <c r="A430" s="90">
        <v>1057592</v>
      </c>
      <c r="B430" s="45" t="s">
        <v>493</v>
      </c>
      <c r="C430" s="45"/>
      <c r="D430" s="45" t="s">
        <v>510</v>
      </c>
      <c r="E430" s="107">
        <v>44533</v>
      </c>
      <c r="F430" s="107">
        <v>44533</v>
      </c>
      <c r="G430" s="107">
        <v>44547</v>
      </c>
      <c r="H430" s="93" t="s">
        <v>4</v>
      </c>
      <c r="I430" s="64">
        <v>6645200</v>
      </c>
      <c r="J430" s="64" t="s">
        <v>15</v>
      </c>
      <c r="K430" s="66">
        <v>5000000</v>
      </c>
      <c r="L430" s="55">
        <v>0.75242280142057427</v>
      </c>
      <c r="M430" s="46">
        <v>6645200</v>
      </c>
      <c r="N430" s="48">
        <v>4</v>
      </c>
      <c r="O430" s="58">
        <v>0.75689158318336092</v>
      </c>
      <c r="P430" s="61">
        <v>4.4687139450726721E-3</v>
      </c>
      <c r="Q430" s="13">
        <v>1088229.2150889947</v>
      </c>
      <c r="R430" s="41">
        <v>39233.766071919243</v>
      </c>
      <c r="S430" s="38"/>
      <c r="U430" s="51">
        <v>1087463</v>
      </c>
    </row>
    <row r="431" spans="1:21" s="7" customFormat="1" x14ac:dyDescent="0.25">
      <c r="A431" s="90">
        <v>1057600</v>
      </c>
      <c r="B431" s="45" t="s">
        <v>493</v>
      </c>
      <c r="C431" s="45"/>
      <c r="D431" s="45" t="s">
        <v>510</v>
      </c>
      <c r="E431" s="107">
        <v>44533</v>
      </c>
      <c r="F431" s="107">
        <v>44533</v>
      </c>
      <c r="G431" s="107">
        <v>44547</v>
      </c>
      <c r="H431" s="93" t="s">
        <v>4</v>
      </c>
      <c r="I431" s="64">
        <v>6645200</v>
      </c>
      <c r="J431" s="64" t="s">
        <v>15</v>
      </c>
      <c r="K431" s="66">
        <v>5000000</v>
      </c>
      <c r="L431" s="55">
        <v>0.75242280142057427</v>
      </c>
      <c r="M431" s="46">
        <v>6645200</v>
      </c>
      <c r="N431" s="48">
        <v>4</v>
      </c>
      <c r="O431" s="58">
        <v>0.75689158318336092</v>
      </c>
      <c r="P431" s="61">
        <v>4.4687139450726721E-3</v>
      </c>
      <c r="Q431" s="13">
        <v>1088229.2150889947</v>
      </c>
      <c r="R431" s="41">
        <v>39233.766071919243</v>
      </c>
      <c r="S431" s="38"/>
      <c r="U431" s="51">
        <v>1087463</v>
      </c>
    </row>
    <row r="432" spans="1:21" s="7" customFormat="1" x14ac:dyDescent="0.25">
      <c r="A432" s="90">
        <v>1057609</v>
      </c>
      <c r="B432" s="45" t="s">
        <v>493</v>
      </c>
      <c r="C432" s="45"/>
      <c r="D432" s="45" t="s">
        <v>510</v>
      </c>
      <c r="E432" s="107">
        <v>44533</v>
      </c>
      <c r="F432" s="107">
        <v>44533</v>
      </c>
      <c r="G432" s="107">
        <v>44547</v>
      </c>
      <c r="H432" s="93" t="s">
        <v>4</v>
      </c>
      <c r="I432" s="64">
        <v>6645200</v>
      </c>
      <c r="J432" s="64" t="s">
        <v>15</v>
      </c>
      <c r="K432" s="66">
        <v>5000000</v>
      </c>
      <c r="L432" s="55">
        <v>0.75242280142057427</v>
      </c>
      <c r="M432" s="46">
        <v>6645200</v>
      </c>
      <c r="N432" s="48">
        <v>4</v>
      </c>
      <c r="O432" s="58">
        <v>0.75689158318336092</v>
      </c>
      <c r="P432" s="61">
        <v>4.4687139450726721E-3</v>
      </c>
      <c r="Q432" s="13">
        <v>1088229.2150889947</v>
      </c>
      <c r="R432" s="41">
        <v>39233.766071919243</v>
      </c>
      <c r="S432" s="38"/>
      <c r="U432" s="51">
        <v>1087463</v>
      </c>
    </row>
    <row r="433" spans="1:21" s="7" customFormat="1" x14ac:dyDescent="0.25">
      <c r="A433" s="90">
        <v>1057617</v>
      </c>
      <c r="B433" s="45" t="s">
        <v>493</v>
      </c>
      <c r="C433" s="45"/>
      <c r="D433" s="45" t="s">
        <v>510</v>
      </c>
      <c r="E433" s="107">
        <v>44533</v>
      </c>
      <c r="F433" s="107">
        <v>44533</v>
      </c>
      <c r="G433" s="107">
        <v>44547</v>
      </c>
      <c r="H433" s="93" t="s">
        <v>4</v>
      </c>
      <c r="I433" s="64">
        <v>6645200</v>
      </c>
      <c r="J433" s="64" t="s">
        <v>15</v>
      </c>
      <c r="K433" s="66">
        <v>5000000</v>
      </c>
      <c r="L433" s="55">
        <v>0.75242280142057427</v>
      </c>
      <c r="M433" s="46">
        <v>6645200</v>
      </c>
      <c r="N433" s="48">
        <v>4</v>
      </c>
      <c r="O433" s="58">
        <v>0.75689158318336092</v>
      </c>
      <c r="P433" s="61">
        <v>4.4687139450726721E-3</v>
      </c>
      <c r="Q433" s="13">
        <v>1088229.2150889947</v>
      </c>
      <c r="R433" s="41">
        <v>39233.766071919243</v>
      </c>
      <c r="S433" s="38"/>
      <c r="U433" s="51">
        <v>1087463</v>
      </c>
    </row>
    <row r="434" spans="1:21" s="7" customFormat="1" x14ac:dyDescent="0.25">
      <c r="A434" s="88">
        <v>1057625</v>
      </c>
      <c r="B434" s="45" t="s">
        <v>493</v>
      </c>
      <c r="C434" s="45"/>
      <c r="D434" s="39" t="s">
        <v>510</v>
      </c>
      <c r="E434" s="108">
        <v>44533</v>
      </c>
      <c r="F434" s="108">
        <v>44533</v>
      </c>
      <c r="G434" s="108">
        <v>44547</v>
      </c>
      <c r="H434" s="94" t="s">
        <v>4</v>
      </c>
      <c r="I434" s="65">
        <v>6645200</v>
      </c>
      <c r="J434" s="65" t="s">
        <v>15</v>
      </c>
      <c r="K434" s="67">
        <v>5000000</v>
      </c>
      <c r="L434" s="55">
        <v>0.75242280142057427</v>
      </c>
      <c r="M434" s="46">
        <v>6645200</v>
      </c>
      <c r="N434" s="48">
        <v>4</v>
      </c>
      <c r="O434" s="58">
        <v>0.75689158318336092</v>
      </c>
      <c r="P434" s="61">
        <v>4.4687139450726721E-3</v>
      </c>
      <c r="Q434" s="13">
        <v>1088229.2150889947</v>
      </c>
      <c r="R434" s="41">
        <v>39233.766071919243</v>
      </c>
      <c r="S434" s="38"/>
      <c r="U434" s="51">
        <v>1087463</v>
      </c>
    </row>
    <row r="435" spans="1:21" s="7" customFormat="1" x14ac:dyDescent="0.25">
      <c r="A435" s="88">
        <v>1057633</v>
      </c>
      <c r="B435" s="45" t="s">
        <v>493</v>
      </c>
      <c r="C435" s="45"/>
      <c r="D435" s="39" t="s">
        <v>510</v>
      </c>
      <c r="E435" s="108">
        <v>44533</v>
      </c>
      <c r="F435" s="108">
        <v>44533</v>
      </c>
      <c r="G435" s="108">
        <v>44547</v>
      </c>
      <c r="H435" s="94" t="s">
        <v>4</v>
      </c>
      <c r="I435" s="65">
        <v>6645200</v>
      </c>
      <c r="J435" s="65" t="s">
        <v>15</v>
      </c>
      <c r="K435" s="67">
        <v>5000000</v>
      </c>
      <c r="L435" s="55">
        <v>0.75242280142057427</v>
      </c>
      <c r="M435" s="46">
        <v>6645200</v>
      </c>
      <c r="N435" s="48">
        <v>4</v>
      </c>
      <c r="O435" s="58">
        <v>0.75689158318336092</v>
      </c>
      <c r="P435" s="61">
        <v>4.4687139450726721E-3</v>
      </c>
      <c r="Q435" s="13">
        <v>1088229.2150889947</v>
      </c>
      <c r="R435" s="41">
        <v>39233.766071919243</v>
      </c>
      <c r="S435" s="38"/>
      <c r="U435" s="51">
        <v>1087463</v>
      </c>
    </row>
    <row r="436" spans="1:21" s="7" customFormat="1" x14ac:dyDescent="0.25">
      <c r="A436" s="90">
        <v>1057641</v>
      </c>
      <c r="B436" s="45" t="s">
        <v>493</v>
      </c>
      <c r="C436" s="45"/>
      <c r="D436" s="45" t="s">
        <v>510</v>
      </c>
      <c r="E436" s="107">
        <v>44533</v>
      </c>
      <c r="F436" s="107">
        <v>44533</v>
      </c>
      <c r="G436" s="107">
        <v>44547</v>
      </c>
      <c r="H436" s="93" t="s">
        <v>4</v>
      </c>
      <c r="I436" s="64">
        <v>6645200</v>
      </c>
      <c r="J436" s="64" t="s">
        <v>15</v>
      </c>
      <c r="K436" s="66">
        <v>5000000</v>
      </c>
      <c r="L436" s="55">
        <v>0.75242280142057427</v>
      </c>
      <c r="M436" s="46">
        <v>6645200</v>
      </c>
      <c r="N436" s="48">
        <v>4</v>
      </c>
      <c r="O436" s="58">
        <v>0.75689158318336092</v>
      </c>
      <c r="P436" s="61">
        <v>4.4687139450726721E-3</v>
      </c>
      <c r="Q436" s="13">
        <v>1088229.2150889947</v>
      </c>
      <c r="R436" s="41">
        <v>39233.766071919243</v>
      </c>
      <c r="S436" s="38"/>
      <c r="U436" s="51">
        <v>1087463</v>
      </c>
    </row>
    <row r="437" spans="1:21" s="7" customFormat="1" x14ac:dyDescent="0.25">
      <c r="A437" s="90">
        <v>1057649</v>
      </c>
      <c r="B437" s="45" t="s">
        <v>493</v>
      </c>
      <c r="C437" s="45"/>
      <c r="D437" s="45" t="s">
        <v>510</v>
      </c>
      <c r="E437" s="107">
        <v>44533</v>
      </c>
      <c r="F437" s="107">
        <v>44533</v>
      </c>
      <c r="G437" s="107">
        <v>44547</v>
      </c>
      <c r="H437" s="93" t="s">
        <v>4</v>
      </c>
      <c r="I437" s="64">
        <v>6645200</v>
      </c>
      <c r="J437" s="64" t="s">
        <v>15</v>
      </c>
      <c r="K437" s="66">
        <v>5000000</v>
      </c>
      <c r="L437" s="55">
        <v>0.75242280142057427</v>
      </c>
      <c r="M437" s="46">
        <v>6645200</v>
      </c>
      <c r="N437" s="48">
        <v>4</v>
      </c>
      <c r="O437" s="58">
        <v>0.75689158318336092</v>
      </c>
      <c r="P437" s="61">
        <v>4.4687139450726721E-3</v>
      </c>
      <c r="Q437" s="13">
        <v>1088229.2150889947</v>
      </c>
      <c r="R437" s="41">
        <v>39233.766071919243</v>
      </c>
      <c r="S437" s="38"/>
      <c r="U437" s="51">
        <v>1087463</v>
      </c>
    </row>
    <row r="438" spans="1:21" s="7" customFormat="1" x14ac:dyDescent="0.25">
      <c r="A438" s="90">
        <v>1057657</v>
      </c>
      <c r="B438" s="45" t="s">
        <v>493</v>
      </c>
      <c r="C438" s="45"/>
      <c r="D438" s="45" t="s">
        <v>510</v>
      </c>
      <c r="E438" s="107">
        <v>44533</v>
      </c>
      <c r="F438" s="107">
        <v>44533</v>
      </c>
      <c r="G438" s="107">
        <v>44547</v>
      </c>
      <c r="H438" s="93" t="s">
        <v>4</v>
      </c>
      <c r="I438" s="64">
        <v>6645200</v>
      </c>
      <c r="J438" s="64" t="s">
        <v>15</v>
      </c>
      <c r="K438" s="66">
        <v>5000000</v>
      </c>
      <c r="L438" s="55">
        <v>0.75242280142057427</v>
      </c>
      <c r="M438" s="46">
        <v>6645200</v>
      </c>
      <c r="N438" s="48">
        <v>4</v>
      </c>
      <c r="O438" s="58">
        <v>0.75689158318336092</v>
      </c>
      <c r="P438" s="61">
        <v>4.4687139450726721E-3</v>
      </c>
      <c r="Q438" s="13">
        <v>1088229.2150889947</v>
      </c>
      <c r="R438" s="41">
        <v>39233.766071919243</v>
      </c>
      <c r="S438" s="38"/>
      <c r="U438" s="51">
        <v>1087463</v>
      </c>
    </row>
    <row r="439" spans="1:21" s="7" customFormat="1" x14ac:dyDescent="0.25">
      <c r="A439" s="90">
        <v>1057665</v>
      </c>
      <c r="B439" s="45" t="s">
        <v>493</v>
      </c>
      <c r="C439" s="45"/>
      <c r="D439" s="45" t="s">
        <v>510</v>
      </c>
      <c r="E439" s="107">
        <v>44533</v>
      </c>
      <c r="F439" s="107">
        <v>44533</v>
      </c>
      <c r="G439" s="107">
        <v>44547</v>
      </c>
      <c r="H439" s="93" t="s">
        <v>4</v>
      </c>
      <c r="I439" s="64">
        <v>6645200</v>
      </c>
      <c r="J439" s="64" t="s">
        <v>15</v>
      </c>
      <c r="K439" s="66">
        <v>5000000</v>
      </c>
      <c r="L439" s="55">
        <v>0.75242280142057427</v>
      </c>
      <c r="M439" s="46">
        <v>6645200</v>
      </c>
      <c r="N439" s="48">
        <v>4</v>
      </c>
      <c r="O439" s="58">
        <v>0.75689158318336092</v>
      </c>
      <c r="P439" s="61">
        <v>4.4687139450726721E-3</v>
      </c>
      <c r="Q439" s="13">
        <v>1088229.2150889947</v>
      </c>
      <c r="R439" s="41">
        <v>39233.766071919243</v>
      </c>
      <c r="S439" s="38"/>
      <c r="U439" s="51">
        <v>1087463</v>
      </c>
    </row>
    <row r="440" spans="1:21" s="7" customFormat="1" x14ac:dyDescent="0.25">
      <c r="A440" s="90">
        <v>1057673</v>
      </c>
      <c r="B440" s="45" t="s">
        <v>493</v>
      </c>
      <c r="C440" s="45"/>
      <c r="D440" s="45" t="s">
        <v>510</v>
      </c>
      <c r="E440" s="107">
        <v>44533</v>
      </c>
      <c r="F440" s="107">
        <v>44533</v>
      </c>
      <c r="G440" s="107">
        <v>44547</v>
      </c>
      <c r="H440" s="93" t="s">
        <v>4</v>
      </c>
      <c r="I440" s="64">
        <v>6645200</v>
      </c>
      <c r="J440" s="64" t="s">
        <v>15</v>
      </c>
      <c r="K440" s="66">
        <v>5000000</v>
      </c>
      <c r="L440" s="55">
        <v>0.75242280142057427</v>
      </c>
      <c r="M440" s="46">
        <v>6645200</v>
      </c>
      <c r="N440" s="48">
        <v>4</v>
      </c>
      <c r="O440" s="58">
        <v>0.75689158318336092</v>
      </c>
      <c r="P440" s="61">
        <v>4.4687139450726721E-3</v>
      </c>
      <c r="Q440" s="13">
        <v>1088229.2150889947</v>
      </c>
      <c r="R440" s="41">
        <v>39233.766071919243</v>
      </c>
      <c r="S440" s="38"/>
      <c r="U440" s="51">
        <v>1087463</v>
      </c>
    </row>
    <row r="441" spans="1:21" s="7" customFormat="1" x14ac:dyDescent="0.25">
      <c r="A441" s="90">
        <v>1057681</v>
      </c>
      <c r="B441" s="45" t="s">
        <v>493</v>
      </c>
      <c r="C441" s="45"/>
      <c r="D441" s="45" t="s">
        <v>510</v>
      </c>
      <c r="E441" s="107">
        <v>44533</v>
      </c>
      <c r="F441" s="107">
        <v>44533</v>
      </c>
      <c r="G441" s="107">
        <v>44547</v>
      </c>
      <c r="H441" s="93" t="s">
        <v>4</v>
      </c>
      <c r="I441" s="64">
        <v>6645200</v>
      </c>
      <c r="J441" s="64" t="s">
        <v>15</v>
      </c>
      <c r="K441" s="66">
        <v>5000000</v>
      </c>
      <c r="L441" s="55">
        <v>0.75242280142057427</v>
      </c>
      <c r="M441" s="46">
        <v>6645200</v>
      </c>
      <c r="N441" s="48">
        <v>4</v>
      </c>
      <c r="O441" s="58">
        <v>0.75689158318336092</v>
      </c>
      <c r="P441" s="61">
        <v>4.4687139450726721E-3</v>
      </c>
      <c r="Q441" s="13">
        <v>1088229.2150889947</v>
      </c>
      <c r="R441" s="41">
        <v>39233.766071919243</v>
      </c>
      <c r="S441" s="38"/>
      <c r="U441" s="51">
        <v>1087463</v>
      </c>
    </row>
    <row r="442" spans="1:21" s="7" customFormat="1" x14ac:dyDescent="0.25">
      <c r="A442" s="88">
        <v>1057689</v>
      </c>
      <c r="B442" s="45" t="s">
        <v>493</v>
      </c>
      <c r="C442" s="45"/>
      <c r="D442" s="39" t="s">
        <v>510</v>
      </c>
      <c r="E442" s="108">
        <v>44533</v>
      </c>
      <c r="F442" s="108">
        <v>44533</v>
      </c>
      <c r="G442" s="108">
        <v>44547</v>
      </c>
      <c r="H442" s="94" t="s">
        <v>4</v>
      </c>
      <c r="I442" s="65">
        <v>6645200</v>
      </c>
      <c r="J442" s="65" t="s">
        <v>15</v>
      </c>
      <c r="K442" s="67">
        <v>5000000</v>
      </c>
      <c r="L442" s="55">
        <v>0.75242280142057427</v>
      </c>
      <c r="M442" s="46">
        <v>6645200</v>
      </c>
      <c r="N442" s="48">
        <v>4</v>
      </c>
      <c r="O442" s="58">
        <v>0.75689158318336092</v>
      </c>
      <c r="P442" s="61">
        <v>4.4687139450726721E-3</v>
      </c>
      <c r="Q442" s="13">
        <v>1088229.2150889947</v>
      </c>
      <c r="R442" s="41">
        <v>39233.766071919243</v>
      </c>
      <c r="S442" s="38"/>
      <c r="U442" s="51">
        <v>1087463</v>
      </c>
    </row>
    <row r="443" spans="1:21" s="7" customFormat="1" x14ac:dyDescent="0.25">
      <c r="A443" s="88">
        <v>1057697</v>
      </c>
      <c r="B443" s="45" t="s">
        <v>493</v>
      </c>
      <c r="C443" s="45"/>
      <c r="D443" s="39" t="s">
        <v>510</v>
      </c>
      <c r="E443" s="108">
        <v>44533</v>
      </c>
      <c r="F443" s="108">
        <v>44533</v>
      </c>
      <c r="G443" s="108">
        <v>44547</v>
      </c>
      <c r="H443" s="94" t="s">
        <v>4</v>
      </c>
      <c r="I443" s="65">
        <v>6645200</v>
      </c>
      <c r="J443" s="65" t="s">
        <v>15</v>
      </c>
      <c r="K443" s="67">
        <v>5000000</v>
      </c>
      <c r="L443" s="55">
        <v>0.75242280142057427</v>
      </c>
      <c r="M443" s="46">
        <v>6645200</v>
      </c>
      <c r="N443" s="48">
        <v>4</v>
      </c>
      <c r="O443" s="58">
        <v>0.75689158318336092</v>
      </c>
      <c r="P443" s="61">
        <v>4.4687139450726721E-3</v>
      </c>
      <c r="Q443" s="13">
        <v>1088229.2150889947</v>
      </c>
      <c r="R443" s="41">
        <v>39233.766071919243</v>
      </c>
      <c r="S443" s="38"/>
      <c r="U443" s="51">
        <v>1087463</v>
      </c>
    </row>
    <row r="444" spans="1:21" s="7" customFormat="1" x14ac:dyDescent="0.25">
      <c r="A444" s="88">
        <v>1057705</v>
      </c>
      <c r="B444" s="45" t="s">
        <v>493</v>
      </c>
      <c r="C444" s="45"/>
      <c r="D444" s="39" t="s">
        <v>510</v>
      </c>
      <c r="E444" s="108">
        <v>44533</v>
      </c>
      <c r="F444" s="108">
        <v>44533</v>
      </c>
      <c r="G444" s="108">
        <v>44547</v>
      </c>
      <c r="H444" s="94" t="s">
        <v>4</v>
      </c>
      <c r="I444" s="65">
        <v>6645200</v>
      </c>
      <c r="J444" s="65" t="s">
        <v>15</v>
      </c>
      <c r="K444" s="67">
        <v>5000000</v>
      </c>
      <c r="L444" s="55">
        <v>0.75242280142057427</v>
      </c>
      <c r="M444" s="46">
        <v>6645200</v>
      </c>
      <c r="N444" s="48">
        <v>4</v>
      </c>
      <c r="O444" s="58">
        <v>0.75689158318336092</v>
      </c>
      <c r="P444" s="61">
        <v>4.4687139450726721E-3</v>
      </c>
      <c r="Q444" s="13">
        <v>1088229.2150889947</v>
      </c>
      <c r="R444" s="41">
        <v>39233.766071919243</v>
      </c>
      <c r="S444" s="38"/>
      <c r="U444" s="51">
        <v>1087463</v>
      </c>
    </row>
    <row r="445" spans="1:21" s="7" customFormat="1" x14ac:dyDescent="0.25">
      <c r="A445" s="88">
        <v>1057713</v>
      </c>
      <c r="B445" s="45" t="s">
        <v>493</v>
      </c>
      <c r="C445" s="45"/>
      <c r="D445" s="39" t="s">
        <v>510</v>
      </c>
      <c r="E445" s="108">
        <v>44533</v>
      </c>
      <c r="F445" s="108">
        <v>44533</v>
      </c>
      <c r="G445" s="108">
        <v>44547</v>
      </c>
      <c r="H445" s="94" t="s">
        <v>4</v>
      </c>
      <c r="I445" s="65">
        <v>6645200</v>
      </c>
      <c r="J445" s="65" t="s">
        <v>15</v>
      </c>
      <c r="K445" s="67">
        <v>5000000</v>
      </c>
      <c r="L445" s="55">
        <v>0.75242280142057427</v>
      </c>
      <c r="M445" s="46">
        <v>6645200</v>
      </c>
      <c r="N445" s="48">
        <v>4</v>
      </c>
      <c r="O445" s="58">
        <v>0.75689158318336092</v>
      </c>
      <c r="P445" s="61">
        <v>4.4687139450726721E-3</v>
      </c>
      <c r="Q445" s="13">
        <v>1088229.2150889947</v>
      </c>
      <c r="R445" s="41">
        <v>39233.766071919243</v>
      </c>
      <c r="S445" s="38"/>
      <c r="U445" s="51">
        <v>1087463</v>
      </c>
    </row>
    <row r="446" spans="1:21" s="7" customFormat="1" x14ac:dyDescent="0.25">
      <c r="A446" s="88">
        <v>1057721</v>
      </c>
      <c r="B446" s="45" t="s">
        <v>493</v>
      </c>
      <c r="C446" s="45"/>
      <c r="D446" s="39" t="s">
        <v>510</v>
      </c>
      <c r="E446" s="108">
        <v>44533</v>
      </c>
      <c r="F446" s="108">
        <v>44533</v>
      </c>
      <c r="G446" s="108">
        <v>44547</v>
      </c>
      <c r="H446" s="94" t="s">
        <v>4</v>
      </c>
      <c r="I446" s="65">
        <v>6645200</v>
      </c>
      <c r="J446" s="65" t="s">
        <v>15</v>
      </c>
      <c r="K446" s="67">
        <v>5000000</v>
      </c>
      <c r="L446" s="55">
        <v>0.75242280142057427</v>
      </c>
      <c r="M446" s="46">
        <v>6645200</v>
      </c>
      <c r="N446" s="48">
        <v>4</v>
      </c>
      <c r="O446" s="58">
        <v>0.75689158318336092</v>
      </c>
      <c r="P446" s="61">
        <v>4.4687139450726721E-3</v>
      </c>
      <c r="Q446" s="13">
        <v>1088229.2150889947</v>
      </c>
      <c r="R446" s="41">
        <v>39233.766071919243</v>
      </c>
      <c r="S446" s="38"/>
      <c r="U446" s="51">
        <v>1087463</v>
      </c>
    </row>
    <row r="447" spans="1:21" s="7" customFormat="1" x14ac:dyDescent="0.25">
      <c r="A447" s="90">
        <v>1057729</v>
      </c>
      <c r="B447" s="45" t="s">
        <v>493</v>
      </c>
      <c r="C447" s="45"/>
      <c r="D447" s="45" t="s">
        <v>510</v>
      </c>
      <c r="E447" s="107">
        <v>44533</v>
      </c>
      <c r="F447" s="107">
        <v>44533</v>
      </c>
      <c r="G447" s="107">
        <v>44547</v>
      </c>
      <c r="H447" s="93" t="s">
        <v>4</v>
      </c>
      <c r="I447" s="64">
        <v>6645200</v>
      </c>
      <c r="J447" s="64" t="s">
        <v>15</v>
      </c>
      <c r="K447" s="66">
        <v>5000000</v>
      </c>
      <c r="L447" s="55">
        <v>0.75242280142057427</v>
      </c>
      <c r="M447" s="46">
        <v>6645200</v>
      </c>
      <c r="N447" s="48">
        <v>4</v>
      </c>
      <c r="O447" s="58">
        <v>0.75689158318336092</v>
      </c>
      <c r="P447" s="61">
        <v>4.4687139450726721E-3</v>
      </c>
      <c r="Q447" s="13">
        <v>1088229.2150889947</v>
      </c>
      <c r="R447" s="41">
        <v>39233.766071919243</v>
      </c>
      <c r="S447" s="38"/>
      <c r="U447" s="51">
        <v>1087463</v>
      </c>
    </row>
    <row r="448" spans="1:21" s="7" customFormat="1" x14ac:dyDescent="0.25">
      <c r="A448" s="90">
        <v>1057737</v>
      </c>
      <c r="B448" s="45" t="s">
        <v>493</v>
      </c>
      <c r="C448" s="45"/>
      <c r="D448" s="45" t="s">
        <v>510</v>
      </c>
      <c r="E448" s="107">
        <v>44533</v>
      </c>
      <c r="F448" s="107">
        <v>44533</v>
      </c>
      <c r="G448" s="107">
        <v>44547</v>
      </c>
      <c r="H448" s="93" t="s">
        <v>4</v>
      </c>
      <c r="I448" s="64">
        <v>6645200</v>
      </c>
      <c r="J448" s="64" t="s">
        <v>15</v>
      </c>
      <c r="K448" s="66">
        <v>5000000</v>
      </c>
      <c r="L448" s="55">
        <v>0.75242280142057427</v>
      </c>
      <c r="M448" s="46">
        <v>6645200</v>
      </c>
      <c r="N448" s="48">
        <v>4</v>
      </c>
      <c r="O448" s="58">
        <v>0.75689158318336092</v>
      </c>
      <c r="P448" s="61">
        <v>4.4687139450726721E-3</v>
      </c>
      <c r="Q448" s="13">
        <v>1088229.2150889947</v>
      </c>
      <c r="R448" s="41">
        <v>39233.766071919243</v>
      </c>
      <c r="S448" s="38"/>
      <c r="U448" s="51">
        <v>1087463</v>
      </c>
    </row>
    <row r="449" spans="1:21" s="7" customFormat="1" x14ac:dyDescent="0.25">
      <c r="A449" s="90">
        <v>1057746</v>
      </c>
      <c r="B449" s="45" t="s">
        <v>493</v>
      </c>
      <c r="C449" s="45"/>
      <c r="D449" s="45" t="s">
        <v>510</v>
      </c>
      <c r="E449" s="107">
        <v>44533</v>
      </c>
      <c r="F449" s="107">
        <v>44533</v>
      </c>
      <c r="G449" s="107">
        <v>44547</v>
      </c>
      <c r="H449" s="93" t="s">
        <v>4</v>
      </c>
      <c r="I449" s="64">
        <v>6645200</v>
      </c>
      <c r="J449" s="64" t="s">
        <v>15</v>
      </c>
      <c r="K449" s="66">
        <v>5000000</v>
      </c>
      <c r="L449" s="55">
        <v>0.75242280142057427</v>
      </c>
      <c r="M449" s="46">
        <v>6645200</v>
      </c>
      <c r="N449" s="48">
        <v>4</v>
      </c>
      <c r="O449" s="58">
        <v>0.75689158318336092</v>
      </c>
      <c r="P449" s="61">
        <v>4.4687139450726721E-3</v>
      </c>
      <c r="Q449" s="13">
        <v>1088229.2150889947</v>
      </c>
      <c r="R449" s="41">
        <v>39233.766071919243</v>
      </c>
      <c r="S449" s="38"/>
      <c r="U449" s="51">
        <v>1087463</v>
      </c>
    </row>
    <row r="450" spans="1:21" s="7" customFormat="1" x14ac:dyDescent="0.25">
      <c r="A450" s="90">
        <v>1057754</v>
      </c>
      <c r="B450" s="45" t="s">
        <v>493</v>
      </c>
      <c r="C450" s="45"/>
      <c r="D450" s="45" t="s">
        <v>510</v>
      </c>
      <c r="E450" s="107">
        <v>44533</v>
      </c>
      <c r="F450" s="107">
        <v>44533</v>
      </c>
      <c r="G450" s="107">
        <v>44547</v>
      </c>
      <c r="H450" s="93" t="s">
        <v>4</v>
      </c>
      <c r="I450" s="64">
        <v>6645200</v>
      </c>
      <c r="J450" s="64" t="s">
        <v>15</v>
      </c>
      <c r="K450" s="66">
        <v>5000000</v>
      </c>
      <c r="L450" s="55">
        <v>0.75242280142057427</v>
      </c>
      <c r="M450" s="46">
        <v>6645200</v>
      </c>
      <c r="N450" s="48">
        <v>4</v>
      </c>
      <c r="O450" s="58">
        <v>0.75689158318336092</v>
      </c>
      <c r="P450" s="61">
        <v>4.4687139450726721E-3</v>
      </c>
      <c r="Q450" s="13">
        <v>1088229.2150889947</v>
      </c>
      <c r="R450" s="41">
        <v>39233.766071919243</v>
      </c>
      <c r="S450" s="38"/>
      <c r="U450" s="51">
        <v>1087463</v>
      </c>
    </row>
    <row r="451" spans="1:21" s="7" customFormat="1" x14ac:dyDescent="0.25">
      <c r="A451" s="90">
        <v>1057762</v>
      </c>
      <c r="B451" s="45" t="s">
        <v>493</v>
      </c>
      <c r="C451" s="45"/>
      <c r="D451" s="45" t="s">
        <v>510</v>
      </c>
      <c r="E451" s="107">
        <v>44533</v>
      </c>
      <c r="F451" s="107">
        <v>44533</v>
      </c>
      <c r="G451" s="107">
        <v>44547</v>
      </c>
      <c r="H451" s="93" t="s">
        <v>4</v>
      </c>
      <c r="I451" s="64">
        <v>6645200</v>
      </c>
      <c r="J451" s="64" t="s">
        <v>15</v>
      </c>
      <c r="K451" s="66">
        <v>5000000</v>
      </c>
      <c r="L451" s="55">
        <v>0.75242280142057427</v>
      </c>
      <c r="M451" s="46">
        <v>6645200</v>
      </c>
      <c r="N451" s="48">
        <v>4</v>
      </c>
      <c r="O451" s="58">
        <v>0.75689158318336092</v>
      </c>
      <c r="P451" s="61">
        <v>4.4687139450726721E-3</v>
      </c>
      <c r="Q451" s="13">
        <v>1088229.2150889947</v>
      </c>
      <c r="R451" s="41">
        <v>39233.766071919243</v>
      </c>
      <c r="S451" s="38"/>
      <c r="U451" s="51">
        <v>1087463</v>
      </c>
    </row>
    <row r="452" spans="1:21" s="7" customFormat="1" x14ac:dyDescent="0.25">
      <c r="A452" s="90">
        <v>1057770</v>
      </c>
      <c r="B452" s="45" t="s">
        <v>493</v>
      </c>
      <c r="C452" s="45"/>
      <c r="D452" s="45" t="s">
        <v>510</v>
      </c>
      <c r="E452" s="107">
        <v>44533</v>
      </c>
      <c r="F452" s="107">
        <v>44533</v>
      </c>
      <c r="G452" s="107">
        <v>44547</v>
      </c>
      <c r="H452" s="93" t="s">
        <v>4</v>
      </c>
      <c r="I452" s="64">
        <v>6645200</v>
      </c>
      <c r="J452" s="64" t="s">
        <v>15</v>
      </c>
      <c r="K452" s="66">
        <v>5000000</v>
      </c>
      <c r="L452" s="55">
        <v>0.75242280142057427</v>
      </c>
      <c r="M452" s="46">
        <v>6645200</v>
      </c>
      <c r="N452" s="48">
        <v>4</v>
      </c>
      <c r="O452" s="58">
        <v>0.75689158318336092</v>
      </c>
      <c r="P452" s="61">
        <v>4.4687139450726721E-3</v>
      </c>
      <c r="Q452" s="13">
        <v>1088229.2150889947</v>
      </c>
      <c r="R452" s="41">
        <v>39233.766071919243</v>
      </c>
      <c r="S452" s="38"/>
      <c r="U452" s="51">
        <v>1087463</v>
      </c>
    </row>
    <row r="453" spans="1:21" s="7" customFormat="1" x14ac:dyDescent="0.25">
      <c r="A453" s="90">
        <v>1057778</v>
      </c>
      <c r="B453" s="45" t="s">
        <v>493</v>
      </c>
      <c r="C453" s="45"/>
      <c r="D453" s="45" t="s">
        <v>510</v>
      </c>
      <c r="E453" s="107">
        <v>44533</v>
      </c>
      <c r="F453" s="107">
        <v>44533</v>
      </c>
      <c r="G453" s="107">
        <v>44547</v>
      </c>
      <c r="H453" s="93" t="s">
        <v>4</v>
      </c>
      <c r="I453" s="64">
        <v>6645200</v>
      </c>
      <c r="J453" s="64" t="s">
        <v>15</v>
      </c>
      <c r="K453" s="66">
        <v>5000000</v>
      </c>
      <c r="L453" s="55">
        <v>0.75242280142057427</v>
      </c>
      <c r="M453" s="46">
        <v>6645200</v>
      </c>
      <c r="N453" s="48">
        <v>4</v>
      </c>
      <c r="O453" s="58">
        <v>0.75689158318336092</v>
      </c>
      <c r="P453" s="61">
        <v>4.4687139450726721E-3</v>
      </c>
      <c r="Q453" s="13">
        <v>1088229.2150889947</v>
      </c>
      <c r="R453" s="41">
        <v>39233.766071919243</v>
      </c>
      <c r="S453" s="38"/>
      <c r="U453" s="51">
        <v>1087463</v>
      </c>
    </row>
    <row r="454" spans="1:21" s="7" customFormat="1" x14ac:dyDescent="0.25">
      <c r="A454" s="90">
        <v>1057786</v>
      </c>
      <c r="B454" s="45" t="s">
        <v>493</v>
      </c>
      <c r="C454" s="45"/>
      <c r="D454" s="45" t="s">
        <v>510</v>
      </c>
      <c r="E454" s="107">
        <v>44533</v>
      </c>
      <c r="F454" s="107">
        <v>44533</v>
      </c>
      <c r="G454" s="107">
        <v>44547</v>
      </c>
      <c r="H454" s="93" t="s">
        <v>4</v>
      </c>
      <c r="I454" s="64">
        <v>6645200</v>
      </c>
      <c r="J454" s="64" t="s">
        <v>15</v>
      </c>
      <c r="K454" s="66">
        <v>5000000</v>
      </c>
      <c r="L454" s="55">
        <v>0.75242280142057427</v>
      </c>
      <c r="M454" s="46">
        <v>6645200</v>
      </c>
      <c r="N454" s="48">
        <v>4</v>
      </c>
      <c r="O454" s="58">
        <v>0.75689158318336092</v>
      </c>
      <c r="P454" s="61">
        <v>4.4687139450726721E-3</v>
      </c>
      <c r="Q454" s="13">
        <v>1088229.2150889947</v>
      </c>
      <c r="R454" s="41">
        <v>39233.766071919243</v>
      </c>
      <c r="S454" s="38"/>
      <c r="U454" s="51">
        <v>1087463</v>
      </c>
    </row>
    <row r="455" spans="1:21" s="7" customFormat="1" x14ac:dyDescent="0.25">
      <c r="A455" s="90">
        <v>1057794</v>
      </c>
      <c r="B455" s="45" t="s">
        <v>493</v>
      </c>
      <c r="C455" s="45"/>
      <c r="D455" s="45" t="s">
        <v>510</v>
      </c>
      <c r="E455" s="107">
        <v>44533</v>
      </c>
      <c r="F455" s="107">
        <v>44533</v>
      </c>
      <c r="G455" s="107">
        <v>44547</v>
      </c>
      <c r="H455" s="93" t="s">
        <v>4</v>
      </c>
      <c r="I455" s="64">
        <v>6645200</v>
      </c>
      <c r="J455" s="64" t="s">
        <v>15</v>
      </c>
      <c r="K455" s="66">
        <v>5000000</v>
      </c>
      <c r="L455" s="55">
        <v>0.75242280142057427</v>
      </c>
      <c r="M455" s="46">
        <v>6645200</v>
      </c>
      <c r="N455" s="48">
        <v>4</v>
      </c>
      <c r="O455" s="58">
        <v>0.75689158318336092</v>
      </c>
      <c r="P455" s="61">
        <v>4.4687139450726721E-3</v>
      </c>
      <c r="Q455" s="13">
        <v>1088229.2150889947</v>
      </c>
      <c r="R455" s="41">
        <v>39233.766071919243</v>
      </c>
      <c r="S455" s="38"/>
      <c r="U455" s="51">
        <v>1087463</v>
      </c>
    </row>
    <row r="456" spans="1:21" s="7" customFormat="1" x14ac:dyDescent="0.25">
      <c r="A456" s="90">
        <v>1058900</v>
      </c>
      <c r="B456" s="45" t="s">
        <v>493</v>
      </c>
      <c r="C456" s="45"/>
      <c r="D456" s="45" t="s">
        <v>497</v>
      </c>
      <c r="E456" s="107">
        <v>44536</v>
      </c>
      <c r="F456" s="107">
        <v>44537</v>
      </c>
      <c r="G456" s="107">
        <v>44551</v>
      </c>
      <c r="H456" s="93" t="s">
        <v>7</v>
      </c>
      <c r="I456" s="64">
        <v>12824449</v>
      </c>
      <c r="J456" s="64" t="s">
        <v>4</v>
      </c>
      <c r="K456" s="66">
        <v>10000000</v>
      </c>
      <c r="L456" s="55">
        <v>1.2824449</v>
      </c>
      <c r="M456" s="46">
        <v>-10000000</v>
      </c>
      <c r="N456" s="48">
        <v>8</v>
      </c>
      <c r="O456" s="58">
        <v>1.2713504425056354</v>
      </c>
      <c r="P456" s="61">
        <v>-1.1094089310647343E-2</v>
      </c>
      <c r="Q456" s="13">
        <v>2420433.9321468901</v>
      </c>
      <c r="R456" s="41">
        <v>87263.544637166109</v>
      </c>
      <c r="S456" s="38"/>
      <c r="U456" s="51">
        <v>2412420</v>
      </c>
    </row>
    <row r="457" spans="1:21" s="7" customFormat="1" x14ac:dyDescent="0.25">
      <c r="A457" s="90">
        <v>1058911</v>
      </c>
      <c r="B457" s="45" t="s">
        <v>493</v>
      </c>
      <c r="C457" s="45"/>
      <c r="D457" s="45" t="s">
        <v>510</v>
      </c>
      <c r="E457" s="107">
        <v>44536</v>
      </c>
      <c r="F457" s="107">
        <v>44537</v>
      </c>
      <c r="G457" s="107">
        <v>44551</v>
      </c>
      <c r="H457" s="93" t="s">
        <v>4</v>
      </c>
      <c r="I457" s="64">
        <v>5000000</v>
      </c>
      <c r="J457" s="64" t="s">
        <v>7</v>
      </c>
      <c r="K457" s="66">
        <v>6412150</v>
      </c>
      <c r="L457" s="55">
        <v>1.28243</v>
      </c>
      <c r="M457" s="46">
        <v>5000000</v>
      </c>
      <c r="N457" s="48">
        <v>8</v>
      </c>
      <c r="O457" s="58">
        <v>1.2713504425056354</v>
      </c>
      <c r="P457" s="61">
        <v>-1.10791898051228E-2</v>
      </c>
      <c r="Q457" s="13">
        <v>-1208591.6290253105</v>
      </c>
      <c r="R457" s="41">
        <v>-43573.174283674285</v>
      </c>
      <c r="S457" s="38"/>
      <c r="U457" s="51">
        <v>-1204585</v>
      </c>
    </row>
    <row r="458" spans="1:21" s="7" customFormat="1" x14ac:dyDescent="0.25">
      <c r="A458" s="90">
        <v>1058919</v>
      </c>
      <c r="B458" s="45" t="s">
        <v>493</v>
      </c>
      <c r="C458" s="45"/>
      <c r="D458" s="45" t="s">
        <v>510</v>
      </c>
      <c r="E458" s="107">
        <v>44536</v>
      </c>
      <c r="F458" s="107">
        <v>44537</v>
      </c>
      <c r="G458" s="107">
        <v>44551</v>
      </c>
      <c r="H458" s="93" t="s">
        <v>4</v>
      </c>
      <c r="I458" s="64">
        <v>5000000</v>
      </c>
      <c r="J458" s="64" t="s">
        <v>7</v>
      </c>
      <c r="K458" s="66">
        <v>6412150</v>
      </c>
      <c r="L458" s="55">
        <v>1.28243</v>
      </c>
      <c r="M458" s="46">
        <v>5000000</v>
      </c>
      <c r="N458" s="48">
        <v>8</v>
      </c>
      <c r="O458" s="58">
        <v>1.2713504425056354</v>
      </c>
      <c r="P458" s="61">
        <v>-1.10791898051228E-2</v>
      </c>
      <c r="Q458" s="13">
        <v>-1208591.6290253105</v>
      </c>
      <c r="R458" s="41">
        <v>-43573.174283674285</v>
      </c>
      <c r="S458" s="38"/>
      <c r="U458" s="51">
        <v>-1204585</v>
      </c>
    </row>
    <row r="459" spans="1:21" s="7" customFormat="1" x14ac:dyDescent="0.25">
      <c r="A459" s="90">
        <v>1059845</v>
      </c>
      <c r="B459" s="45" t="s">
        <v>493</v>
      </c>
      <c r="C459" s="45"/>
      <c r="D459" s="45" t="s">
        <v>506</v>
      </c>
      <c r="E459" s="107">
        <v>44537</v>
      </c>
      <c r="F459" s="107">
        <v>44537</v>
      </c>
      <c r="G459" s="107">
        <v>44551</v>
      </c>
      <c r="H459" s="93" t="s">
        <v>5</v>
      </c>
      <c r="I459" s="64">
        <v>20000000</v>
      </c>
      <c r="J459" s="64" t="s">
        <v>4</v>
      </c>
      <c r="K459" s="66">
        <v>22572900</v>
      </c>
      <c r="L459" s="55">
        <v>0.88601818995343973</v>
      </c>
      <c r="M459" s="46">
        <v>-22572900</v>
      </c>
      <c r="N459" s="48">
        <v>8</v>
      </c>
      <c r="O459" s="58">
        <v>0.88590364068305383</v>
      </c>
      <c r="P459" s="61">
        <v>-1.1455944906271636E-4</v>
      </c>
      <c r="Q459" s="13">
        <v>80955.365725810057</v>
      </c>
      <c r="R459" s="41">
        <v>2918.6717624497464</v>
      </c>
      <c r="S459" s="38"/>
      <c r="U459" s="51">
        <v>135353</v>
      </c>
    </row>
    <row r="460" spans="1:21" s="7" customFormat="1" x14ac:dyDescent="0.25">
      <c r="A460" s="88">
        <v>1059847</v>
      </c>
      <c r="B460" s="45" t="s">
        <v>493</v>
      </c>
      <c r="C460" s="45"/>
      <c r="D460" s="39" t="s">
        <v>506</v>
      </c>
      <c r="E460" s="108">
        <v>44537</v>
      </c>
      <c r="F460" s="108">
        <v>44537</v>
      </c>
      <c r="G460" s="108">
        <v>44551</v>
      </c>
      <c r="H460" s="94" t="s">
        <v>5</v>
      </c>
      <c r="I460" s="65">
        <v>20000000</v>
      </c>
      <c r="J460" s="65" t="s">
        <v>4</v>
      </c>
      <c r="K460" s="67">
        <v>22572500</v>
      </c>
      <c r="L460" s="55">
        <v>0.886033890796323</v>
      </c>
      <c r="M460" s="46">
        <v>-22572500</v>
      </c>
      <c r="N460" s="48">
        <v>8</v>
      </c>
      <c r="O460" s="58">
        <v>0.88590364068305383</v>
      </c>
      <c r="P460" s="61">
        <v>-1.3026168709939925E-4</v>
      </c>
      <c r="Q460" s="13">
        <v>92049.985727543244</v>
      </c>
      <c r="R460" s="41">
        <v>3318.6644476022389</v>
      </c>
      <c r="S460" s="38"/>
      <c r="U460" s="51">
        <v>146448</v>
      </c>
    </row>
    <row r="461" spans="1:21" s="7" customFormat="1" x14ac:dyDescent="0.25">
      <c r="A461" s="90">
        <v>1059849</v>
      </c>
      <c r="B461" s="45" t="s">
        <v>493</v>
      </c>
      <c r="C461" s="45"/>
      <c r="D461" s="45" t="s">
        <v>507</v>
      </c>
      <c r="E461" s="107">
        <v>44537</v>
      </c>
      <c r="F461" s="107">
        <v>44537</v>
      </c>
      <c r="G461" s="107">
        <v>44551</v>
      </c>
      <c r="H461" s="93" t="s">
        <v>5</v>
      </c>
      <c r="I461" s="64">
        <v>5000000</v>
      </c>
      <c r="J461" s="64" t="s">
        <v>4</v>
      </c>
      <c r="K461" s="66">
        <v>5642774</v>
      </c>
      <c r="L461" s="55">
        <v>0.88608900515951905</v>
      </c>
      <c r="M461" s="46">
        <v>-5642774</v>
      </c>
      <c r="N461" s="48">
        <v>8</v>
      </c>
      <c r="O461" s="58">
        <v>0.88590364068305383</v>
      </c>
      <c r="P461" s="61">
        <v>-1.8538094767532097E-4</v>
      </c>
      <c r="Q461" s="13">
        <v>32748.025483363839</v>
      </c>
      <c r="R461" s="41">
        <v>1180.6596931203271</v>
      </c>
      <c r="S461" s="38"/>
      <c r="U461" s="51">
        <v>46347</v>
      </c>
    </row>
    <row r="462" spans="1:21" s="7" customFormat="1" x14ac:dyDescent="0.25">
      <c r="A462" s="90">
        <v>1059861</v>
      </c>
      <c r="B462" s="45" t="s">
        <v>493</v>
      </c>
      <c r="C462" s="45"/>
      <c r="D462" s="45" t="s">
        <v>510</v>
      </c>
      <c r="E462" s="107">
        <v>44537</v>
      </c>
      <c r="F462" s="107">
        <v>44537</v>
      </c>
      <c r="G462" s="107">
        <v>44551</v>
      </c>
      <c r="H462" s="93" t="s">
        <v>4</v>
      </c>
      <c r="I462" s="64">
        <v>5643500</v>
      </c>
      <c r="J462" s="64" t="s">
        <v>5</v>
      </c>
      <c r="K462" s="66">
        <v>5000000</v>
      </c>
      <c r="L462" s="55">
        <v>0.88597501550456281</v>
      </c>
      <c r="M462" s="46">
        <v>5643500</v>
      </c>
      <c r="N462" s="48">
        <v>8</v>
      </c>
      <c r="O462" s="58">
        <v>0.88590364068305383</v>
      </c>
      <c r="P462" s="61">
        <v>-7.1381163768857348E-5</v>
      </c>
      <c r="Q462" s="13">
        <v>-12611.290180298067</v>
      </c>
      <c r="R462" s="41">
        <v>-454.6729695714364</v>
      </c>
      <c r="S462" s="38"/>
      <c r="U462" s="51">
        <v>-26211</v>
      </c>
    </row>
    <row r="463" spans="1:21" s="7" customFormat="1" x14ac:dyDescent="0.25">
      <c r="A463" s="90">
        <v>1059869</v>
      </c>
      <c r="B463" s="45" t="s">
        <v>493</v>
      </c>
      <c r="C463" s="45"/>
      <c r="D463" s="45" t="s">
        <v>510</v>
      </c>
      <c r="E463" s="107">
        <v>44537</v>
      </c>
      <c r="F463" s="107">
        <v>44537</v>
      </c>
      <c r="G463" s="107">
        <v>44551</v>
      </c>
      <c r="H463" s="93" t="s">
        <v>4</v>
      </c>
      <c r="I463" s="64">
        <v>5643500</v>
      </c>
      <c r="J463" s="64" t="s">
        <v>5</v>
      </c>
      <c r="K463" s="66">
        <v>5000000</v>
      </c>
      <c r="L463" s="55">
        <v>0.88597501550456281</v>
      </c>
      <c r="M463" s="46">
        <v>5643500</v>
      </c>
      <c r="N463" s="48">
        <v>8</v>
      </c>
      <c r="O463" s="58">
        <v>0.88590364068305383</v>
      </c>
      <c r="P463" s="61">
        <v>-7.1381163768857348E-5</v>
      </c>
      <c r="Q463" s="13">
        <v>-12611.290180298067</v>
      </c>
      <c r="R463" s="41">
        <v>-454.6729695714364</v>
      </c>
      <c r="S463" s="38"/>
      <c r="U463" s="51">
        <v>-26211</v>
      </c>
    </row>
    <row r="464" spans="1:21" s="7" customFormat="1" x14ac:dyDescent="0.25">
      <c r="A464" s="90">
        <v>1059877</v>
      </c>
      <c r="B464" s="45" t="s">
        <v>493</v>
      </c>
      <c r="C464" s="45"/>
      <c r="D464" s="45" t="s">
        <v>510</v>
      </c>
      <c r="E464" s="107">
        <v>44537</v>
      </c>
      <c r="F464" s="107">
        <v>44537</v>
      </c>
      <c r="G464" s="107">
        <v>44551</v>
      </c>
      <c r="H464" s="93" t="s">
        <v>4</v>
      </c>
      <c r="I464" s="64">
        <v>5643500</v>
      </c>
      <c r="J464" s="64" t="s">
        <v>5</v>
      </c>
      <c r="K464" s="66">
        <v>5000000</v>
      </c>
      <c r="L464" s="55">
        <v>0.88597501550456281</v>
      </c>
      <c r="M464" s="46">
        <v>5643500</v>
      </c>
      <c r="N464" s="48">
        <v>8</v>
      </c>
      <c r="O464" s="58">
        <v>0.88590364068305383</v>
      </c>
      <c r="P464" s="61">
        <v>-7.1381163768857348E-5</v>
      </c>
      <c r="Q464" s="13">
        <v>-12611.290180298067</v>
      </c>
      <c r="R464" s="41">
        <v>-454.6729695714364</v>
      </c>
      <c r="S464" s="38"/>
      <c r="U464" s="51">
        <v>-26211</v>
      </c>
    </row>
    <row r="465" spans="1:21" s="7" customFormat="1" x14ac:dyDescent="0.25">
      <c r="A465" s="90">
        <v>1059885</v>
      </c>
      <c r="B465" s="45" t="s">
        <v>493</v>
      </c>
      <c r="C465" s="45"/>
      <c r="D465" s="45" t="s">
        <v>510</v>
      </c>
      <c r="E465" s="107">
        <v>44537</v>
      </c>
      <c r="F465" s="107">
        <v>44537</v>
      </c>
      <c r="G465" s="107">
        <v>44551</v>
      </c>
      <c r="H465" s="93" t="s">
        <v>4</v>
      </c>
      <c r="I465" s="64">
        <v>5643500</v>
      </c>
      <c r="J465" s="64" t="s">
        <v>5</v>
      </c>
      <c r="K465" s="66">
        <v>5000000</v>
      </c>
      <c r="L465" s="55">
        <v>0.88597501550456281</v>
      </c>
      <c r="M465" s="46">
        <v>5643500</v>
      </c>
      <c r="N465" s="48">
        <v>8</v>
      </c>
      <c r="O465" s="58">
        <v>0.88590364068305383</v>
      </c>
      <c r="P465" s="61">
        <v>-7.1381163768857348E-5</v>
      </c>
      <c r="Q465" s="13">
        <v>-12611.290180298067</v>
      </c>
      <c r="R465" s="41">
        <v>-454.6729695714364</v>
      </c>
      <c r="S465" s="38"/>
      <c r="U465" s="51">
        <v>-26211</v>
      </c>
    </row>
    <row r="466" spans="1:21" s="7" customFormat="1" x14ac:dyDescent="0.25">
      <c r="A466" s="90">
        <v>1059893</v>
      </c>
      <c r="B466" s="45" t="s">
        <v>493</v>
      </c>
      <c r="C466" s="45"/>
      <c r="D466" s="45" t="s">
        <v>510</v>
      </c>
      <c r="E466" s="107">
        <v>44537</v>
      </c>
      <c r="F466" s="107">
        <v>44537</v>
      </c>
      <c r="G466" s="107">
        <v>44551</v>
      </c>
      <c r="H466" s="93" t="s">
        <v>4</v>
      </c>
      <c r="I466" s="64">
        <v>5643500</v>
      </c>
      <c r="J466" s="64" t="s">
        <v>5</v>
      </c>
      <c r="K466" s="66">
        <v>5000000</v>
      </c>
      <c r="L466" s="55">
        <v>0.88597501550456281</v>
      </c>
      <c r="M466" s="46">
        <v>5643500</v>
      </c>
      <c r="N466" s="48">
        <v>8</v>
      </c>
      <c r="O466" s="58">
        <v>0.88590364068305383</v>
      </c>
      <c r="P466" s="61">
        <v>-7.1381163768857348E-5</v>
      </c>
      <c r="Q466" s="13">
        <v>-12611.290180298067</v>
      </c>
      <c r="R466" s="41">
        <v>-454.6729695714364</v>
      </c>
      <c r="S466" s="38"/>
      <c r="U466" s="51">
        <v>-26211</v>
      </c>
    </row>
    <row r="467" spans="1:21" s="7" customFormat="1" x14ac:dyDescent="0.25">
      <c r="A467" s="90">
        <v>1059901</v>
      </c>
      <c r="B467" s="45" t="s">
        <v>493</v>
      </c>
      <c r="C467" s="45"/>
      <c r="D467" s="45" t="s">
        <v>510</v>
      </c>
      <c r="E467" s="107">
        <v>44537</v>
      </c>
      <c r="F467" s="107">
        <v>44537</v>
      </c>
      <c r="G467" s="107">
        <v>44551</v>
      </c>
      <c r="H467" s="93" t="s">
        <v>4</v>
      </c>
      <c r="I467" s="64">
        <v>5643500</v>
      </c>
      <c r="J467" s="64" t="s">
        <v>5</v>
      </c>
      <c r="K467" s="66">
        <v>5000000</v>
      </c>
      <c r="L467" s="55">
        <v>0.88597501550456281</v>
      </c>
      <c r="M467" s="46">
        <v>5643500</v>
      </c>
      <c r="N467" s="48">
        <v>8</v>
      </c>
      <c r="O467" s="58">
        <v>0.88590364068305383</v>
      </c>
      <c r="P467" s="61">
        <v>-7.1381163768857348E-5</v>
      </c>
      <c r="Q467" s="13">
        <v>-12611.290180298067</v>
      </c>
      <c r="R467" s="41">
        <v>-454.6729695714364</v>
      </c>
      <c r="S467" s="38"/>
      <c r="U467" s="51">
        <v>-26211</v>
      </c>
    </row>
    <row r="468" spans="1:21" s="7" customFormat="1" x14ac:dyDescent="0.25">
      <c r="A468" s="90">
        <v>1059909</v>
      </c>
      <c r="B468" s="45" t="s">
        <v>493</v>
      </c>
      <c r="C468" s="45"/>
      <c r="D468" s="45" t="s">
        <v>510</v>
      </c>
      <c r="E468" s="107">
        <v>44537</v>
      </c>
      <c r="F468" s="107">
        <v>44537</v>
      </c>
      <c r="G468" s="107">
        <v>44551</v>
      </c>
      <c r="H468" s="93" t="s">
        <v>4</v>
      </c>
      <c r="I468" s="64">
        <v>5643500</v>
      </c>
      <c r="J468" s="64" t="s">
        <v>5</v>
      </c>
      <c r="K468" s="66">
        <v>5000000</v>
      </c>
      <c r="L468" s="55">
        <v>0.88597501550456281</v>
      </c>
      <c r="M468" s="46">
        <v>5643500</v>
      </c>
      <c r="N468" s="48">
        <v>8</v>
      </c>
      <c r="O468" s="58">
        <v>0.88590364068305383</v>
      </c>
      <c r="P468" s="61">
        <v>-7.1381163768857348E-5</v>
      </c>
      <c r="Q468" s="13">
        <v>-12611.290180298067</v>
      </c>
      <c r="R468" s="41">
        <v>-454.6729695714364</v>
      </c>
      <c r="S468" s="38"/>
      <c r="U468" s="51">
        <v>-26211</v>
      </c>
    </row>
    <row r="469" spans="1:21" s="7" customFormat="1" x14ac:dyDescent="0.25">
      <c r="A469" s="90">
        <v>1059917</v>
      </c>
      <c r="B469" s="45" t="s">
        <v>493</v>
      </c>
      <c r="C469" s="45"/>
      <c r="D469" s="45" t="s">
        <v>510</v>
      </c>
      <c r="E469" s="107">
        <v>44537</v>
      </c>
      <c r="F469" s="107">
        <v>44537</v>
      </c>
      <c r="G469" s="107">
        <v>44551</v>
      </c>
      <c r="H469" s="93" t="s">
        <v>4</v>
      </c>
      <c r="I469" s="64">
        <v>5643500</v>
      </c>
      <c r="J469" s="64" t="s">
        <v>5</v>
      </c>
      <c r="K469" s="66">
        <v>5000000</v>
      </c>
      <c r="L469" s="55">
        <v>0.88597501550456281</v>
      </c>
      <c r="M469" s="46">
        <v>5643500</v>
      </c>
      <c r="N469" s="48">
        <v>8</v>
      </c>
      <c r="O469" s="58">
        <v>0.88590364068305383</v>
      </c>
      <c r="P469" s="61">
        <v>-7.1381163768857348E-5</v>
      </c>
      <c r="Q469" s="13">
        <v>-12611.290180298067</v>
      </c>
      <c r="R469" s="41">
        <v>-454.6729695714364</v>
      </c>
      <c r="S469" s="38"/>
      <c r="U469" s="51">
        <v>-26211</v>
      </c>
    </row>
    <row r="470" spans="1:21" s="7" customFormat="1" x14ac:dyDescent="0.25">
      <c r="A470" s="90">
        <v>1059925</v>
      </c>
      <c r="B470" s="45" t="s">
        <v>493</v>
      </c>
      <c r="C470" s="45"/>
      <c r="D470" s="45" t="s">
        <v>510</v>
      </c>
      <c r="E470" s="107">
        <v>44537</v>
      </c>
      <c r="F470" s="107">
        <v>44537</v>
      </c>
      <c r="G470" s="107">
        <v>44551</v>
      </c>
      <c r="H470" s="93" t="s">
        <v>4</v>
      </c>
      <c r="I470" s="64">
        <v>5643500</v>
      </c>
      <c r="J470" s="64" t="s">
        <v>5</v>
      </c>
      <c r="K470" s="66">
        <v>5000000</v>
      </c>
      <c r="L470" s="55">
        <v>0.88597501550456281</v>
      </c>
      <c r="M470" s="46">
        <v>5643500</v>
      </c>
      <c r="N470" s="48">
        <v>8</v>
      </c>
      <c r="O470" s="58">
        <v>0.88590364068305383</v>
      </c>
      <c r="P470" s="61">
        <v>-7.1381163768857348E-5</v>
      </c>
      <c r="Q470" s="13">
        <v>-12611.290180298067</v>
      </c>
      <c r="R470" s="41">
        <v>-454.6729695714364</v>
      </c>
      <c r="S470" s="38"/>
      <c r="U470" s="51">
        <v>-26211</v>
      </c>
    </row>
    <row r="471" spans="1:21" s="7" customFormat="1" x14ac:dyDescent="0.25">
      <c r="A471" s="90">
        <v>1059966</v>
      </c>
      <c r="B471" s="45" t="s">
        <v>493</v>
      </c>
      <c r="C471" s="45"/>
      <c r="D471" s="45" t="s">
        <v>489</v>
      </c>
      <c r="E471" s="107">
        <v>44537</v>
      </c>
      <c r="F471" s="107">
        <v>44537</v>
      </c>
      <c r="G471" s="107">
        <v>44568</v>
      </c>
      <c r="H471" s="93" t="s">
        <v>4</v>
      </c>
      <c r="I471" s="64">
        <v>10000000</v>
      </c>
      <c r="J471" s="64" t="s">
        <v>1</v>
      </c>
      <c r="K471" s="66">
        <v>78004820</v>
      </c>
      <c r="L471" s="55">
        <v>7.8004819999999997</v>
      </c>
      <c r="M471" s="46">
        <v>10000000</v>
      </c>
      <c r="N471" s="48">
        <v>25</v>
      </c>
      <c r="O471" s="58">
        <v>7.7995443003590141</v>
      </c>
      <c r="P471" s="61">
        <v>-9.3765128321443287E-4</v>
      </c>
      <c r="Q471" s="13">
        <v>-33344.048124558591</v>
      </c>
      <c r="R471" s="41">
        <v>-1202.1480087747548</v>
      </c>
      <c r="S471" s="38"/>
      <c r="U471" s="51">
        <v>-28764</v>
      </c>
    </row>
    <row r="472" spans="1:21" s="7" customFormat="1" x14ac:dyDescent="0.25">
      <c r="A472" s="90">
        <v>1059971</v>
      </c>
      <c r="B472" s="45" t="s">
        <v>493</v>
      </c>
      <c r="C472" s="45"/>
      <c r="D472" s="45" t="s">
        <v>489</v>
      </c>
      <c r="E472" s="107">
        <v>44537</v>
      </c>
      <c r="F472" s="107">
        <v>44539</v>
      </c>
      <c r="G472" s="107">
        <v>44571</v>
      </c>
      <c r="H472" s="93" t="s">
        <v>4</v>
      </c>
      <c r="I472" s="64">
        <v>25000000</v>
      </c>
      <c r="J472" s="64" t="s">
        <v>1</v>
      </c>
      <c r="K472" s="66">
        <v>195011000</v>
      </c>
      <c r="L472" s="55">
        <v>7.80044</v>
      </c>
      <c r="M472" s="46">
        <v>25000000</v>
      </c>
      <c r="N472" s="48">
        <v>28</v>
      </c>
      <c r="O472" s="58">
        <v>7.7995090523117039</v>
      </c>
      <c r="P472" s="61">
        <v>-9.3088949509358284E-4</v>
      </c>
      <c r="Q472" s="13">
        <v>-82758.976281238603</v>
      </c>
      <c r="R472" s="41">
        <v>-2983.6970656077224</v>
      </c>
      <c r="S472" s="38"/>
      <c r="U472" s="51">
        <v>-68022</v>
      </c>
    </row>
    <row r="473" spans="1:21" s="7" customFormat="1" x14ac:dyDescent="0.25">
      <c r="A473" s="90">
        <v>1060840</v>
      </c>
      <c r="B473" s="45" t="s">
        <v>493</v>
      </c>
      <c r="C473" s="45"/>
      <c r="D473" s="45" t="s">
        <v>489</v>
      </c>
      <c r="E473" s="107">
        <v>44538</v>
      </c>
      <c r="F473" s="107">
        <v>44540</v>
      </c>
      <c r="G473" s="107">
        <v>44572</v>
      </c>
      <c r="H473" s="93" t="s">
        <v>4</v>
      </c>
      <c r="I473" s="64">
        <v>25646907.989500001</v>
      </c>
      <c r="J473" s="64" t="s">
        <v>1</v>
      </c>
      <c r="K473" s="66">
        <v>200000000</v>
      </c>
      <c r="L473" s="55">
        <v>7.7982110000114329</v>
      </c>
      <c r="M473" s="46">
        <v>25646907.989500001</v>
      </c>
      <c r="N473" s="48">
        <v>29</v>
      </c>
      <c r="O473" s="58">
        <v>7.7994970799993348</v>
      </c>
      <c r="P473" s="61">
        <v>1.2859946151522069E-3</v>
      </c>
      <c r="Q473" s="13">
        <v>117287.33964968272</v>
      </c>
      <c r="R473" s="41">
        <v>4228.5430157626051</v>
      </c>
      <c r="S473" s="38"/>
      <c r="U473" s="51">
        <v>129691</v>
      </c>
    </row>
    <row r="474" spans="1:21" s="7" customFormat="1" x14ac:dyDescent="0.25">
      <c r="A474" s="90">
        <v>1060857</v>
      </c>
      <c r="B474" s="45" t="s">
        <v>493</v>
      </c>
      <c r="C474" s="45"/>
      <c r="D474" s="45" t="s">
        <v>489</v>
      </c>
      <c r="E474" s="107">
        <v>44538</v>
      </c>
      <c r="F474" s="107">
        <v>44538</v>
      </c>
      <c r="G474" s="107">
        <v>44579</v>
      </c>
      <c r="H474" s="93" t="s">
        <v>4</v>
      </c>
      <c r="I474" s="64">
        <v>15000000</v>
      </c>
      <c r="J474" s="64" t="s">
        <v>1</v>
      </c>
      <c r="K474" s="66">
        <v>116949375</v>
      </c>
      <c r="L474" s="55">
        <v>7.7966249999999997</v>
      </c>
      <c r="M474" s="46">
        <v>15000000</v>
      </c>
      <c r="N474" s="48">
        <v>36</v>
      </c>
      <c r="O474" s="58">
        <v>7.7994370780133293</v>
      </c>
      <c r="P474" s="61">
        <v>2.811844710442977E-3</v>
      </c>
      <c r="Q474" s="13">
        <v>149989.05300226805</v>
      </c>
      <c r="R474" s="41">
        <v>5407.5330245185878</v>
      </c>
      <c r="S474" s="38"/>
      <c r="U474" s="51">
        <v>146092</v>
      </c>
    </row>
    <row r="475" spans="1:21" s="7" customFormat="1" x14ac:dyDescent="0.25">
      <c r="A475" s="90">
        <v>1061754</v>
      </c>
      <c r="B475" s="45" t="s">
        <v>493</v>
      </c>
      <c r="C475" s="45"/>
      <c r="D475" s="45" t="s">
        <v>473</v>
      </c>
      <c r="E475" s="107">
        <v>44539</v>
      </c>
      <c r="F475" s="107">
        <v>44543</v>
      </c>
      <c r="G475" s="107">
        <v>44634</v>
      </c>
      <c r="H475" s="93" t="s">
        <v>4</v>
      </c>
      <c r="I475" s="64">
        <v>5735699.2000000002</v>
      </c>
      <c r="J475" s="64" t="s">
        <v>6</v>
      </c>
      <c r="K475" s="66">
        <v>8000000</v>
      </c>
      <c r="L475" s="55">
        <v>1.3947732823924937</v>
      </c>
      <c r="M475" s="46">
        <v>5735699.2000000002</v>
      </c>
      <c r="N475" s="48">
        <v>91</v>
      </c>
      <c r="O475" s="58">
        <v>1.398149336599025</v>
      </c>
      <c r="P475" s="61">
        <v>3.3743796308955188E-3</v>
      </c>
      <c r="Q475" s="13">
        <v>383833.36522006273</v>
      </c>
      <c r="R475" s="41">
        <v>13838.287240257512</v>
      </c>
      <c r="S475" s="38"/>
      <c r="U475" s="51">
        <v>382304</v>
      </c>
    </row>
    <row r="476" spans="1:21" s="7" customFormat="1" x14ac:dyDescent="0.25">
      <c r="A476" s="90">
        <v>1062751</v>
      </c>
      <c r="B476" s="45" t="s">
        <v>493</v>
      </c>
      <c r="C476" s="45"/>
      <c r="D476" s="45" t="s">
        <v>497</v>
      </c>
      <c r="E476" s="107">
        <v>44540</v>
      </c>
      <c r="F476" s="107">
        <v>44540</v>
      </c>
      <c r="G476" s="107">
        <v>44543</v>
      </c>
      <c r="H476" s="93" t="s">
        <v>3</v>
      </c>
      <c r="I476" s="64">
        <v>40000000</v>
      </c>
      <c r="J476" s="64" t="s">
        <v>4</v>
      </c>
      <c r="K476" s="66">
        <v>6281010.5267000003</v>
      </c>
      <c r="L476" s="55">
        <v>6.3684019999590298</v>
      </c>
      <c r="M476" s="46">
        <v>-6281010.5267000003</v>
      </c>
      <c r="N476" s="48">
        <v>0</v>
      </c>
      <c r="O476" s="58">
        <v>6.3735499878204322</v>
      </c>
      <c r="P476" s="61">
        <v>5.1479878614024699E-3</v>
      </c>
      <c r="Q476" s="13">
        <v>-140716.82313791447</v>
      </c>
      <c r="R476" s="41">
        <v>-5073.2426999996296</v>
      </c>
      <c r="S476" s="38"/>
      <c r="U476" s="51">
        <v>-163928</v>
      </c>
    </row>
    <row r="477" spans="1:21" s="7" customFormat="1" x14ac:dyDescent="0.25">
      <c r="A477" s="90"/>
      <c r="B477" s="45"/>
      <c r="C477" s="45"/>
      <c r="D477" s="45"/>
      <c r="E477" s="107"/>
      <c r="F477" s="107"/>
      <c r="G477" s="107"/>
      <c r="H477" s="93"/>
      <c r="I477" s="64"/>
      <c r="J477" s="64"/>
      <c r="K477" s="66"/>
      <c r="L477" s="55"/>
      <c r="M477" s="46"/>
      <c r="N477" s="48"/>
      <c r="O477" s="58"/>
      <c r="P477" s="61"/>
      <c r="Q477" s="13"/>
      <c r="R477" s="41"/>
      <c r="S477" s="38"/>
      <c r="U477" s="51"/>
    </row>
    <row r="478" spans="1:21" s="7" customFormat="1" x14ac:dyDescent="0.25">
      <c r="A478" s="90"/>
      <c r="B478" s="45"/>
      <c r="C478" s="45"/>
      <c r="D478" s="45"/>
      <c r="E478" s="107"/>
      <c r="F478" s="107"/>
      <c r="G478" s="107"/>
      <c r="H478" s="93"/>
      <c r="I478" s="64"/>
      <c r="J478" s="64"/>
      <c r="K478" s="66"/>
      <c r="L478" s="55"/>
      <c r="M478" s="46"/>
      <c r="N478" s="48"/>
      <c r="O478" s="58"/>
      <c r="P478" s="61"/>
      <c r="Q478" s="13"/>
      <c r="R478" s="41"/>
      <c r="S478" s="38"/>
      <c r="U478" s="51"/>
    </row>
    <row r="479" spans="1:21" s="7" customFormat="1" x14ac:dyDescent="0.25">
      <c r="A479" s="90"/>
      <c r="B479" s="45"/>
      <c r="C479" s="45"/>
      <c r="D479" s="45"/>
      <c r="E479" s="107"/>
      <c r="F479" s="107"/>
      <c r="G479" s="107"/>
      <c r="H479" s="93"/>
      <c r="I479" s="64"/>
      <c r="J479" s="64"/>
      <c r="K479" s="66"/>
      <c r="L479" s="55"/>
      <c r="M479" s="46"/>
      <c r="N479" s="48"/>
      <c r="O479" s="58"/>
      <c r="P479" s="61"/>
      <c r="Q479" s="13"/>
      <c r="R479" s="41"/>
      <c r="S479" s="38"/>
      <c r="U479" s="51"/>
    </row>
    <row r="480" spans="1:21" s="7" customFormat="1" x14ac:dyDescent="0.25">
      <c r="A480" s="90"/>
      <c r="B480" s="45"/>
      <c r="C480" s="45"/>
      <c r="D480" s="45"/>
      <c r="E480" s="107"/>
      <c r="F480" s="107"/>
      <c r="G480" s="107"/>
      <c r="H480" s="93"/>
      <c r="I480" s="64"/>
      <c r="J480" s="64"/>
      <c r="K480" s="66"/>
      <c r="L480" s="55"/>
      <c r="M480" s="46"/>
      <c r="N480" s="48"/>
      <c r="O480" s="58"/>
      <c r="P480" s="61"/>
      <c r="Q480" s="13"/>
      <c r="R480" s="41"/>
      <c r="S480" s="38"/>
      <c r="U480" s="51"/>
    </row>
    <row r="481" spans="1:21" s="7" customFormat="1" x14ac:dyDescent="0.25">
      <c r="A481" s="90"/>
      <c r="B481" s="45"/>
      <c r="C481" s="45"/>
      <c r="D481" s="45"/>
      <c r="E481" s="107"/>
      <c r="F481" s="107"/>
      <c r="G481" s="107"/>
      <c r="H481" s="93"/>
      <c r="I481" s="64"/>
      <c r="J481" s="64"/>
      <c r="K481" s="66"/>
      <c r="L481" s="55"/>
      <c r="M481" s="46"/>
      <c r="N481" s="48"/>
      <c r="O481" s="58"/>
      <c r="P481" s="61"/>
      <c r="Q481" s="13"/>
      <c r="R481" s="41"/>
      <c r="S481" s="38"/>
      <c r="U481" s="51"/>
    </row>
    <row r="482" spans="1:21" s="7" customFormat="1" x14ac:dyDescent="0.25">
      <c r="A482" s="90"/>
      <c r="B482" s="45"/>
      <c r="C482" s="45"/>
      <c r="D482" s="45"/>
      <c r="E482" s="107"/>
      <c r="F482" s="107"/>
      <c r="G482" s="107"/>
      <c r="H482" s="93"/>
      <c r="I482" s="64"/>
      <c r="J482" s="64"/>
      <c r="K482" s="66"/>
      <c r="L482" s="55"/>
      <c r="M482" s="46"/>
      <c r="N482" s="48"/>
      <c r="O482" s="58"/>
      <c r="P482" s="61"/>
      <c r="Q482" s="13"/>
      <c r="R482" s="41"/>
      <c r="S482" s="38"/>
      <c r="U482" s="51"/>
    </row>
    <row r="483" spans="1:21" s="7" customFormat="1" x14ac:dyDescent="0.25">
      <c r="A483" s="90"/>
      <c r="B483" s="45"/>
      <c r="C483" s="45"/>
      <c r="D483" s="45"/>
      <c r="E483" s="107"/>
      <c r="F483" s="107"/>
      <c r="G483" s="107"/>
      <c r="H483" s="93"/>
      <c r="I483" s="64"/>
      <c r="J483" s="64"/>
      <c r="K483" s="66"/>
      <c r="L483" s="55"/>
      <c r="M483" s="46"/>
      <c r="N483" s="48"/>
      <c r="O483" s="58"/>
      <c r="P483" s="61"/>
      <c r="Q483" s="13"/>
      <c r="R483" s="41"/>
      <c r="S483" s="38"/>
      <c r="U483" s="51"/>
    </row>
    <row r="484" spans="1:21" s="7" customFormat="1" x14ac:dyDescent="0.25">
      <c r="A484" s="90"/>
      <c r="B484" s="45"/>
      <c r="C484" s="45"/>
      <c r="D484" s="45"/>
      <c r="E484" s="107"/>
      <c r="F484" s="107"/>
      <c r="G484" s="107"/>
      <c r="H484" s="93"/>
      <c r="I484" s="64"/>
      <c r="J484" s="64"/>
      <c r="K484" s="66"/>
      <c r="L484" s="55"/>
      <c r="M484" s="46"/>
      <c r="N484" s="48"/>
      <c r="O484" s="58"/>
      <c r="P484" s="61"/>
      <c r="Q484" s="13"/>
      <c r="R484" s="41"/>
      <c r="S484" s="38"/>
      <c r="U484" s="51"/>
    </row>
    <row r="485" spans="1:21" s="7" customFormat="1" x14ac:dyDescent="0.25">
      <c r="A485" s="90"/>
      <c r="B485" s="45"/>
      <c r="C485" s="45"/>
      <c r="D485" s="45"/>
      <c r="E485" s="107"/>
      <c r="F485" s="107"/>
      <c r="G485" s="107"/>
      <c r="H485" s="93"/>
      <c r="I485" s="64"/>
      <c r="J485" s="64"/>
      <c r="K485" s="66"/>
      <c r="L485" s="55"/>
      <c r="M485" s="46"/>
      <c r="N485" s="48"/>
      <c r="O485" s="58"/>
      <c r="P485" s="61"/>
      <c r="Q485" s="13"/>
      <c r="R485" s="41"/>
      <c r="S485" s="38"/>
      <c r="U485" s="51"/>
    </row>
    <row r="486" spans="1:21" s="7" customFormat="1" x14ac:dyDescent="0.25">
      <c r="A486" s="90"/>
      <c r="B486" s="45"/>
      <c r="C486" s="45"/>
      <c r="D486" s="45"/>
      <c r="E486" s="107"/>
      <c r="F486" s="107"/>
      <c r="G486" s="107"/>
      <c r="H486" s="93"/>
      <c r="I486" s="64"/>
      <c r="J486" s="64"/>
      <c r="K486" s="66"/>
      <c r="L486" s="55"/>
      <c r="M486" s="46"/>
      <c r="N486" s="48"/>
      <c r="O486" s="58"/>
      <c r="P486" s="61"/>
      <c r="Q486" s="13"/>
      <c r="R486" s="41"/>
      <c r="S486" s="38"/>
      <c r="U486" s="51"/>
    </row>
    <row r="487" spans="1:21" s="7" customFormat="1" x14ac:dyDescent="0.25">
      <c r="A487" s="90"/>
      <c r="B487" s="45"/>
      <c r="C487" s="45"/>
      <c r="D487" s="45"/>
      <c r="E487" s="107"/>
      <c r="F487" s="107"/>
      <c r="G487" s="107"/>
      <c r="H487" s="93"/>
      <c r="I487" s="64"/>
      <c r="J487" s="64"/>
      <c r="K487" s="66"/>
      <c r="L487" s="55"/>
      <c r="M487" s="46"/>
      <c r="N487" s="48"/>
      <c r="O487" s="58"/>
      <c r="P487" s="61"/>
      <c r="Q487" s="13"/>
      <c r="R487" s="41"/>
      <c r="S487" s="38"/>
      <c r="U487" s="51"/>
    </row>
    <row r="488" spans="1:21" s="7" customFormat="1" x14ac:dyDescent="0.25">
      <c r="A488" s="90"/>
      <c r="B488" s="45"/>
      <c r="C488" s="45"/>
      <c r="D488" s="45"/>
      <c r="E488" s="107"/>
      <c r="F488" s="107"/>
      <c r="G488" s="107"/>
      <c r="H488" s="93"/>
      <c r="I488" s="64"/>
      <c r="J488" s="64"/>
      <c r="K488" s="66"/>
      <c r="L488" s="55"/>
      <c r="M488" s="46"/>
      <c r="N488" s="48"/>
      <c r="O488" s="58"/>
      <c r="P488" s="61"/>
      <c r="Q488" s="13"/>
      <c r="R488" s="41"/>
      <c r="S488" s="38"/>
      <c r="U488" s="51"/>
    </row>
    <row r="489" spans="1:21" s="7" customFormat="1" x14ac:dyDescent="0.25">
      <c r="A489" s="90"/>
      <c r="B489" s="45"/>
      <c r="C489" s="45"/>
      <c r="D489" s="45"/>
      <c r="E489" s="107"/>
      <c r="F489" s="107"/>
      <c r="G489" s="107"/>
      <c r="H489" s="93"/>
      <c r="I489" s="64"/>
      <c r="J489" s="64"/>
      <c r="K489" s="66"/>
      <c r="L489" s="55"/>
      <c r="M489" s="46"/>
      <c r="N489" s="48"/>
      <c r="O489" s="58"/>
      <c r="P489" s="61"/>
      <c r="Q489" s="13"/>
      <c r="R489" s="41"/>
      <c r="S489" s="38"/>
      <c r="U489" s="51"/>
    </row>
    <row r="490" spans="1:21" s="7" customFormat="1" x14ac:dyDescent="0.25">
      <c r="A490" s="90"/>
      <c r="B490" s="45"/>
      <c r="C490" s="45"/>
      <c r="D490" s="45"/>
      <c r="E490" s="107"/>
      <c r="F490" s="107"/>
      <c r="G490" s="107"/>
      <c r="H490" s="93"/>
      <c r="I490" s="64"/>
      <c r="J490" s="64"/>
      <c r="K490" s="66"/>
      <c r="L490" s="55"/>
      <c r="M490" s="46"/>
      <c r="N490" s="48"/>
      <c r="O490" s="58"/>
      <c r="P490" s="61"/>
      <c r="Q490" s="13"/>
      <c r="R490" s="41"/>
      <c r="S490" s="38"/>
      <c r="U490" s="51"/>
    </row>
    <row r="491" spans="1:21" s="7" customFormat="1" x14ac:dyDescent="0.25">
      <c r="A491" s="90"/>
      <c r="B491" s="45"/>
      <c r="C491" s="45"/>
      <c r="D491" s="45"/>
      <c r="E491" s="107"/>
      <c r="F491" s="107"/>
      <c r="G491" s="107"/>
      <c r="H491" s="93"/>
      <c r="I491" s="64"/>
      <c r="J491" s="64"/>
      <c r="K491" s="66"/>
      <c r="L491" s="55"/>
      <c r="M491" s="46"/>
      <c r="N491" s="48"/>
      <c r="O491" s="58"/>
      <c r="P491" s="61"/>
      <c r="Q491" s="13"/>
      <c r="R491" s="41"/>
      <c r="S491" s="38"/>
      <c r="U491" s="51"/>
    </row>
    <row r="492" spans="1:21" s="7" customFormat="1" x14ac:dyDescent="0.25">
      <c r="A492" s="90"/>
      <c r="B492" s="45"/>
      <c r="C492" s="45"/>
      <c r="D492" s="45"/>
      <c r="E492" s="107"/>
      <c r="F492" s="107"/>
      <c r="G492" s="107"/>
      <c r="H492" s="93"/>
      <c r="I492" s="64"/>
      <c r="J492" s="64"/>
      <c r="K492" s="66"/>
      <c r="L492" s="55"/>
      <c r="M492" s="46"/>
      <c r="N492" s="48"/>
      <c r="O492" s="58"/>
      <c r="P492" s="61"/>
      <c r="Q492" s="13"/>
      <c r="R492" s="41"/>
      <c r="S492" s="38"/>
      <c r="U492" s="51"/>
    </row>
    <row r="493" spans="1:21" s="7" customFormat="1" x14ac:dyDescent="0.25">
      <c r="A493" s="90"/>
      <c r="B493" s="45"/>
      <c r="C493" s="45"/>
      <c r="D493" s="45"/>
      <c r="E493" s="107"/>
      <c r="F493" s="107"/>
      <c r="G493" s="107"/>
      <c r="H493" s="93"/>
      <c r="I493" s="64"/>
      <c r="J493" s="64"/>
      <c r="K493" s="66"/>
      <c r="L493" s="55"/>
      <c r="M493" s="46"/>
      <c r="N493" s="48"/>
      <c r="O493" s="58"/>
      <c r="P493" s="61"/>
      <c r="Q493" s="13"/>
      <c r="R493" s="41"/>
      <c r="S493" s="38"/>
      <c r="U493" s="51"/>
    </row>
    <row r="494" spans="1:21" s="7" customFormat="1" x14ac:dyDescent="0.25">
      <c r="A494" s="90"/>
      <c r="B494" s="45"/>
      <c r="C494" s="45"/>
      <c r="D494" s="45"/>
      <c r="E494" s="107"/>
      <c r="F494" s="107"/>
      <c r="G494" s="107"/>
      <c r="H494" s="93"/>
      <c r="I494" s="64"/>
      <c r="J494" s="64"/>
      <c r="K494" s="66"/>
      <c r="L494" s="55"/>
      <c r="M494" s="46"/>
      <c r="N494" s="48"/>
      <c r="O494" s="58"/>
      <c r="P494" s="61"/>
      <c r="Q494" s="13"/>
      <c r="R494" s="41"/>
      <c r="S494" s="38"/>
      <c r="U494" s="51"/>
    </row>
    <row r="495" spans="1:21" s="7" customFormat="1" x14ac:dyDescent="0.25">
      <c r="A495" s="90"/>
      <c r="B495" s="45"/>
      <c r="C495" s="45"/>
      <c r="D495" s="45"/>
      <c r="E495" s="107"/>
      <c r="F495" s="107"/>
      <c r="G495" s="107"/>
      <c r="H495" s="93"/>
      <c r="I495" s="64"/>
      <c r="J495" s="64"/>
      <c r="K495" s="66"/>
      <c r="L495" s="55"/>
      <c r="M495" s="46"/>
      <c r="N495" s="48"/>
      <c r="O495" s="58"/>
      <c r="P495" s="61"/>
      <c r="Q495" s="13"/>
      <c r="R495" s="41"/>
      <c r="S495" s="38"/>
      <c r="U495" s="51"/>
    </row>
    <row r="496" spans="1:21" s="7" customFormat="1" x14ac:dyDescent="0.25">
      <c r="A496" s="90"/>
      <c r="B496" s="45"/>
      <c r="C496" s="45"/>
      <c r="D496" s="45"/>
      <c r="E496" s="107"/>
      <c r="F496" s="107"/>
      <c r="G496" s="107"/>
      <c r="H496" s="93"/>
      <c r="I496" s="64"/>
      <c r="J496" s="64"/>
      <c r="K496" s="66"/>
      <c r="L496" s="55"/>
      <c r="M496" s="46"/>
      <c r="N496" s="48"/>
      <c r="O496" s="58"/>
      <c r="P496" s="61"/>
      <c r="Q496" s="13"/>
      <c r="R496" s="41"/>
      <c r="S496" s="38"/>
      <c r="U496" s="51"/>
    </row>
    <row r="497" spans="1:21" s="7" customFormat="1" x14ac:dyDescent="0.25">
      <c r="A497" s="90"/>
      <c r="B497" s="45"/>
      <c r="C497" s="45"/>
      <c r="D497" s="45"/>
      <c r="E497" s="107"/>
      <c r="F497" s="107"/>
      <c r="G497" s="107"/>
      <c r="H497" s="93"/>
      <c r="I497" s="64"/>
      <c r="J497" s="64"/>
      <c r="K497" s="66"/>
      <c r="L497" s="55"/>
      <c r="M497" s="46"/>
      <c r="N497" s="48"/>
      <c r="O497" s="58"/>
      <c r="P497" s="61"/>
      <c r="Q497" s="13"/>
      <c r="R497" s="41"/>
      <c r="S497" s="38"/>
      <c r="U497" s="51"/>
    </row>
    <row r="498" spans="1:21" s="7" customFormat="1" x14ac:dyDescent="0.25">
      <c r="A498" s="90"/>
      <c r="B498" s="45"/>
      <c r="C498" s="45"/>
      <c r="D498" s="45"/>
      <c r="E498" s="107"/>
      <c r="F498" s="107"/>
      <c r="G498" s="107"/>
      <c r="H498" s="93"/>
      <c r="I498" s="64"/>
      <c r="J498" s="64"/>
      <c r="K498" s="66"/>
      <c r="L498" s="55"/>
      <c r="M498" s="46"/>
      <c r="N498" s="48"/>
      <c r="O498" s="58"/>
      <c r="P498" s="61"/>
      <c r="Q498" s="13"/>
      <c r="R498" s="41"/>
      <c r="S498" s="38"/>
      <c r="U498" s="51"/>
    </row>
    <row r="499" spans="1:21" s="7" customFormat="1" x14ac:dyDescent="0.25">
      <c r="A499" s="90"/>
      <c r="B499" s="45"/>
      <c r="C499" s="45"/>
      <c r="D499" s="45"/>
      <c r="E499" s="107"/>
      <c r="F499" s="107"/>
      <c r="G499" s="107"/>
      <c r="H499" s="93"/>
      <c r="I499" s="64"/>
      <c r="J499" s="64"/>
      <c r="K499" s="66"/>
      <c r="L499" s="55"/>
      <c r="M499" s="46"/>
      <c r="N499" s="48"/>
      <c r="O499" s="58"/>
      <c r="P499" s="61"/>
      <c r="Q499" s="13"/>
      <c r="R499" s="41"/>
      <c r="S499" s="38"/>
      <c r="U499" s="51"/>
    </row>
    <row r="500" spans="1:21" s="7" customFormat="1" x14ac:dyDescent="0.25">
      <c r="A500" s="90"/>
      <c r="B500" s="45"/>
      <c r="C500" s="45"/>
      <c r="D500" s="45"/>
      <c r="E500" s="107"/>
      <c r="F500" s="107"/>
      <c r="G500" s="107"/>
      <c r="H500" s="93"/>
      <c r="I500" s="64"/>
      <c r="J500" s="64"/>
      <c r="K500" s="66"/>
      <c r="L500" s="55"/>
      <c r="M500" s="46"/>
      <c r="N500" s="48"/>
      <c r="O500" s="58"/>
      <c r="P500" s="61"/>
      <c r="Q500" s="13"/>
      <c r="R500" s="41"/>
      <c r="S500" s="38"/>
      <c r="U500" s="51"/>
    </row>
    <row r="501" spans="1:21" s="7" customFormat="1" x14ac:dyDescent="0.25">
      <c r="A501" s="90"/>
      <c r="B501" s="45"/>
      <c r="C501" s="45"/>
      <c r="D501" s="45"/>
      <c r="E501" s="107"/>
      <c r="F501" s="107"/>
      <c r="G501" s="107"/>
      <c r="H501" s="93"/>
      <c r="I501" s="64"/>
      <c r="J501" s="64"/>
      <c r="K501" s="66"/>
      <c r="L501" s="55"/>
      <c r="M501" s="46"/>
      <c r="N501" s="48"/>
      <c r="O501" s="58"/>
      <c r="P501" s="61"/>
      <c r="Q501" s="13"/>
      <c r="R501" s="41"/>
      <c r="S501" s="38"/>
      <c r="U501" s="51"/>
    </row>
    <row r="502" spans="1:21" s="7" customFormat="1" x14ac:dyDescent="0.25">
      <c r="A502" s="90"/>
      <c r="B502" s="45"/>
      <c r="C502" s="45"/>
      <c r="D502" s="45"/>
      <c r="E502" s="107"/>
      <c r="F502" s="107"/>
      <c r="G502" s="107"/>
      <c r="H502" s="93"/>
      <c r="I502" s="64"/>
      <c r="J502" s="64"/>
      <c r="K502" s="66"/>
      <c r="L502" s="55"/>
      <c r="M502" s="46"/>
      <c r="N502" s="48"/>
      <c r="O502" s="58"/>
      <c r="P502" s="61"/>
      <c r="Q502" s="13"/>
      <c r="R502" s="41"/>
      <c r="S502" s="38"/>
      <c r="U502" s="51"/>
    </row>
    <row r="503" spans="1:21" s="7" customFormat="1" x14ac:dyDescent="0.25">
      <c r="A503" s="90"/>
      <c r="B503" s="45"/>
      <c r="C503" s="45"/>
      <c r="D503" s="45"/>
      <c r="E503" s="107"/>
      <c r="F503" s="107"/>
      <c r="G503" s="107"/>
      <c r="H503" s="93"/>
      <c r="I503" s="64"/>
      <c r="J503" s="64"/>
      <c r="K503" s="66"/>
      <c r="L503" s="55"/>
      <c r="M503" s="46"/>
      <c r="N503" s="48"/>
      <c r="O503" s="58"/>
      <c r="P503" s="61"/>
      <c r="Q503" s="13"/>
      <c r="R503" s="41"/>
      <c r="S503" s="38"/>
      <c r="U503" s="51"/>
    </row>
    <row r="504" spans="1:21" s="7" customFormat="1" x14ac:dyDescent="0.25">
      <c r="A504" s="90"/>
      <c r="B504" s="45"/>
      <c r="C504" s="45"/>
      <c r="D504" s="45"/>
      <c r="E504" s="107"/>
      <c r="F504" s="107"/>
      <c r="G504" s="107"/>
      <c r="H504" s="93"/>
      <c r="I504" s="64"/>
      <c r="J504" s="64"/>
      <c r="K504" s="66"/>
      <c r="L504" s="55"/>
      <c r="M504" s="46"/>
      <c r="N504" s="48"/>
      <c r="O504" s="58"/>
      <c r="P504" s="61"/>
      <c r="Q504" s="13"/>
      <c r="R504" s="41"/>
      <c r="S504" s="38"/>
      <c r="U504" s="51"/>
    </row>
    <row r="505" spans="1:21" s="7" customFormat="1" x14ac:dyDescent="0.25">
      <c r="A505" s="88"/>
      <c r="B505" s="39"/>
      <c r="C505" s="45"/>
      <c r="D505" s="39"/>
      <c r="E505" s="108"/>
      <c r="F505" s="108"/>
      <c r="G505" s="108"/>
      <c r="H505" s="94"/>
      <c r="I505" s="65"/>
      <c r="J505" s="65"/>
      <c r="K505" s="67"/>
      <c r="L505" s="55"/>
      <c r="M505" s="46"/>
      <c r="N505" s="48"/>
      <c r="O505" s="58"/>
      <c r="P505" s="61"/>
      <c r="Q505" s="13"/>
      <c r="R505" s="41"/>
      <c r="S505" s="38"/>
      <c r="U505" s="51"/>
    </row>
    <row r="506" spans="1:21" s="7" customFormat="1" x14ac:dyDescent="0.25">
      <c r="A506" s="88"/>
      <c r="B506" s="39"/>
      <c r="C506" s="45"/>
      <c r="D506" s="39"/>
      <c r="E506" s="108"/>
      <c r="F506" s="108"/>
      <c r="G506" s="108"/>
      <c r="H506" s="94"/>
      <c r="I506" s="65"/>
      <c r="J506" s="65"/>
      <c r="K506" s="67"/>
      <c r="L506" s="55"/>
      <c r="M506" s="46"/>
      <c r="N506" s="48"/>
      <c r="O506" s="58"/>
      <c r="P506" s="61"/>
      <c r="Q506" s="13"/>
      <c r="R506" s="41"/>
      <c r="S506" s="38"/>
      <c r="U506" s="51"/>
    </row>
    <row r="507" spans="1:21" s="7" customFormat="1" x14ac:dyDescent="0.25">
      <c r="A507" s="88"/>
      <c r="B507" s="39"/>
      <c r="C507" s="45"/>
      <c r="D507" s="39"/>
      <c r="E507" s="108"/>
      <c r="F507" s="108"/>
      <c r="G507" s="108"/>
      <c r="H507" s="94"/>
      <c r="I507" s="65"/>
      <c r="J507" s="65"/>
      <c r="K507" s="67"/>
      <c r="L507" s="55"/>
      <c r="M507" s="46"/>
      <c r="N507" s="48"/>
      <c r="O507" s="58"/>
      <c r="P507" s="61"/>
      <c r="Q507" s="13"/>
      <c r="R507" s="41"/>
      <c r="S507" s="38"/>
      <c r="U507" s="51"/>
    </row>
    <row r="508" spans="1:21" s="7" customFormat="1" x14ac:dyDescent="0.25">
      <c r="A508" s="90"/>
      <c r="B508" s="45"/>
      <c r="C508" s="45"/>
      <c r="D508" s="45"/>
      <c r="E508" s="107"/>
      <c r="F508" s="107"/>
      <c r="G508" s="107"/>
      <c r="H508" s="93"/>
      <c r="I508" s="64"/>
      <c r="J508" s="64"/>
      <c r="K508" s="66"/>
      <c r="L508" s="55"/>
      <c r="M508" s="46"/>
      <c r="N508" s="48"/>
      <c r="O508" s="58"/>
      <c r="P508" s="61"/>
      <c r="Q508" s="13"/>
      <c r="R508" s="41"/>
      <c r="S508" s="38"/>
      <c r="U508" s="51"/>
    </row>
    <row r="509" spans="1:21" s="7" customFormat="1" x14ac:dyDescent="0.25">
      <c r="A509" s="90"/>
      <c r="B509" s="45"/>
      <c r="C509" s="45"/>
      <c r="D509" s="45"/>
      <c r="E509" s="107"/>
      <c r="F509" s="107"/>
      <c r="G509" s="107"/>
      <c r="H509" s="93"/>
      <c r="I509" s="64"/>
      <c r="J509" s="64"/>
      <c r="K509" s="66"/>
      <c r="L509" s="55"/>
      <c r="M509" s="46"/>
      <c r="N509" s="48"/>
      <c r="O509" s="58"/>
      <c r="P509" s="61"/>
      <c r="Q509" s="13"/>
      <c r="R509" s="41"/>
      <c r="S509" s="38"/>
      <c r="U509" s="51"/>
    </row>
    <row r="510" spans="1:21" s="7" customFormat="1" x14ac:dyDescent="0.25">
      <c r="A510" s="90"/>
      <c r="B510" s="45"/>
      <c r="C510" s="45"/>
      <c r="D510" s="45"/>
      <c r="E510" s="107"/>
      <c r="F510" s="107"/>
      <c r="G510" s="107"/>
      <c r="H510" s="93"/>
      <c r="I510" s="64"/>
      <c r="J510" s="64"/>
      <c r="K510" s="66"/>
      <c r="L510" s="55"/>
      <c r="M510" s="46"/>
      <c r="N510" s="48"/>
      <c r="O510" s="58"/>
      <c r="P510" s="61"/>
      <c r="Q510" s="13"/>
      <c r="R510" s="41"/>
      <c r="S510" s="38"/>
      <c r="U510" s="51"/>
    </row>
    <row r="511" spans="1:21" s="7" customFormat="1" x14ac:dyDescent="0.25">
      <c r="A511" s="88"/>
      <c r="B511" s="39"/>
      <c r="C511" s="45"/>
      <c r="D511" s="39"/>
      <c r="E511" s="108"/>
      <c r="F511" s="108"/>
      <c r="G511" s="108"/>
      <c r="H511" s="94"/>
      <c r="I511" s="65"/>
      <c r="J511" s="65"/>
      <c r="K511" s="67"/>
      <c r="L511" s="55"/>
      <c r="M511" s="46"/>
      <c r="N511" s="48"/>
      <c r="O511" s="58"/>
      <c r="P511" s="61"/>
      <c r="Q511" s="13"/>
      <c r="R511" s="41"/>
      <c r="S511" s="38"/>
      <c r="U511" s="51"/>
    </row>
    <row r="512" spans="1:21" s="7" customFormat="1" x14ac:dyDescent="0.25">
      <c r="A512" s="88"/>
      <c r="B512" s="39"/>
      <c r="C512" s="45"/>
      <c r="D512" s="39"/>
      <c r="E512" s="108"/>
      <c r="F512" s="108"/>
      <c r="G512" s="108"/>
      <c r="H512" s="94"/>
      <c r="I512" s="65"/>
      <c r="J512" s="65"/>
      <c r="K512" s="67"/>
      <c r="L512" s="55"/>
      <c r="M512" s="46"/>
      <c r="N512" s="48"/>
      <c r="O512" s="58"/>
      <c r="P512" s="61"/>
      <c r="Q512" s="13"/>
      <c r="R512" s="41"/>
      <c r="S512" s="38"/>
      <c r="U512" s="51"/>
    </row>
    <row r="513" spans="1:21" s="7" customFormat="1" x14ac:dyDescent="0.25">
      <c r="A513" s="88"/>
      <c r="B513" s="39"/>
      <c r="C513" s="45"/>
      <c r="D513" s="39"/>
      <c r="E513" s="108"/>
      <c r="F513" s="108"/>
      <c r="G513" s="108"/>
      <c r="H513" s="94"/>
      <c r="I513" s="65"/>
      <c r="J513" s="65"/>
      <c r="K513" s="67"/>
      <c r="L513" s="55"/>
      <c r="M513" s="46"/>
      <c r="N513" s="48"/>
      <c r="O513" s="58"/>
      <c r="P513" s="61"/>
      <c r="Q513" s="13"/>
      <c r="R513" s="41"/>
      <c r="S513" s="38"/>
      <c r="U513" s="51"/>
    </row>
    <row r="514" spans="1:21" s="7" customFormat="1" x14ac:dyDescent="0.25">
      <c r="A514" s="88"/>
      <c r="B514" s="39"/>
      <c r="C514" s="45"/>
      <c r="D514" s="39"/>
      <c r="E514" s="108"/>
      <c r="F514" s="108"/>
      <c r="G514" s="108"/>
      <c r="H514" s="94"/>
      <c r="I514" s="65"/>
      <c r="J514" s="65"/>
      <c r="K514" s="67"/>
      <c r="L514" s="55"/>
      <c r="M514" s="46"/>
      <c r="N514" s="48"/>
      <c r="O514" s="58"/>
      <c r="P514" s="61"/>
      <c r="Q514" s="13"/>
      <c r="R514" s="41"/>
      <c r="S514" s="38"/>
      <c r="U514" s="51"/>
    </row>
    <row r="515" spans="1:21" s="7" customFormat="1" x14ac:dyDescent="0.25">
      <c r="A515" s="88"/>
      <c r="B515" s="39"/>
      <c r="C515" s="45"/>
      <c r="D515" s="39"/>
      <c r="E515" s="108"/>
      <c r="F515" s="108"/>
      <c r="G515" s="108"/>
      <c r="H515" s="94"/>
      <c r="I515" s="65"/>
      <c r="J515" s="65"/>
      <c r="K515" s="67"/>
      <c r="L515" s="55"/>
      <c r="M515" s="46"/>
      <c r="N515" s="48"/>
      <c r="O515" s="58"/>
      <c r="P515" s="61"/>
      <c r="Q515" s="13"/>
      <c r="R515" s="41"/>
      <c r="S515" s="38"/>
      <c r="U515" s="51"/>
    </row>
    <row r="516" spans="1:21" s="7" customFormat="1" x14ac:dyDescent="0.25">
      <c r="A516" s="88"/>
      <c r="B516" s="39"/>
      <c r="C516" s="45"/>
      <c r="D516" s="39"/>
      <c r="E516" s="108"/>
      <c r="F516" s="108"/>
      <c r="G516" s="108"/>
      <c r="H516" s="94"/>
      <c r="I516" s="65"/>
      <c r="J516" s="65"/>
      <c r="K516" s="67"/>
      <c r="L516" s="55"/>
      <c r="M516" s="46"/>
      <c r="N516" s="48"/>
      <c r="O516" s="58"/>
      <c r="P516" s="61"/>
      <c r="Q516" s="13"/>
      <c r="R516" s="41"/>
      <c r="S516" s="38"/>
      <c r="U516" s="51"/>
    </row>
    <row r="517" spans="1:21" s="7" customFormat="1" x14ac:dyDescent="0.25">
      <c r="A517" s="88"/>
      <c r="B517" s="39"/>
      <c r="C517" s="45"/>
      <c r="D517" s="39"/>
      <c r="E517" s="108"/>
      <c r="F517" s="108"/>
      <c r="G517" s="108"/>
      <c r="H517" s="94"/>
      <c r="I517" s="65"/>
      <c r="J517" s="65"/>
      <c r="K517" s="67"/>
      <c r="L517" s="55"/>
      <c r="M517" s="46"/>
      <c r="N517" s="48"/>
      <c r="O517" s="58"/>
      <c r="P517" s="61"/>
      <c r="Q517" s="13"/>
      <c r="R517" s="41"/>
      <c r="S517" s="38"/>
      <c r="U517" s="51"/>
    </row>
    <row r="518" spans="1:21" s="7" customFormat="1" x14ac:dyDescent="0.25">
      <c r="A518" s="88"/>
      <c r="B518" s="39"/>
      <c r="C518" s="45"/>
      <c r="D518" s="39"/>
      <c r="E518" s="108"/>
      <c r="F518" s="108"/>
      <c r="G518" s="108"/>
      <c r="H518" s="94"/>
      <c r="I518" s="65"/>
      <c r="J518" s="65"/>
      <c r="K518" s="67"/>
      <c r="L518" s="55"/>
      <c r="M518" s="46"/>
      <c r="N518" s="48"/>
      <c r="O518" s="58"/>
      <c r="P518" s="61"/>
      <c r="Q518" s="13"/>
      <c r="R518" s="41"/>
      <c r="S518" s="38"/>
      <c r="U518" s="51"/>
    </row>
    <row r="519" spans="1:21" s="7" customFormat="1" x14ac:dyDescent="0.25">
      <c r="A519" s="90"/>
      <c r="B519" s="45"/>
      <c r="C519" s="45"/>
      <c r="D519" s="45"/>
      <c r="E519" s="107"/>
      <c r="F519" s="107"/>
      <c r="G519" s="107"/>
      <c r="H519" s="93"/>
      <c r="I519" s="64"/>
      <c r="J519" s="64"/>
      <c r="K519" s="66"/>
      <c r="L519" s="55"/>
      <c r="M519" s="46"/>
      <c r="N519" s="48"/>
      <c r="O519" s="58"/>
      <c r="P519" s="61"/>
      <c r="Q519" s="13"/>
      <c r="R519" s="41"/>
      <c r="S519" s="38"/>
      <c r="U519" s="51"/>
    </row>
    <row r="520" spans="1:21" s="7" customFormat="1" x14ac:dyDescent="0.25">
      <c r="A520" s="90"/>
      <c r="B520" s="45"/>
      <c r="C520" s="45"/>
      <c r="D520" s="45"/>
      <c r="E520" s="107"/>
      <c r="F520" s="107"/>
      <c r="G520" s="107"/>
      <c r="H520" s="93"/>
      <c r="I520" s="64"/>
      <c r="J520" s="64"/>
      <c r="K520" s="66"/>
      <c r="L520" s="55"/>
      <c r="M520" s="46"/>
      <c r="N520" s="48"/>
      <c r="O520" s="58"/>
      <c r="P520" s="61"/>
      <c r="Q520" s="13"/>
      <c r="R520" s="41"/>
      <c r="S520" s="38"/>
      <c r="U520" s="51"/>
    </row>
    <row r="521" spans="1:21" s="7" customFormat="1" x14ac:dyDescent="0.25">
      <c r="A521" s="90"/>
      <c r="B521" s="45"/>
      <c r="C521" s="45"/>
      <c r="D521" s="45"/>
      <c r="E521" s="107"/>
      <c r="F521" s="107"/>
      <c r="G521" s="107"/>
      <c r="H521" s="93"/>
      <c r="I521" s="64"/>
      <c r="J521" s="64"/>
      <c r="K521" s="66"/>
      <c r="L521" s="55"/>
      <c r="M521" s="46"/>
      <c r="N521" s="48"/>
      <c r="O521" s="58"/>
      <c r="P521" s="61"/>
      <c r="Q521" s="13"/>
      <c r="R521" s="41"/>
      <c r="S521" s="38"/>
      <c r="U521" s="51"/>
    </row>
    <row r="522" spans="1:21" s="7" customFormat="1" x14ac:dyDescent="0.25">
      <c r="A522" s="90"/>
      <c r="B522" s="45"/>
      <c r="C522" s="45"/>
      <c r="D522" s="45"/>
      <c r="E522" s="107"/>
      <c r="F522" s="107"/>
      <c r="G522" s="107"/>
      <c r="H522" s="93"/>
      <c r="I522" s="64"/>
      <c r="J522" s="64"/>
      <c r="K522" s="66"/>
      <c r="L522" s="55"/>
      <c r="M522" s="46"/>
      <c r="N522" s="48"/>
      <c r="O522" s="58"/>
      <c r="P522" s="61"/>
      <c r="Q522" s="13"/>
      <c r="R522" s="41"/>
      <c r="S522" s="38"/>
      <c r="U522" s="51"/>
    </row>
    <row r="523" spans="1:21" s="7" customFormat="1" x14ac:dyDescent="0.25">
      <c r="A523" s="90"/>
      <c r="B523" s="45"/>
      <c r="C523" s="45"/>
      <c r="D523" s="45"/>
      <c r="E523" s="107"/>
      <c r="F523" s="107"/>
      <c r="G523" s="107"/>
      <c r="H523" s="93"/>
      <c r="I523" s="64"/>
      <c r="J523" s="64"/>
      <c r="K523" s="66"/>
      <c r="L523" s="55"/>
      <c r="M523" s="46"/>
      <c r="N523" s="48"/>
      <c r="O523" s="58"/>
      <c r="P523" s="61"/>
      <c r="Q523" s="13"/>
      <c r="R523" s="41"/>
      <c r="S523" s="38"/>
      <c r="U523" s="51"/>
    </row>
    <row r="524" spans="1:21" s="7" customFormat="1" x14ac:dyDescent="0.25">
      <c r="A524" s="90"/>
      <c r="B524" s="45"/>
      <c r="C524" s="45"/>
      <c r="D524" s="45"/>
      <c r="E524" s="107"/>
      <c r="F524" s="107"/>
      <c r="G524" s="107"/>
      <c r="H524" s="93"/>
      <c r="I524" s="64"/>
      <c r="J524" s="64"/>
      <c r="K524" s="66"/>
      <c r="L524" s="55"/>
      <c r="M524" s="46"/>
      <c r="N524" s="48"/>
      <c r="O524" s="58"/>
      <c r="P524" s="61"/>
      <c r="Q524" s="13"/>
      <c r="R524" s="41"/>
      <c r="S524" s="38"/>
      <c r="U524" s="51"/>
    </row>
    <row r="525" spans="1:21" s="7" customFormat="1" x14ac:dyDescent="0.25">
      <c r="A525" s="90"/>
      <c r="B525" s="45"/>
      <c r="C525" s="45"/>
      <c r="D525" s="45"/>
      <c r="E525" s="107"/>
      <c r="F525" s="107"/>
      <c r="G525" s="107"/>
      <c r="H525" s="93"/>
      <c r="I525" s="64"/>
      <c r="J525" s="64"/>
      <c r="K525" s="66"/>
      <c r="L525" s="55"/>
      <c r="M525" s="46"/>
      <c r="N525" s="48"/>
      <c r="O525" s="58"/>
      <c r="P525" s="61"/>
      <c r="Q525" s="13"/>
      <c r="R525" s="41"/>
      <c r="S525" s="38"/>
      <c r="U525" s="51"/>
    </row>
    <row r="526" spans="1:21" s="7" customFormat="1" x14ac:dyDescent="0.25">
      <c r="A526" s="90"/>
      <c r="B526" s="45"/>
      <c r="C526" s="45"/>
      <c r="D526" s="45"/>
      <c r="E526" s="107"/>
      <c r="F526" s="107"/>
      <c r="G526" s="107"/>
      <c r="H526" s="93"/>
      <c r="I526" s="64"/>
      <c r="J526" s="64"/>
      <c r="K526" s="66"/>
      <c r="L526" s="55"/>
      <c r="M526" s="46"/>
      <c r="N526" s="48"/>
      <c r="O526" s="58"/>
      <c r="P526" s="61"/>
      <c r="Q526" s="13"/>
      <c r="R526" s="41"/>
      <c r="S526" s="38"/>
      <c r="U526" s="51"/>
    </row>
    <row r="527" spans="1:21" s="7" customFormat="1" x14ac:dyDescent="0.25">
      <c r="A527" s="90"/>
      <c r="B527" s="45"/>
      <c r="C527" s="45"/>
      <c r="D527" s="45"/>
      <c r="E527" s="107"/>
      <c r="F527" s="107"/>
      <c r="G527" s="107"/>
      <c r="H527" s="93"/>
      <c r="I527" s="64"/>
      <c r="J527" s="64"/>
      <c r="K527" s="66"/>
      <c r="L527" s="55"/>
      <c r="M527" s="46"/>
      <c r="N527" s="48"/>
      <c r="O527" s="58"/>
      <c r="P527" s="61"/>
      <c r="Q527" s="13"/>
      <c r="R527" s="41"/>
      <c r="S527" s="38"/>
      <c r="U527" s="51"/>
    </row>
    <row r="528" spans="1:21" s="7" customFormat="1" x14ac:dyDescent="0.25">
      <c r="A528" s="90"/>
      <c r="B528" s="45"/>
      <c r="C528" s="45"/>
      <c r="D528" s="45"/>
      <c r="E528" s="107"/>
      <c r="F528" s="107"/>
      <c r="G528" s="107"/>
      <c r="H528" s="93"/>
      <c r="I528" s="64"/>
      <c r="J528" s="64"/>
      <c r="K528" s="66"/>
      <c r="L528" s="55"/>
      <c r="M528" s="46"/>
      <c r="N528" s="48"/>
      <c r="O528" s="58"/>
      <c r="P528" s="61"/>
      <c r="Q528" s="13"/>
      <c r="R528" s="41"/>
      <c r="S528" s="38"/>
      <c r="U528" s="51"/>
    </row>
    <row r="529" spans="1:21" s="7" customFormat="1" x14ac:dyDescent="0.25">
      <c r="A529" s="90"/>
      <c r="B529" s="45"/>
      <c r="C529" s="45"/>
      <c r="D529" s="45"/>
      <c r="E529" s="107"/>
      <c r="F529" s="107"/>
      <c r="G529" s="107"/>
      <c r="H529" s="93"/>
      <c r="I529" s="64"/>
      <c r="J529" s="64"/>
      <c r="K529" s="66"/>
      <c r="L529" s="55"/>
      <c r="M529" s="46"/>
      <c r="N529" s="48"/>
      <c r="O529" s="58"/>
      <c r="P529" s="61"/>
      <c r="Q529" s="13"/>
      <c r="R529" s="41"/>
      <c r="S529" s="38"/>
      <c r="U529" s="51"/>
    </row>
    <row r="530" spans="1:21" s="7" customFormat="1" x14ac:dyDescent="0.25">
      <c r="A530" s="90"/>
      <c r="B530" s="45"/>
      <c r="C530" s="45"/>
      <c r="D530" s="45"/>
      <c r="E530" s="107"/>
      <c r="F530" s="107"/>
      <c r="G530" s="107"/>
      <c r="H530" s="93"/>
      <c r="I530" s="64"/>
      <c r="J530" s="64"/>
      <c r="K530" s="66"/>
      <c r="L530" s="55"/>
      <c r="M530" s="46"/>
      <c r="N530" s="48"/>
      <c r="O530" s="58"/>
      <c r="P530" s="61"/>
      <c r="Q530" s="13"/>
      <c r="R530" s="41"/>
      <c r="S530" s="38"/>
      <c r="U530" s="51"/>
    </row>
    <row r="531" spans="1:21" s="7" customFormat="1" x14ac:dyDescent="0.25">
      <c r="A531" s="90"/>
      <c r="B531" s="45"/>
      <c r="C531" s="45"/>
      <c r="D531" s="45"/>
      <c r="E531" s="107"/>
      <c r="F531" s="107"/>
      <c r="G531" s="107"/>
      <c r="H531" s="93"/>
      <c r="I531" s="64"/>
      <c r="J531" s="64"/>
      <c r="K531" s="66"/>
      <c r="L531" s="55"/>
      <c r="M531" s="46"/>
      <c r="N531" s="48"/>
      <c r="O531" s="58"/>
      <c r="P531" s="61"/>
      <c r="Q531" s="13"/>
      <c r="R531" s="41"/>
      <c r="S531" s="38"/>
      <c r="U531" s="51"/>
    </row>
    <row r="532" spans="1:21" s="7" customFormat="1" x14ac:dyDescent="0.25">
      <c r="A532" s="90"/>
      <c r="B532" s="45"/>
      <c r="C532" s="45"/>
      <c r="D532" s="45"/>
      <c r="E532" s="107"/>
      <c r="F532" s="107"/>
      <c r="G532" s="107"/>
      <c r="H532" s="93"/>
      <c r="I532" s="64"/>
      <c r="J532" s="64"/>
      <c r="K532" s="66"/>
      <c r="L532" s="55"/>
      <c r="M532" s="46"/>
      <c r="N532" s="48"/>
      <c r="O532" s="58"/>
      <c r="P532" s="61"/>
      <c r="Q532" s="13"/>
      <c r="R532" s="41"/>
      <c r="S532" s="38"/>
      <c r="U532" s="51"/>
    </row>
    <row r="533" spans="1:21" s="7" customFormat="1" x14ac:dyDescent="0.25">
      <c r="A533" s="90"/>
      <c r="B533" s="45"/>
      <c r="C533" s="45"/>
      <c r="D533" s="45"/>
      <c r="E533" s="107"/>
      <c r="F533" s="107"/>
      <c r="G533" s="107"/>
      <c r="H533" s="93"/>
      <c r="I533" s="64"/>
      <c r="J533" s="64"/>
      <c r="K533" s="66"/>
      <c r="L533" s="55"/>
      <c r="M533" s="46"/>
      <c r="N533" s="48"/>
      <c r="O533" s="58"/>
      <c r="P533" s="61"/>
      <c r="Q533" s="13"/>
      <c r="R533" s="41"/>
      <c r="S533" s="38"/>
      <c r="U533" s="51"/>
    </row>
    <row r="534" spans="1:21" s="7" customFormat="1" x14ac:dyDescent="0.25">
      <c r="A534" s="90"/>
      <c r="B534" s="45"/>
      <c r="C534" s="45"/>
      <c r="D534" s="45"/>
      <c r="E534" s="107"/>
      <c r="F534" s="107"/>
      <c r="G534" s="107"/>
      <c r="H534" s="93"/>
      <c r="I534" s="64"/>
      <c r="J534" s="64"/>
      <c r="K534" s="66"/>
      <c r="L534" s="55"/>
      <c r="M534" s="46"/>
      <c r="N534" s="48"/>
      <c r="O534" s="58"/>
      <c r="P534" s="61"/>
      <c r="Q534" s="13"/>
      <c r="R534" s="41"/>
      <c r="S534" s="38"/>
      <c r="U534" s="51"/>
    </row>
    <row r="535" spans="1:21" s="7" customFormat="1" x14ac:dyDescent="0.25">
      <c r="A535" s="90"/>
      <c r="B535" s="45"/>
      <c r="C535" s="45"/>
      <c r="D535" s="45"/>
      <c r="E535" s="107"/>
      <c r="F535" s="107"/>
      <c r="G535" s="107"/>
      <c r="H535" s="93"/>
      <c r="I535" s="64"/>
      <c r="J535" s="64"/>
      <c r="K535" s="66"/>
      <c r="L535" s="55"/>
      <c r="M535" s="46"/>
      <c r="N535" s="48"/>
      <c r="O535" s="58"/>
      <c r="P535" s="61"/>
      <c r="Q535" s="13"/>
      <c r="R535" s="41"/>
      <c r="S535" s="38"/>
      <c r="U535" s="51"/>
    </row>
    <row r="536" spans="1:21" s="7" customFormat="1" x14ac:dyDescent="0.25">
      <c r="A536" s="90"/>
      <c r="B536" s="45"/>
      <c r="C536" s="45"/>
      <c r="D536" s="45"/>
      <c r="E536" s="107"/>
      <c r="F536" s="107"/>
      <c r="G536" s="107"/>
      <c r="H536" s="93"/>
      <c r="I536" s="64"/>
      <c r="J536" s="64"/>
      <c r="K536" s="66"/>
      <c r="L536" s="55"/>
      <c r="M536" s="46"/>
      <c r="N536" s="48"/>
      <c r="O536" s="58"/>
      <c r="P536" s="61"/>
      <c r="Q536" s="13"/>
      <c r="R536" s="41"/>
      <c r="S536" s="38"/>
      <c r="U536" s="51"/>
    </row>
    <row r="537" spans="1:21" s="7" customFormat="1" x14ac:dyDescent="0.25">
      <c r="A537" s="90"/>
      <c r="B537" s="45"/>
      <c r="C537" s="45"/>
      <c r="D537" s="45"/>
      <c r="E537" s="107"/>
      <c r="F537" s="107"/>
      <c r="G537" s="107"/>
      <c r="H537" s="93"/>
      <c r="I537" s="64"/>
      <c r="J537" s="64"/>
      <c r="K537" s="66"/>
      <c r="L537" s="55"/>
      <c r="M537" s="46"/>
      <c r="N537" s="48"/>
      <c r="O537" s="58"/>
      <c r="P537" s="61"/>
      <c r="Q537" s="13"/>
      <c r="R537" s="41"/>
      <c r="S537" s="38"/>
      <c r="U537" s="51"/>
    </row>
    <row r="538" spans="1:21" s="7" customFormat="1" x14ac:dyDescent="0.25">
      <c r="A538" s="90"/>
      <c r="B538" s="45"/>
      <c r="C538" s="45"/>
      <c r="D538" s="45"/>
      <c r="E538" s="107"/>
      <c r="F538" s="107"/>
      <c r="G538" s="107"/>
      <c r="H538" s="93"/>
      <c r="I538" s="64"/>
      <c r="J538" s="64"/>
      <c r="K538" s="66"/>
      <c r="L538" s="55"/>
      <c r="M538" s="46"/>
      <c r="N538" s="48"/>
      <c r="O538" s="58"/>
      <c r="P538" s="61"/>
      <c r="Q538" s="13"/>
      <c r="R538" s="41"/>
      <c r="S538" s="38"/>
      <c r="U538" s="51"/>
    </row>
    <row r="539" spans="1:21" s="7" customFormat="1" x14ac:dyDescent="0.25">
      <c r="A539" s="90"/>
      <c r="B539" s="45"/>
      <c r="C539" s="45"/>
      <c r="D539" s="45"/>
      <c r="E539" s="107"/>
      <c r="F539" s="107"/>
      <c r="G539" s="107"/>
      <c r="H539" s="93"/>
      <c r="I539" s="64"/>
      <c r="J539" s="64"/>
      <c r="K539" s="66"/>
      <c r="L539" s="55"/>
      <c r="M539" s="46"/>
      <c r="N539" s="48"/>
      <c r="O539" s="58"/>
      <c r="P539" s="61"/>
      <c r="Q539" s="13"/>
      <c r="R539" s="41"/>
      <c r="S539" s="38"/>
      <c r="U539" s="51"/>
    </row>
    <row r="540" spans="1:21" s="7" customFormat="1" x14ac:dyDescent="0.25">
      <c r="A540" s="90"/>
      <c r="B540" s="45"/>
      <c r="C540" s="45"/>
      <c r="D540" s="45"/>
      <c r="E540" s="107"/>
      <c r="F540" s="107"/>
      <c r="G540" s="107"/>
      <c r="H540" s="93"/>
      <c r="I540" s="64"/>
      <c r="J540" s="64"/>
      <c r="K540" s="66"/>
      <c r="L540" s="55"/>
      <c r="M540" s="46"/>
      <c r="N540" s="48"/>
      <c r="O540" s="58"/>
      <c r="P540" s="61"/>
      <c r="Q540" s="13"/>
      <c r="R540" s="41"/>
      <c r="S540" s="38"/>
      <c r="U540" s="51"/>
    </row>
    <row r="541" spans="1:21" s="7" customFormat="1" x14ac:dyDescent="0.25">
      <c r="A541" s="90"/>
      <c r="B541" s="45"/>
      <c r="C541" s="45"/>
      <c r="D541" s="45"/>
      <c r="E541" s="107"/>
      <c r="F541" s="107"/>
      <c r="G541" s="107"/>
      <c r="H541" s="93"/>
      <c r="I541" s="64"/>
      <c r="J541" s="64"/>
      <c r="K541" s="66"/>
      <c r="L541" s="55"/>
      <c r="M541" s="46"/>
      <c r="N541" s="48"/>
      <c r="O541" s="58"/>
      <c r="P541" s="61"/>
      <c r="Q541" s="13"/>
      <c r="R541" s="41"/>
      <c r="S541" s="38"/>
      <c r="U541" s="51"/>
    </row>
    <row r="542" spans="1:21" s="7" customFormat="1" x14ac:dyDescent="0.25">
      <c r="A542" s="90"/>
      <c r="B542" s="45"/>
      <c r="C542" s="45"/>
      <c r="D542" s="45"/>
      <c r="E542" s="107"/>
      <c r="F542" s="107"/>
      <c r="G542" s="107"/>
      <c r="H542" s="93"/>
      <c r="I542" s="64"/>
      <c r="J542" s="64"/>
      <c r="K542" s="66"/>
      <c r="L542" s="55"/>
      <c r="M542" s="46"/>
      <c r="N542" s="48"/>
      <c r="O542" s="58"/>
      <c r="P542" s="61"/>
      <c r="Q542" s="13"/>
      <c r="R542" s="41"/>
      <c r="S542" s="38"/>
      <c r="U542" s="51"/>
    </row>
    <row r="543" spans="1:21" s="7" customFormat="1" x14ac:dyDescent="0.25">
      <c r="A543" s="90"/>
      <c r="B543" s="45"/>
      <c r="C543" s="45"/>
      <c r="D543" s="45"/>
      <c r="E543" s="107"/>
      <c r="F543" s="107"/>
      <c r="G543" s="107"/>
      <c r="H543" s="93"/>
      <c r="I543" s="64"/>
      <c r="J543" s="64"/>
      <c r="K543" s="66"/>
      <c r="L543" s="55"/>
      <c r="M543" s="46"/>
      <c r="N543" s="48"/>
      <c r="O543" s="58"/>
      <c r="P543" s="61"/>
      <c r="Q543" s="13"/>
      <c r="R543" s="41"/>
      <c r="S543" s="38"/>
      <c r="U543" s="51"/>
    </row>
    <row r="544" spans="1:21" s="7" customFormat="1" x14ac:dyDescent="0.25">
      <c r="A544" s="90"/>
      <c r="B544" s="45"/>
      <c r="C544" s="45"/>
      <c r="D544" s="45"/>
      <c r="E544" s="107"/>
      <c r="F544" s="107"/>
      <c r="G544" s="107"/>
      <c r="H544" s="93"/>
      <c r="I544" s="64"/>
      <c r="J544" s="64"/>
      <c r="K544" s="66"/>
      <c r="L544" s="55"/>
      <c r="M544" s="46"/>
      <c r="N544" s="48"/>
      <c r="O544" s="58"/>
      <c r="P544" s="61"/>
      <c r="Q544" s="13"/>
      <c r="R544" s="41"/>
      <c r="S544" s="38"/>
      <c r="U544" s="51"/>
    </row>
    <row r="545" spans="1:21" s="7" customFormat="1" x14ac:dyDescent="0.25">
      <c r="A545" s="90"/>
      <c r="B545" s="45"/>
      <c r="C545" s="45"/>
      <c r="D545" s="45"/>
      <c r="E545" s="107"/>
      <c r="F545" s="107"/>
      <c r="G545" s="107"/>
      <c r="H545" s="93"/>
      <c r="I545" s="64"/>
      <c r="J545" s="64"/>
      <c r="K545" s="66"/>
      <c r="L545" s="55"/>
      <c r="M545" s="46"/>
      <c r="N545" s="48"/>
      <c r="O545" s="58"/>
      <c r="P545" s="61"/>
      <c r="Q545" s="13"/>
      <c r="R545" s="41"/>
      <c r="S545" s="38"/>
      <c r="U545" s="51"/>
    </row>
    <row r="546" spans="1:21" s="7" customFormat="1" x14ac:dyDescent="0.25">
      <c r="A546" s="90"/>
      <c r="B546" s="45"/>
      <c r="C546" s="45"/>
      <c r="D546" s="45"/>
      <c r="E546" s="107"/>
      <c r="F546" s="107"/>
      <c r="G546" s="107"/>
      <c r="H546" s="93"/>
      <c r="I546" s="64"/>
      <c r="J546" s="64"/>
      <c r="K546" s="66"/>
      <c r="L546" s="55"/>
      <c r="M546" s="46"/>
      <c r="N546" s="48"/>
      <c r="O546" s="58"/>
      <c r="P546" s="61"/>
      <c r="Q546" s="13"/>
      <c r="R546" s="41"/>
      <c r="S546" s="38"/>
      <c r="U546" s="51"/>
    </row>
    <row r="547" spans="1:21" s="7" customFormat="1" x14ac:dyDescent="0.25">
      <c r="A547" s="90"/>
      <c r="B547" s="45"/>
      <c r="C547" s="45"/>
      <c r="D547" s="45"/>
      <c r="E547" s="107"/>
      <c r="F547" s="107"/>
      <c r="G547" s="107"/>
      <c r="H547" s="93"/>
      <c r="I547" s="64"/>
      <c r="J547" s="64"/>
      <c r="K547" s="66"/>
      <c r="L547" s="55"/>
      <c r="M547" s="46"/>
      <c r="N547" s="48"/>
      <c r="O547" s="58"/>
      <c r="P547" s="61"/>
      <c r="Q547" s="13"/>
      <c r="R547" s="41"/>
      <c r="S547" s="38"/>
      <c r="U547" s="51"/>
    </row>
    <row r="548" spans="1:21" s="7" customFormat="1" x14ac:dyDescent="0.25">
      <c r="A548" s="90"/>
      <c r="B548" s="45"/>
      <c r="C548" s="45"/>
      <c r="D548" s="45"/>
      <c r="E548" s="107"/>
      <c r="F548" s="107"/>
      <c r="G548" s="107"/>
      <c r="H548" s="93"/>
      <c r="I548" s="64"/>
      <c r="J548" s="64"/>
      <c r="K548" s="66"/>
      <c r="L548" s="55"/>
      <c r="M548" s="46"/>
      <c r="N548" s="48"/>
      <c r="O548" s="58"/>
      <c r="P548" s="61"/>
      <c r="Q548" s="13"/>
      <c r="R548" s="41"/>
      <c r="S548" s="38"/>
      <c r="U548" s="51"/>
    </row>
    <row r="549" spans="1:21" s="7" customFormat="1" x14ac:dyDescent="0.25">
      <c r="A549" s="90"/>
      <c r="B549" s="45"/>
      <c r="C549" s="45"/>
      <c r="D549" s="45"/>
      <c r="E549" s="107"/>
      <c r="F549" s="107"/>
      <c r="G549" s="107"/>
      <c r="H549" s="93"/>
      <c r="I549" s="64"/>
      <c r="J549" s="64"/>
      <c r="K549" s="66"/>
      <c r="L549" s="55"/>
      <c r="M549" s="46"/>
      <c r="N549" s="48"/>
      <c r="O549" s="58"/>
      <c r="P549" s="61"/>
      <c r="Q549" s="13"/>
      <c r="R549" s="41"/>
      <c r="S549" s="38"/>
      <c r="U549" s="51"/>
    </row>
    <row r="550" spans="1:21" s="7" customFormat="1" x14ac:dyDescent="0.25">
      <c r="A550" s="90"/>
      <c r="B550" s="45"/>
      <c r="C550" s="45"/>
      <c r="D550" s="45"/>
      <c r="E550" s="107"/>
      <c r="F550" s="107"/>
      <c r="G550" s="107"/>
      <c r="H550" s="93"/>
      <c r="I550" s="64"/>
      <c r="J550" s="64"/>
      <c r="K550" s="66"/>
      <c r="L550" s="55"/>
      <c r="M550" s="46"/>
      <c r="N550" s="48"/>
      <c r="O550" s="58"/>
      <c r="P550" s="61"/>
      <c r="Q550" s="13"/>
      <c r="R550" s="41"/>
      <c r="S550" s="38"/>
      <c r="U550" s="51"/>
    </row>
    <row r="551" spans="1:21" s="7" customFormat="1" x14ac:dyDescent="0.25">
      <c r="A551" s="90"/>
      <c r="B551" s="45"/>
      <c r="C551" s="45"/>
      <c r="D551" s="45"/>
      <c r="E551" s="107"/>
      <c r="F551" s="107"/>
      <c r="G551" s="107"/>
      <c r="H551" s="93"/>
      <c r="I551" s="64"/>
      <c r="J551" s="64"/>
      <c r="K551" s="66"/>
      <c r="L551" s="55"/>
      <c r="M551" s="46"/>
      <c r="N551" s="48"/>
      <c r="O551" s="58"/>
      <c r="P551" s="61"/>
      <c r="Q551" s="13"/>
      <c r="R551" s="41"/>
      <c r="S551" s="38"/>
      <c r="U551" s="51"/>
    </row>
    <row r="552" spans="1:21" s="7" customFormat="1" x14ac:dyDescent="0.25">
      <c r="A552" s="90"/>
      <c r="B552" s="45"/>
      <c r="C552" s="45"/>
      <c r="D552" s="45"/>
      <c r="E552" s="107"/>
      <c r="F552" s="107"/>
      <c r="G552" s="107"/>
      <c r="H552" s="93"/>
      <c r="I552" s="64"/>
      <c r="J552" s="64"/>
      <c r="K552" s="66"/>
      <c r="L552" s="55"/>
      <c r="M552" s="46"/>
      <c r="N552" s="48"/>
      <c r="O552" s="58"/>
      <c r="P552" s="61"/>
      <c r="Q552" s="13"/>
      <c r="R552" s="41"/>
      <c r="S552" s="38"/>
      <c r="U552" s="51"/>
    </row>
    <row r="553" spans="1:21" s="7" customFormat="1" x14ac:dyDescent="0.25">
      <c r="A553" s="90"/>
      <c r="B553" s="45"/>
      <c r="C553" s="45"/>
      <c r="D553" s="45"/>
      <c r="E553" s="107"/>
      <c r="F553" s="107"/>
      <c r="G553" s="107"/>
      <c r="H553" s="93"/>
      <c r="I553" s="64"/>
      <c r="J553" s="64"/>
      <c r="K553" s="66"/>
      <c r="L553" s="55"/>
      <c r="M553" s="46"/>
      <c r="N553" s="48"/>
      <c r="O553" s="58"/>
      <c r="P553" s="61"/>
      <c r="Q553" s="13"/>
      <c r="R553" s="41"/>
      <c r="S553" s="38"/>
      <c r="U553" s="51"/>
    </row>
    <row r="554" spans="1:21" s="7" customFormat="1" x14ac:dyDescent="0.25">
      <c r="A554" s="90"/>
      <c r="B554" s="45"/>
      <c r="C554" s="45"/>
      <c r="D554" s="45"/>
      <c r="E554" s="107"/>
      <c r="F554" s="107"/>
      <c r="G554" s="107"/>
      <c r="H554" s="93"/>
      <c r="I554" s="64"/>
      <c r="J554" s="64"/>
      <c r="K554" s="66"/>
      <c r="L554" s="55"/>
      <c r="M554" s="46"/>
      <c r="N554" s="48"/>
      <c r="O554" s="58"/>
      <c r="P554" s="61"/>
      <c r="Q554" s="13"/>
      <c r="R554" s="41"/>
      <c r="S554" s="38"/>
      <c r="U554" s="51"/>
    </row>
    <row r="555" spans="1:21" s="7" customFormat="1" x14ac:dyDescent="0.25">
      <c r="A555" s="90"/>
      <c r="B555" s="45"/>
      <c r="C555" s="45"/>
      <c r="D555" s="45"/>
      <c r="E555" s="107"/>
      <c r="F555" s="107"/>
      <c r="G555" s="107"/>
      <c r="H555" s="93"/>
      <c r="I555" s="64"/>
      <c r="J555" s="64"/>
      <c r="K555" s="66"/>
      <c r="L555" s="55"/>
      <c r="M555" s="46"/>
      <c r="N555" s="48"/>
      <c r="O555" s="58"/>
      <c r="P555" s="61"/>
      <c r="Q555" s="13"/>
      <c r="R555" s="41"/>
      <c r="S555" s="38"/>
      <c r="U555" s="51"/>
    </row>
    <row r="556" spans="1:21" s="7" customFormat="1" x14ac:dyDescent="0.25">
      <c r="A556" s="90"/>
      <c r="B556" s="45"/>
      <c r="C556" s="45"/>
      <c r="D556" s="45"/>
      <c r="E556" s="107"/>
      <c r="F556" s="107"/>
      <c r="G556" s="107"/>
      <c r="H556" s="93"/>
      <c r="I556" s="64"/>
      <c r="J556" s="64"/>
      <c r="K556" s="66"/>
      <c r="L556" s="55"/>
      <c r="M556" s="46"/>
      <c r="N556" s="48"/>
      <c r="O556" s="58"/>
      <c r="P556" s="61"/>
      <c r="Q556" s="13"/>
      <c r="R556" s="41"/>
      <c r="S556" s="38"/>
      <c r="U556" s="51"/>
    </row>
    <row r="557" spans="1:21" s="7" customFormat="1" x14ac:dyDescent="0.25">
      <c r="A557" s="90"/>
      <c r="B557" s="45"/>
      <c r="C557" s="45"/>
      <c r="D557" s="45"/>
      <c r="E557" s="107"/>
      <c r="F557" s="107"/>
      <c r="G557" s="107"/>
      <c r="H557" s="93"/>
      <c r="I557" s="64"/>
      <c r="J557" s="64"/>
      <c r="K557" s="66"/>
      <c r="L557" s="55"/>
      <c r="M557" s="46"/>
      <c r="N557" s="48"/>
      <c r="O557" s="58"/>
      <c r="P557" s="61"/>
      <c r="Q557" s="13"/>
      <c r="R557" s="41"/>
      <c r="S557" s="38"/>
      <c r="U557" s="51"/>
    </row>
    <row r="558" spans="1:21" s="7" customFormat="1" x14ac:dyDescent="0.25">
      <c r="A558" s="90"/>
      <c r="B558" s="45"/>
      <c r="C558" s="45"/>
      <c r="D558" s="45"/>
      <c r="E558" s="107"/>
      <c r="F558" s="107"/>
      <c r="G558" s="107"/>
      <c r="H558" s="93"/>
      <c r="I558" s="64"/>
      <c r="J558" s="64"/>
      <c r="K558" s="66"/>
      <c r="L558" s="55"/>
      <c r="M558" s="46"/>
      <c r="N558" s="48"/>
      <c r="O558" s="58"/>
      <c r="P558" s="61"/>
      <c r="Q558" s="13"/>
      <c r="R558" s="41"/>
      <c r="S558" s="38"/>
      <c r="U558" s="51"/>
    </row>
    <row r="559" spans="1:21" s="7" customFormat="1" x14ac:dyDescent="0.25">
      <c r="A559" s="90"/>
      <c r="B559" s="45"/>
      <c r="C559" s="45"/>
      <c r="D559" s="45"/>
      <c r="E559" s="107"/>
      <c r="F559" s="107"/>
      <c r="G559" s="107"/>
      <c r="H559" s="93"/>
      <c r="I559" s="64"/>
      <c r="J559" s="64"/>
      <c r="K559" s="66"/>
      <c r="L559" s="55"/>
      <c r="M559" s="46"/>
      <c r="N559" s="48"/>
      <c r="O559" s="58"/>
      <c r="P559" s="61"/>
      <c r="Q559" s="13"/>
      <c r="R559" s="41"/>
      <c r="S559" s="38"/>
      <c r="U559" s="51"/>
    </row>
    <row r="560" spans="1:21" s="7" customFormat="1" x14ac:dyDescent="0.25">
      <c r="A560" s="90"/>
      <c r="B560" s="45"/>
      <c r="C560" s="45"/>
      <c r="D560" s="45"/>
      <c r="E560" s="107"/>
      <c r="F560" s="107"/>
      <c r="G560" s="107"/>
      <c r="H560" s="93"/>
      <c r="I560" s="64"/>
      <c r="J560" s="64"/>
      <c r="K560" s="66"/>
      <c r="L560" s="55"/>
      <c r="M560" s="46"/>
      <c r="N560" s="48"/>
      <c r="O560" s="58"/>
      <c r="P560" s="61"/>
      <c r="Q560" s="13"/>
      <c r="R560" s="41"/>
      <c r="S560" s="38"/>
      <c r="U560" s="51"/>
    </row>
    <row r="561" spans="1:21" s="7" customFormat="1" x14ac:dyDescent="0.25">
      <c r="A561" s="90"/>
      <c r="B561" s="45"/>
      <c r="C561" s="45"/>
      <c r="D561" s="45"/>
      <c r="E561" s="107"/>
      <c r="F561" s="107"/>
      <c r="G561" s="107"/>
      <c r="H561" s="93"/>
      <c r="I561" s="64"/>
      <c r="J561" s="64"/>
      <c r="K561" s="66"/>
      <c r="L561" s="55"/>
      <c r="M561" s="46"/>
      <c r="N561" s="48"/>
      <c r="O561" s="58"/>
      <c r="P561" s="61"/>
      <c r="Q561" s="13"/>
      <c r="R561" s="41"/>
      <c r="S561" s="38"/>
      <c r="U561" s="51"/>
    </row>
    <row r="562" spans="1:21" s="7" customFormat="1" x14ac:dyDescent="0.25">
      <c r="A562" s="90"/>
      <c r="B562" s="45"/>
      <c r="C562" s="45"/>
      <c r="D562" s="45"/>
      <c r="E562" s="107"/>
      <c r="F562" s="107"/>
      <c r="G562" s="107"/>
      <c r="H562" s="93"/>
      <c r="I562" s="64"/>
      <c r="J562" s="64"/>
      <c r="K562" s="66"/>
      <c r="L562" s="55"/>
      <c r="M562" s="46"/>
      <c r="N562" s="48"/>
      <c r="O562" s="58"/>
      <c r="P562" s="61"/>
      <c r="Q562" s="13"/>
      <c r="R562" s="41"/>
      <c r="S562" s="38"/>
      <c r="U562" s="51"/>
    </row>
    <row r="563" spans="1:21" s="7" customFormat="1" x14ac:dyDescent="0.25">
      <c r="A563" s="90"/>
      <c r="B563" s="45"/>
      <c r="C563" s="45"/>
      <c r="D563" s="45"/>
      <c r="E563" s="107"/>
      <c r="F563" s="107"/>
      <c r="G563" s="107"/>
      <c r="H563" s="93"/>
      <c r="I563" s="64"/>
      <c r="J563" s="64"/>
      <c r="K563" s="66"/>
      <c r="L563" s="55"/>
      <c r="M563" s="46"/>
      <c r="N563" s="48"/>
      <c r="O563" s="58"/>
      <c r="P563" s="61"/>
      <c r="Q563" s="13"/>
      <c r="R563" s="41"/>
      <c r="S563" s="38"/>
      <c r="U563" s="51"/>
    </row>
    <row r="564" spans="1:21" s="7" customFormat="1" x14ac:dyDescent="0.25">
      <c r="A564" s="90"/>
      <c r="B564" s="45"/>
      <c r="C564" s="45"/>
      <c r="D564" s="45"/>
      <c r="E564" s="107"/>
      <c r="F564" s="107"/>
      <c r="G564" s="107"/>
      <c r="H564" s="93"/>
      <c r="I564" s="64"/>
      <c r="J564" s="64"/>
      <c r="K564" s="66"/>
      <c r="L564" s="55"/>
      <c r="M564" s="46"/>
      <c r="N564" s="48"/>
      <c r="O564" s="58"/>
      <c r="P564" s="61"/>
      <c r="Q564" s="13"/>
      <c r="R564" s="41"/>
      <c r="S564" s="38"/>
      <c r="U564" s="51"/>
    </row>
    <row r="565" spans="1:21" s="7" customFormat="1" x14ac:dyDescent="0.25">
      <c r="A565" s="90"/>
      <c r="B565" s="45"/>
      <c r="C565" s="45"/>
      <c r="D565" s="45"/>
      <c r="E565" s="107"/>
      <c r="F565" s="107"/>
      <c r="G565" s="107"/>
      <c r="H565" s="93"/>
      <c r="I565" s="64"/>
      <c r="J565" s="64"/>
      <c r="K565" s="66"/>
      <c r="L565" s="55"/>
      <c r="M565" s="46"/>
      <c r="N565" s="48"/>
      <c r="O565" s="58"/>
      <c r="P565" s="61"/>
      <c r="Q565" s="13"/>
      <c r="R565" s="41"/>
      <c r="S565" s="38"/>
      <c r="U565" s="51"/>
    </row>
    <row r="566" spans="1:21" s="7" customFormat="1" x14ac:dyDescent="0.25">
      <c r="A566" s="90"/>
      <c r="B566" s="45"/>
      <c r="C566" s="45"/>
      <c r="D566" s="45"/>
      <c r="E566" s="107"/>
      <c r="F566" s="107"/>
      <c r="G566" s="107"/>
      <c r="H566" s="93"/>
      <c r="I566" s="64"/>
      <c r="J566" s="64"/>
      <c r="K566" s="66"/>
      <c r="L566" s="55"/>
      <c r="M566" s="46"/>
      <c r="N566" s="48"/>
      <c r="O566" s="58"/>
      <c r="P566" s="61"/>
      <c r="Q566" s="13"/>
      <c r="R566" s="41"/>
      <c r="S566" s="38"/>
      <c r="U566" s="51"/>
    </row>
    <row r="567" spans="1:21" s="7" customFormat="1" x14ac:dyDescent="0.25">
      <c r="A567" s="90"/>
      <c r="B567" s="45"/>
      <c r="C567" s="45"/>
      <c r="D567" s="45"/>
      <c r="E567" s="107"/>
      <c r="F567" s="107"/>
      <c r="G567" s="107"/>
      <c r="H567" s="93"/>
      <c r="I567" s="64"/>
      <c r="J567" s="64"/>
      <c r="K567" s="66"/>
      <c r="L567" s="55"/>
      <c r="M567" s="46"/>
      <c r="N567" s="48"/>
      <c r="O567" s="58"/>
      <c r="P567" s="61"/>
      <c r="Q567" s="13"/>
      <c r="R567" s="41"/>
      <c r="S567" s="38"/>
      <c r="U567" s="51"/>
    </row>
    <row r="568" spans="1:21" s="7" customFormat="1" x14ac:dyDescent="0.25">
      <c r="A568" s="90"/>
      <c r="B568" s="45"/>
      <c r="C568" s="45"/>
      <c r="D568" s="45"/>
      <c r="E568" s="107"/>
      <c r="F568" s="107"/>
      <c r="G568" s="107"/>
      <c r="H568" s="93"/>
      <c r="I568" s="64"/>
      <c r="J568" s="64"/>
      <c r="K568" s="66"/>
      <c r="L568" s="55"/>
      <c r="M568" s="46"/>
      <c r="N568" s="48"/>
      <c r="O568" s="58"/>
      <c r="P568" s="61"/>
      <c r="Q568" s="13"/>
      <c r="R568" s="41"/>
      <c r="S568" s="38"/>
      <c r="U568" s="51"/>
    </row>
    <row r="569" spans="1:21" s="7" customFormat="1" x14ac:dyDescent="0.25">
      <c r="A569" s="90"/>
      <c r="B569" s="45"/>
      <c r="C569" s="45"/>
      <c r="D569" s="45"/>
      <c r="E569" s="107"/>
      <c r="F569" s="107"/>
      <c r="G569" s="107"/>
      <c r="H569" s="93"/>
      <c r="I569" s="64"/>
      <c r="J569" s="64"/>
      <c r="K569" s="66"/>
      <c r="L569" s="55"/>
      <c r="M569" s="46"/>
      <c r="N569" s="48"/>
      <c r="O569" s="58"/>
      <c r="P569" s="61"/>
      <c r="Q569" s="13"/>
      <c r="R569" s="41"/>
      <c r="S569" s="38"/>
      <c r="U569" s="51"/>
    </row>
    <row r="570" spans="1:21" s="7" customFormat="1" x14ac:dyDescent="0.25">
      <c r="A570" s="90"/>
      <c r="B570" s="45"/>
      <c r="C570" s="45"/>
      <c r="D570" s="45"/>
      <c r="E570" s="107"/>
      <c r="F570" s="107"/>
      <c r="G570" s="107"/>
      <c r="H570" s="93"/>
      <c r="I570" s="64"/>
      <c r="J570" s="64"/>
      <c r="K570" s="66"/>
      <c r="L570" s="55"/>
      <c r="M570" s="46"/>
      <c r="N570" s="48"/>
      <c r="O570" s="58"/>
      <c r="P570" s="61"/>
      <c r="Q570" s="13"/>
      <c r="R570" s="41"/>
      <c r="S570" s="38"/>
      <c r="U570" s="51"/>
    </row>
    <row r="571" spans="1:21" s="7" customFormat="1" x14ac:dyDescent="0.25">
      <c r="A571" s="90"/>
      <c r="B571" s="45"/>
      <c r="C571" s="45"/>
      <c r="D571" s="45"/>
      <c r="E571" s="107"/>
      <c r="F571" s="107"/>
      <c r="G571" s="107"/>
      <c r="H571" s="93"/>
      <c r="I571" s="64"/>
      <c r="J571" s="64"/>
      <c r="K571" s="66"/>
      <c r="L571" s="55"/>
      <c r="M571" s="46"/>
      <c r="N571" s="48"/>
      <c r="O571" s="58"/>
      <c r="P571" s="61"/>
      <c r="Q571" s="13"/>
      <c r="R571" s="41"/>
      <c r="S571" s="38"/>
      <c r="U571" s="51"/>
    </row>
    <row r="572" spans="1:21" s="7" customFormat="1" x14ac:dyDescent="0.25">
      <c r="A572" s="90"/>
      <c r="B572" s="45"/>
      <c r="C572" s="45"/>
      <c r="D572" s="45"/>
      <c r="E572" s="107"/>
      <c r="F572" s="107"/>
      <c r="G572" s="107"/>
      <c r="H572" s="93"/>
      <c r="I572" s="64"/>
      <c r="J572" s="64"/>
      <c r="K572" s="66"/>
      <c r="L572" s="55"/>
      <c r="M572" s="46"/>
      <c r="N572" s="48"/>
      <c r="O572" s="58"/>
      <c r="P572" s="61"/>
      <c r="Q572" s="13"/>
      <c r="R572" s="41"/>
      <c r="S572" s="38"/>
      <c r="U572" s="51"/>
    </row>
    <row r="573" spans="1:21" s="7" customFormat="1" x14ac:dyDescent="0.25">
      <c r="A573" s="90"/>
      <c r="B573" s="45"/>
      <c r="C573" s="45"/>
      <c r="D573" s="45"/>
      <c r="E573" s="107"/>
      <c r="F573" s="107"/>
      <c r="G573" s="107"/>
      <c r="H573" s="93"/>
      <c r="I573" s="64"/>
      <c r="J573" s="64"/>
      <c r="K573" s="66"/>
      <c r="L573" s="55"/>
      <c r="M573" s="46"/>
      <c r="N573" s="48"/>
      <c r="O573" s="58"/>
      <c r="P573" s="61"/>
      <c r="Q573" s="13"/>
      <c r="R573" s="41"/>
      <c r="S573" s="38"/>
      <c r="U573" s="51"/>
    </row>
    <row r="574" spans="1:21" s="7" customFormat="1" x14ac:dyDescent="0.25">
      <c r="A574" s="90"/>
      <c r="B574" s="45"/>
      <c r="C574" s="45"/>
      <c r="D574" s="45"/>
      <c r="E574" s="107"/>
      <c r="F574" s="107"/>
      <c r="G574" s="107"/>
      <c r="H574" s="93"/>
      <c r="I574" s="64"/>
      <c r="J574" s="64"/>
      <c r="K574" s="66"/>
      <c r="L574" s="55"/>
      <c r="M574" s="46"/>
      <c r="N574" s="48"/>
      <c r="O574" s="58"/>
      <c r="P574" s="61"/>
      <c r="Q574" s="13"/>
      <c r="R574" s="41"/>
      <c r="S574" s="38"/>
      <c r="U574" s="51"/>
    </row>
    <row r="575" spans="1:21" s="7" customFormat="1" x14ac:dyDescent="0.25">
      <c r="A575" s="90"/>
      <c r="B575" s="45"/>
      <c r="C575" s="45"/>
      <c r="D575" s="45"/>
      <c r="E575" s="107"/>
      <c r="F575" s="107"/>
      <c r="G575" s="107"/>
      <c r="H575" s="93"/>
      <c r="I575" s="64"/>
      <c r="J575" s="64"/>
      <c r="K575" s="66"/>
      <c r="L575" s="55"/>
      <c r="M575" s="46"/>
      <c r="N575" s="48"/>
      <c r="O575" s="58"/>
      <c r="P575" s="61"/>
      <c r="Q575" s="13"/>
      <c r="R575" s="41"/>
      <c r="S575" s="38"/>
      <c r="U575" s="51"/>
    </row>
    <row r="576" spans="1:21" s="7" customFormat="1" x14ac:dyDescent="0.25">
      <c r="A576" s="90"/>
      <c r="B576" s="45"/>
      <c r="C576" s="45"/>
      <c r="D576" s="45"/>
      <c r="E576" s="107"/>
      <c r="F576" s="107"/>
      <c r="G576" s="107"/>
      <c r="H576" s="93"/>
      <c r="I576" s="64"/>
      <c r="J576" s="64"/>
      <c r="K576" s="66"/>
      <c r="L576" s="55"/>
      <c r="M576" s="46"/>
      <c r="N576" s="48"/>
      <c r="O576" s="58"/>
      <c r="P576" s="61"/>
      <c r="Q576" s="13"/>
      <c r="R576" s="41"/>
      <c r="S576" s="38"/>
      <c r="U576" s="51"/>
    </row>
    <row r="577" spans="1:21" s="7" customFormat="1" x14ac:dyDescent="0.25">
      <c r="A577" s="90"/>
      <c r="B577" s="45"/>
      <c r="C577" s="45"/>
      <c r="D577" s="45"/>
      <c r="E577" s="107"/>
      <c r="F577" s="107"/>
      <c r="G577" s="107"/>
      <c r="H577" s="93"/>
      <c r="I577" s="64"/>
      <c r="J577" s="64"/>
      <c r="K577" s="66"/>
      <c r="L577" s="55"/>
      <c r="M577" s="46"/>
      <c r="N577" s="48"/>
      <c r="O577" s="58"/>
      <c r="P577" s="61"/>
      <c r="Q577" s="13"/>
      <c r="R577" s="41"/>
      <c r="S577" s="38"/>
      <c r="U577" s="51"/>
    </row>
    <row r="578" spans="1:21" s="7" customFormat="1" x14ac:dyDescent="0.25">
      <c r="A578" s="90"/>
      <c r="B578" s="45"/>
      <c r="C578" s="45"/>
      <c r="D578" s="45"/>
      <c r="E578" s="107"/>
      <c r="F578" s="107"/>
      <c r="G578" s="107"/>
      <c r="H578" s="93"/>
      <c r="I578" s="64"/>
      <c r="J578" s="64"/>
      <c r="K578" s="66"/>
      <c r="L578" s="55"/>
      <c r="M578" s="46"/>
      <c r="N578" s="48"/>
      <c r="O578" s="58"/>
      <c r="P578" s="61"/>
      <c r="Q578" s="13"/>
      <c r="R578" s="41"/>
      <c r="S578" s="38"/>
      <c r="U578" s="51"/>
    </row>
    <row r="579" spans="1:21" s="7" customFormat="1" x14ac:dyDescent="0.25">
      <c r="A579" s="90"/>
      <c r="B579" s="45"/>
      <c r="C579" s="45"/>
      <c r="D579" s="45"/>
      <c r="E579" s="107"/>
      <c r="F579" s="107"/>
      <c r="G579" s="107"/>
      <c r="H579" s="93"/>
      <c r="I579" s="64"/>
      <c r="J579" s="64"/>
      <c r="K579" s="66"/>
      <c r="L579" s="55"/>
      <c r="M579" s="46"/>
      <c r="N579" s="48"/>
      <c r="O579" s="58"/>
      <c r="P579" s="61"/>
      <c r="Q579" s="13"/>
      <c r="R579" s="41"/>
      <c r="S579" s="38"/>
      <c r="U579" s="51"/>
    </row>
    <row r="580" spans="1:21" s="7" customFormat="1" x14ac:dyDescent="0.25">
      <c r="A580" s="90"/>
      <c r="B580" s="45"/>
      <c r="C580" s="45"/>
      <c r="D580" s="45"/>
      <c r="E580" s="107"/>
      <c r="F580" s="107"/>
      <c r="G580" s="107"/>
      <c r="H580" s="93"/>
      <c r="I580" s="64"/>
      <c r="J580" s="64"/>
      <c r="K580" s="66"/>
      <c r="L580" s="55"/>
      <c r="M580" s="46"/>
      <c r="N580" s="48"/>
      <c r="O580" s="58"/>
      <c r="P580" s="61"/>
      <c r="Q580" s="13"/>
      <c r="R580" s="41"/>
      <c r="S580" s="38"/>
      <c r="U580" s="51"/>
    </row>
    <row r="581" spans="1:21" s="7" customFormat="1" x14ac:dyDescent="0.25">
      <c r="A581" s="90"/>
      <c r="B581" s="45"/>
      <c r="C581" s="45"/>
      <c r="D581" s="45"/>
      <c r="E581" s="107"/>
      <c r="F581" s="107"/>
      <c r="G581" s="107"/>
      <c r="H581" s="93"/>
      <c r="I581" s="64"/>
      <c r="J581" s="64"/>
      <c r="K581" s="66"/>
      <c r="L581" s="55"/>
      <c r="M581" s="46"/>
      <c r="N581" s="48"/>
      <c r="O581" s="58"/>
      <c r="P581" s="61"/>
      <c r="Q581" s="13"/>
      <c r="R581" s="41"/>
      <c r="S581" s="38"/>
      <c r="U581" s="51"/>
    </row>
    <row r="582" spans="1:21" s="7" customFormat="1" x14ac:dyDescent="0.25">
      <c r="A582" s="90"/>
      <c r="B582" s="45"/>
      <c r="C582" s="45"/>
      <c r="D582" s="45"/>
      <c r="E582" s="107"/>
      <c r="F582" s="107"/>
      <c r="G582" s="107"/>
      <c r="H582" s="93"/>
      <c r="I582" s="64"/>
      <c r="J582" s="64"/>
      <c r="K582" s="66"/>
      <c r="L582" s="55"/>
      <c r="M582" s="46"/>
      <c r="N582" s="48"/>
      <c r="O582" s="58"/>
      <c r="P582" s="61"/>
      <c r="Q582" s="13"/>
      <c r="R582" s="41"/>
      <c r="S582" s="38"/>
      <c r="U582" s="51"/>
    </row>
    <row r="583" spans="1:21" s="7" customFormat="1" x14ac:dyDescent="0.25">
      <c r="A583" s="90"/>
      <c r="B583" s="45"/>
      <c r="C583" s="45"/>
      <c r="D583" s="45"/>
      <c r="E583" s="107"/>
      <c r="F583" s="107"/>
      <c r="G583" s="107"/>
      <c r="H583" s="93"/>
      <c r="I583" s="64"/>
      <c r="J583" s="64"/>
      <c r="K583" s="66"/>
      <c r="L583" s="55"/>
      <c r="M583" s="46"/>
      <c r="N583" s="48"/>
      <c r="O583" s="58"/>
      <c r="P583" s="61"/>
      <c r="Q583" s="13"/>
      <c r="R583" s="41"/>
      <c r="S583" s="38"/>
      <c r="U583" s="51"/>
    </row>
    <row r="584" spans="1:21" s="7" customFormat="1" x14ac:dyDescent="0.25">
      <c r="A584" s="90"/>
      <c r="B584" s="45"/>
      <c r="C584" s="45"/>
      <c r="D584" s="45"/>
      <c r="E584" s="107"/>
      <c r="F584" s="107"/>
      <c r="G584" s="107"/>
      <c r="H584" s="93"/>
      <c r="I584" s="64"/>
      <c r="J584" s="64"/>
      <c r="K584" s="66"/>
      <c r="L584" s="55"/>
      <c r="M584" s="46"/>
      <c r="N584" s="48"/>
      <c r="O584" s="58"/>
      <c r="P584" s="61"/>
      <c r="Q584" s="13"/>
      <c r="R584" s="41"/>
      <c r="S584" s="38"/>
      <c r="U584" s="51"/>
    </row>
    <row r="585" spans="1:21" s="7" customFormat="1" x14ac:dyDescent="0.25">
      <c r="A585" s="90"/>
      <c r="B585" s="45"/>
      <c r="C585" s="45"/>
      <c r="D585" s="45"/>
      <c r="E585" s="107"/>
      <c r="F585" s="107"/>
      <c r="G585" s="107"/>
      <c r="H585" s="93"/>
      <c r="I585" s="64"/>
      <c r="J585" s="64"/>
      <c r="K585" s="66"/>
      <c r="L585" s="55"/>
      <c r="M585" s="46"/>
      <c r="N585" s="48"/>
      <c r="O585" s="58"/>
      <c r="P585" s="61"/>
      <c r="Q585" s="13"/>
      <c r="R585" s="41"/>
      <c r="S585" s="38"/>
      <c r="U585" s="51"/>
    </row>
    <row r="586" spans="1:21" s="7" customFormat="1" x14ac:dyDescent="0.25">
      <c r="A586" s="90"/>
      <c r="B586" s="45"/>
      <c r="C586" s="45"/>
      <c r="D586" s="45"/>
      <c r="E586" s="107"/>
      <c r="F586" s="107"/>
      <c r="G586" s="107"/>
      <c r="H586" s="93"/>
      <c r="I586" s="64"/>
      <c r="J586" s="64"/>
      <c r="K586" s="66"/>
      <c r="L586" s="55"/>
      <c r="M586" s="46"/>
      <c r="N586" s="48"/>
      <c r="O586" s="58"/>
      <c r="P586" s="61"/>
      <c r="Q586" s="13"/>
      <c r="R586" s="41"/>
      <c r="S586" s="38"/>
      <c r="U586" s="51"/>
    </row>
    <row r="587" spans="1:21" s="7" customFormat="1" x14ac:dyDescent="0.25">
      <c r="A587" s="90"/>
      <c r="B587" s="45"/>
      <c r="C587" s="45"/>
      <c r="D587" s="45"/>
      <c r="E587" s="107"/>
      <c r="F587" s="107"/>
      <c r="G587" s="107"/>
      <c r="H587" s="93"/>
      <c r="I587" s="64"/>
      <c r="J587" s="64"/>
      <c r="K587" s="66"/>
      <c r="L587" s="55"/>
      <c r="M587" s="46"/>
      <c r="N587" s="48"/>
      <c r="O587" s="58"/>
      <c r="P587" s="61"/>
      <c r="Q587" s="13"/>
      <c r="R587" s="41"/>
      <c r="S587" s="38"/>
      <c r="U587" s="51"/>
    </row>
    <row r="588" spans="1:21" s="7" customFormat="1" x14ac:dyDescent="0.25">
      <c r="A588" s="90"/>
      <c r="B588" s="45"/>
      <c r="C588" s="45"/>
      <c r="D588" s="45"/>
      <c r="E588" s="107"/>
      <c r="F588" s="107"/>
      <c r="G588" s="107"/>
      <c r="H588" s="93"/>
      <c r="I588" s="64"/>
      <c r="J588" s="64"/>
      <c r="K588" s="66"/>
      <c r="L588" s="55"/>
      <c r="M588" s="46"/>
      <c r="N588" s="48"/>
      <c r="O588" s="58"/>
      <c r="P588" s="61"/>
      <c r="Q588" s="13"/>
      <c r="R588" s="41"/>
      <c r="S588" s="38"/>
      <c r="U588" s="51"/>
    </row>
    <row r="589" spans="1:21" s="7" customFormat="1" x14ac:dyDescent="0.25">
      <c r="A589" s="90"/>
      <c r="B589" s="45"/>
      <c r="C589" s="45"/>
      <c r="D589" s="45"/>
      <c r="E589" s="107"/>
      <c r="F589" s="107"/>
      <c r="G589" s="107"/>
      <c r="H589" s="93"/>
      <c r="I589" s="64"/>
      <c r="J589" s="64"/>
      <c r="K589" s="66"/>
      <c r="L589" s="55"/>
      <c r="M589" s="46"/>
      <c r="N589" s="48"/>
      <c r="O589" s="58"/>
      <c r="P589" s="61"/>
      <c r="Q589" s="13"/>
      <c r="R589" s="41"/>
      <c r="S589" s="38"/>
      <c r="U589" s="51"/>
    </row>
    <row r="590" spans="1:21" s="7" customFormat="1" x14ac:dyDescent="0.25">
      <c r="A590" s="90"/>
      <c r="B590" s="45"/>
      <c r="C590" s="45"/>
      <c r="D590" s="45"/>
      <c r="E590" s="107"/>
      <c r="F590" s="107"/>
      <c r="G590" s="107"/>
      <c r="H590" s="93"/>
      <c r="I590" s="64"/>
      <c r="J590" s="64"/>
      <c r="K590" s="66"/>
      <c r="L590" s="55"/>
      <c r="M590" s="46"/>
      <c r="N590" s="48"/>
      <c r="O590" s="58"/>
      <c r="P590" s="61"/>
      <c r="Q590" s="13"/>
      <c r="R590" s="41"/>
      <c r="S590" s="38"/>
      <c r="U590" s="51"/>
    </row>
    <row r="591" spans="1:21" s="7" customFormat="1" x14ac:dyDescent="0.25">
      <c r="A591" s="90"/>
      <c r="B591" s="45"/>
      <c r="C591" s="45"/>
      <c r="D591" s="45"/>
      <c r="E591" s="107"/>
      <c r="F591" s="107"/>
      <c r="G591" s="107"/>
      <c r="H591" s="93"/>
      <c r="I591" s="64"/>
      <c r="J591" s="64"/>
      <c r="K591" s="66"/>
      <c r="L591" s="55"/>
      <c r="M591" s="46"/>
      <c r="N591" s="48"/>
      <c r="O591" s="58"/>
      <c r="P591" s="61"/>
      <c r="Q591" s="13"/>
      <c r="R591" s="41"/>
      <c r="S591" s="38"/>
      <c r="U591" s="51"/>
    </row>
    <row r="592" spans="1:21" s="7" customFormat="1" x14ac:dyDescent="0.25">
      <c r="A592" s="90"/>
      <c r="B592" s="45"/>
      <c r="C592" s="45"/>
      <c r="D592" s="45"/>
      <c r="E592" s="107"/>
      <c r="F592" s="107"/>
      <c r="G592" s="107"/>
      <c r="H592" s="93"/>
      <c r="I592" s="64"/>
      <c r="J592" s="64"/>
      <c r="K592" s="66"/>
      <c r="L592" s="55"/>
      <c r="M592" s="46"/>
      <c r="N592" s="48"/>
      <c r="O592" s="58"/>
      <c r="P592" s="61"/>
      <c r="Q592" s="13"/>
      <c r="R592" s="41"/>
      <c r="S592" s="38"/>
      <c r="U592" s="51"/>
    </row>
    <row r="593" spans="1:21" s="7" customFormat="1" x14ac:dyDescent="0.25">
      <c r="A593" s="90"/>
      <c r="B593" s="45"/>
      <c r="C593" s="45"/>
      <c r="D593" s="45"/>
      <c r="E593" s="107"/>
      <c r="F593" s="107"/>
      <c r="G593" s="107"/>
      <c r="H593" s="93"/>
      <c r="I593" s="64"/>
      <c r="J593" s="64"/>
      <c r="K593" s="66"/>
      <c r="L593" s="55"/>
      <c r="M593" s="46"/>
      <c r="N593" s="48"/>
      <c r="O593" s="58"/>
      <c r="P593" s="61"/>
      <c r="Q593" s="13"/>
      <c r="R593" s="41"/>
      <c r="S593" s="38"/>
      <c r="U593" s="51"/>
    </row>
    <row r="594" spans="1:21" s="7" customFormat="1" x14ac:dyDescent="0.25">
      <c r="A594" s="90"/>
      <c r="B594" s="45"/>
      <c r="C594" s="45"/>
      <c r="D594" s="45"/>
      <c r="E594" s="107"/>
      <c r="F594" s="107"/>
      <c r="G594" s="107"/>
      <c r="H594" s="93"/>
      <c r="I594" s="64"/>
      <c r="J594" s="64"/>
      <c r="K594" s="66"/>
      <c r="L594" s="55"/>
      <c r="M594" s="46"/>
      <c r="N594" s="48"/>
      <c r="O594" s="58"/>
      <c r="P594" s="61"/>
      <c r="Q594" s="13"/>
      <c r="R594" s="41"/>
      <c r="S594" s="38"/>
      <c r="U594" s="51"/>
    </row>
    <row r="595" spans="1:21" s="7" customFormat="1" x14ac:dyDescent="0.25">
      <c r="A595" s="90"/>
      <c r="B595" s="45"/>
      <c r="C595" s="45"/>
      <c r="D595" s="45"/>
      <c r="E595" s="107"/>
      <c r="F595" s="107"/>
      <c r="G595" s="107"/>
      <c r="H595" s="93"/>
      <c r="I595" s="64"/>
      <c r="J595" s="64"/>
      <c r="K595" s="66"/>
      <c r="L595" s="55"/>
      <c r="M595" s="46"/>
      <c r="N595" s="48"/>
      <c r="O595" s="58"/>
      <c r="P595" s="61"/>
      <c r="Q595" s="13"/>
      <c r="R595" s="41"/>
      <c r="S595" s="38"/>
      <c r="U595" s="51"/>
    </row>
    <row r="596" spans="1:21" s="7" customFormat="1" x14ac:dyDescent="0.25">
      <c r="A596" s="90"/>
      <c r="B596" s="45"/>
      <c r="C596" s="45"/>
      <c r="D596" s="45"/>
      <c r="E596" s="107"/>
      <c r="F596" s="107"/>
      <c r="G596" s="107"/>
      <c r="H596" s="93"/>
      <c r="I596" s="64"/>
      <c r="J596" s="64"/>
      <c r="K596" s="66"/>
      <c r="L596" s="55"/>
      <c r="M596" s="46"/>
      <c r="N596" s="48"/>
      <c r="O596" s="58"/>
      <c r="P596" s="61"/>
      <c r="Q596" s="13"/>
      <c r="R596" s="41"/>
      <c r="S596" s="38"/>
      <c r="U596" s="51"/>
    </row>
    <row r="597" spans="1:21" s="7" customFormat="1" x14ac:dyDescent="0.25">
      <c r="A597" s="90"/>
      <c r="B597" s="45"/>
      <c r="C597" s="45"/>
      <c r="D597" s="45"/>
      <c r="E597" s="107"/>
      <c r="F597" s="107"/>
      <c r="G597" s="107"/>
      <c r="H597" s="93"/>
      <c r="I597" s="64"/>
      <c r="J597" s="64"/>
      <c r="K597" s="66"/>
      <c r="L597" s="55"/>
      <c r="M597" s="46"/>
      <c r="N597" s="48"/>
      <c r="O597" s="58"/>
      <c r="P597" s="61"/>
      <c r="Q597" s="13"/>
      <c r="R597" s="41"/>
      <c r="S597" s="38"/>
      <c r="U597" s="51"/>
    </row>
    <row r="598" spans="1:21" s="7" customFormat="1" x14ac:dyDescent="0.25">
      <c r="A598" s="90"/>
      <c r="B598" s="45"/>
      <c r="C598" s="45"/>
      <c r="D598" s="45"/>
      <c r="E598" s="107"/>
      <c r="F598" s="107"/>
      <c r="G598" s="107"/>
      <c r="H598" s="93"/>
      <c r="I598" s="64"/>
      <c r="J598" s="64"/>
      <c r="K598" s="66"/>
      <c r="L598" s="55"/>
      <c r="M598" s="46"/>
      <c r="N598" s="48"/>
      <c r="O598" s="58"/>
      <c r="P598" s="61"/>
      <c r="Q598" s="13"/>
      <c r="R598" s="41"/>
      <c r="S598" s="38"/>
      <c r="U598" s="51"/>
    </row>
    <row r="599" spans="1:21" s="7" customFormat="1" x14ac:dyDescent="0.25">
      <c r="A599" s="90"/>
      <c r="B599" s="45"/>
      <c r="C599" s="45"/>
      <c r="D599" s="45"/>
      <c r="E599" s="107"/>
      <c r="F599" s="107"/>
      <c r="G599" s="107"/>
      <c r="H599" s="93"/>
      <c r="I599" s="64"/>
      <c r="J599" s="64"/>
      <c r="K599" s="66"/>
      <c r="L599" s="55"/>
      <c r="M599" s="46"/>
      <c r="N599" s="48"/>
      <c r="O599" s="58"/>
      <c r="P599" s="61"/>
      <c r="Q599" s="13"/>
      <c r="R599" s="41"/>
      <c r="S599" s="38"/>
      <c r="U599" s="51"/>
    </row>
    <row r="600" spans="1:21" s="7" customFormat="1" x14ac:dyDescent="0.25">
      <c r="A600" s="90"/>
      <c r="B600" s="45"/>
      <c r="C600" s="45"/>
      <c r="D600" s="45"/>
      <c r="E600" s="107"/>
      <c r="F600" s="107"/>
      <c r="G600" s="107"/>
      <c r="H600" s="93"/>
      <c r="I600" s="64"/>
      <c r="J600" s="64"/>
      <c r="K600" s="66"/>
      <c r="L600" s="55"/>
      <c r="M600" s="46"/>
      <c r="N600" s="48"/>
      <c r="O600" s="58"/>
      <c r="P600" s="61"/>
      <c r="Q600" s="13"/>
      <c r="R600" s="41"/>
      <c r="S600" s="38"/>
      <c r="U600" s="51"/>
    </row>
    <row r="601" spans="1:21" s="7" customFormat="1" x14ac:dyDescent="0.25">
      <c r="A601" s="90"/>
      <c r="B601" s="45"/>
      <c r="C601" s="45"/>
      <c r="D601" s="45"/>
      <c r="E601" s="107"/>
      <c r="F601" s="107"/>
      <c r="G601" s="107"/>
      <c r="H601" s="93"/>
      <c r="I601" s="64"/>
      <c r="J601" s="64"/>
      <c r="K601" s="66"/>
      <c r="L601" s="55"/>
      <c r="M601" s="46"/>
      <c r="N601" s="48"/>
      <c r="O601" s="58"/>
      <c r="P601" s="61"/>
      <c r="Q601" s="13"/>
      <c r="R601" s="41"/>
      <c r="S601" s="38"/>
      <c r="U601" s="51"/>
    </row>
    <row r="602" spans="1:21" s="7" customFormat="1" x14ac:dyDescent="0.25">
      <c r="A602" s="90"/>
      <c r="B602" s="45"/>
      <c r="C602" s="45"/>
      <c r="D602" s="45"/>
      <c r="E602" s="107"/>
      <c r="F602" s="107"/>
      <c r="G602" s="107"/>
      <c r="H602" s="93"/>
      <c r="I602" s="64"/>
      <c r="J602" s="64"/>
      <c r="K602" s="66"/>
      <c r="L602" s="55"/>
      <c r="M602" s="46"/>
      <c r="N602" s="48"/>
      <c r="O602" s="58"/>
      <c r="P602" s="61"/>
      <c r="Q602" s="13"/>
      <c r="R602" s="41"/>
      <c r="S602" s="38"/>
      <c r="U602" s="51"/>
    </row>
    <row r="603" spans="1:21" s="7" customFormat="1" x14ac:dyDescent="0.25">
      <c r="A603" s="90"/>
      <c r="B603" s="45"/>
      <c r="C603" s="45"/>
      <c r="D603" s="45"/>
      <c r="E603" s="107"/>
      <c r="F603" s="107"/>
      <c r="G603" s="107"/>
      <c r="H603" s="93"/>
      <c r="I603" s="64"/>
      <c r="J603" s="64"/>
      <c r="K603" s="66"/>
      <c r="L603" s="55"/>
      <c r="M603" s="46"/>
      <c r="N603" s="48"/>
      <c r="O603" s="58"/>
      <c r="P603" s="61"/>
      <c r="Q603" s="13"/>
      <c r="R603" s="41"/>
      <c r="S603" s="38"/>
      <c r="U603" s="51"/>
    </row>
    <row r="604" spans="1:21" s="7" customFormat="1" x14ac:dyDescent="0.25">
      <c r="A604" s="90"/>
      <c r="B604" s="45"/>
      <c r="C604" s="45"/>
      <c r="D604" s="45"/>
      <c r="E604" s="107"/>
      <c r="F604" s="107"/>
      <c r="G604" s="107"/>
      <c r="H604" s="93"/>
      <c r="I604" s="64"/>
      <c r="J604" s="64"/>
      <c r="K604" s="66"/>
      <c r="L604" s="55"/>
      <c r="M604" s="46"/>
      <c r="N604" s="48"/>
      <c r="O604" s="58"/>
      <c r="P604" s="61"/>
      <c r="Q604" s="13"/>
      <c r="R604" s="41"/>
      <c r="S604" s="38"/>
      <c r="U604" s="51"/>
    </row>
    <row r="605" spans="1:21" s="7" customFormat="1" x14ac:dyDescent="0.25">
      <c r="A605" s="90"/>
      <c r="B605" s="45"/>
      <c r="C605" s="45"/>
      <c r="D605" s="45"/>
      <c r="E605" s="107"/>
      <c r="F605" s="107"/>
      <c r="G605" s="107"/>
      <c r="H605" s="93"/>
      <c r="I605" s="64"/>
      <c r="J605" s="64"/>
      <c r="K605" s="66"/>
      <c r="L605" s="55"/>
      <c r="M605" s="46"/>
      <c r="N605" s="48"/>
      <c r="O605" s="58"/>
      <c r="P605" s="61"/>
      <c r="Q605" s="13"/>
      <c r="R605" s="41"/>
      <c r="S605" s="38"/>
      <c r="U605" s="51"/>
    </row>
    <row r="606" spans="1:21" s="7" customFormat="1" x14ac:dyDescent="0.25">
      <c r="A606" s="90"/>
      <c r="B606" s="45"/>
      <c r="C606" s="45"/>
      <c r="D606" s="45"/>
      <c r="E606" s="107"/>
      <c r="F606" s="107"/>
      <c r="G606" s="107"/>
      <c r="H606" s="93"/>
      <c r="I606" s="64"/>
      <c r="J606" s="64"/>
      <c r="K606" s="66"/>
      <c r="L606" s="55"/>
      <c r="M606" s="46"/>
      <c r="N606" s="48"/>
      <c r="O606" s="58"/>
      <c r="P606" s="61"/>
      <c r="Q606" s="13"/>
      <c r="R606" s="41"/>
      <c r="S606" s="38"/>
      <c r="U606" s="51"/>
    </row>
    <row r="607" spans="1:21" s="7" customFormat="1" x14ac:dyDescent="0.25">
      <c r="A607" s="90"/>
      <c r="B607" s="45"/>
      <c r="C607" s="45"/>
      <c r="D607" s="45"/>
      <c r="E607" s="107"/>
      <c r="F607" s="107"/>
      <c r="G607" s="107"/>
      <c r="H607" s="93"/>
      <c r="I607" s="64"/>
      <c r="J607" s="64"/>
      <c r="K607" s="66"/>
      <c r="L607" s="55"/>
      <c r="M607" s="46"/>
      <c r="N607" s="48"/>
      <c r="O607" s="58"/>
      <c r="P607" s="61"/>
      <c r="Q607" s="13"/>
      <c r="R607" s="41"/>
      <c r="S607" s="38"/>
      <c r="U607" s="51"/>
    </row>
    <row r="608" spans="1:21" s="7" customFormat="1" x14ac:dyDescent="0.25">
      <c r="A608" s="90"/>
      <c r="B608" s="45"/>
      <c r="C608" s="45"/>
      <c r="D608" s="45"/>
      <c r="E608" s="107"/>
      <c r="F608" s="107"/>
      <c r="G608" s="107"/>
      <c r="H608" s="93"/>
      <c r="I608" s="64"/>
      <c r="J608" s="64"/>
      <c r="K608" s="66"/>
      <c r="L608" s="55"/>
      <c r="M608" s="46"/>
      <c r="N608" s="48"/>
      <c r="O608" s="58"/>
      <c r="P608" s="61"/>
      <c r="Q608" s="13"/>
      <c r="R608" s="41"/>
      <c r="S608" s="38"/>
      <c r="U608" s="51"/>
    </row>
    <row r="609" spans="1:21" s="7" customFormat="1" x14ac:dyDescent="0.25">
      <c r="A609" s="90"/>
      <c r="B609" s="45"/>
      <c r="C609" s="45"/>
      <c r="D609" s="45"/>
      <c r="E609" s="107"/>
      <c r="F609" s="107"/>
      <c r="G609" s="107"/>
      <c r="H609" s="93"/>
      <c r="I609" s="64"/>
      <c r="J609" s="64"/>
      <c r="K609" s="66"/>
      <c r="L609" s="55"/>
      <c r="M609" s="46"/>
      <c r="N609" s="48"/>
      <c r="O609" s="58"/>
      <c r="P609" s="61"/>
      <c r="Q609" s="13"/>
      <c r="R609" s="41"/>
      <c r="S609" s="38"/>
      <c r="U609" s="51"/>
    </row>
    <row r="610" spans="1:21" s="7" customFormat="1" x14ac:dyDescent="0.25">
      <c r="A610" s="90"/>
      <c r="B610" s="45"/>
      <c r="C610" s="45"/>
      <c r="D610" s="45"/>
      <c r="E610" s="107"/>
      <c r="F610" s="107"/>
      <c r="G610" s="107"/>
      <c r="H610" s="93"/>
      <c r="I610" s="64"/>
      <c r="J610" s="64"/>
      <c r="K610" s="66"/>
      <c r="L610" s="55"/>
      <c r="M610" s="46"/>
      <c r="N610" s="48"/>
      <c r="O610" s="58"/>
      <c r="P610" s="61"/>
      <c r="Q610" s="13"/>
      <c r="R610" s="41"/>
      <c r="S610" s="38"/>
      <c r="U610" s="51"/>
    </row>
    <row r="611" spans="1:21" s="7" customFormat="1" x14ac:dyDescent="0.25">
      <c r="A611" s="90"/>
      <c r="B611" s="45"/>
      <c r="C611" s="45"/>
      <c r="D611" s="45"/>
      <c r="E611" s="107"/>
      <c r="F611" s="107"/>
      <c r="G611" s="107"/>
      <c r="H611" s="93"/>
      <c r="I611" s="64"/>
      <c r="J611" s="64"/>
      <c r="K611" s="66"/>
      <c r="L611" s="55"/>
      <c r="M611" s="46"/>
      <c r="N611" s="48"/>
      <c r="O611" s="58"/>
      <c r="P611" s="61"/>
      <c r="Q611" s="13"/>
      <c r="R611" s="41"/>
      <c r="S611" s="38"/>
      <c r="U611" s="51"/>
    </row>
    <row r="612" spans="1:21" s="7" customFormat="1" x14ac:dyDescent="0.25">
      <c r="A612" s="90"/>
      <c r="B612" s="45"/>
      <c r="C612" s="45"/>
      <c r="D612" s="45"/>
      <c r="E612" s="107"/>
      <c r="F612" s="107"/>
      <c r="G612" s="107"/>
      <c r="H612" s="93"/>
      <c r="I612" s="64"/>
      <c r="J612" s="64"/>
      <c r="K612" s="66"/>
      <c r="L612" s="55"/>
      <c r="M612" s="46"/>
      <c r="N612" s="48"/>
      <c r="O612" s="58"/>
      <c r="P612" s="61"/>
      <c r="Q612" s="13"/>
      <c r="R612" s="41"/>
      <c r="S612" s="38"/>
      <c r="U612" s="51"/>
    </row>
    <row r="613" spans="1:21" s="7" customFormat="1" x14ac:dyDescent="0.25">
      <c r="A613" s="90"/>
      <c r="B613" s="45"/>
      <c r="C613" s="45"/>
      <c r="D613" s="45"/>
      <c r="E613" s="107"/>
      <c r="F613" s="107"/>
      <c r="G613" s="107"/>
      <c r="H613" s="93"/>
      <c r="I613" s="64"/>
      <c r="J613" s="64"/>
      <c r="K613" s="66"/>
      <c r="L613" s="55"/>
      <c r="M613" s="46"/>
      <c r="N613" s="48"/>
      <c r="O613" s="58"/>
      <c r="P613" s="61"/>
      <c r="Q613" s="13"/>
      <c r="R613" s="41"/>
      <c r="S613" s="38"/>
      <c r="U613" s="51"/>
    </row>
    <row r="614" spans="1:21" s="7" customFormat="1" x14ac:dyDescent="0.25">
      <c r="A614" s="90"/>
      <c r="B614" s="45"/>
      <c r="C614" s="45"/>
      <c r="D614" s="45"/>
      <c r="E614" s="107"/>
      <c r="F614" s="107"/>
      <c r="G614" s="107"/>
      <c r="H614" s="93"/>
      <c r="I614" s="64"/>
      <c r="J614" s="64"/>
      <c r="K614" s="66"/>
      <c r="L614" s="55"/>
      <c r="M614" s="46"/>
      <c r="N614" s="48"/>
      <c r="O614" s="58"/>
      <c r="P614" s="61"/>
      <c r="Q614" s="13"/>
      <c r="R614" s="41"/>
      <c r="S614" s="38"/>
      <c r="U614" s="51"/>
    </row>
    <row r="615" spans="1:21" s="7" customFormat="1" x14ac:dyDescent="0.25">
      <c r="A615" s="88"/>
      <c r="B615" s="39"/>
      <c r="C615" s="45"/>
      <c r="D615" s="39"/>
      <c r="E615" s="108"/>
      <c r="F615" s="108"/>
      <c r="G615" s="108"/>
      <c r="H615" s="94"/>
      <c r="I615" s="65"/>
      <c r="J615" s="65"/>
      <c r="K615" s="67"/>
      <c r="L615" s="55"/>
      <c r="M615" s="46"/>
      <c r="N615" s="48"/>
      <c r="O615" s="58"/>
      <c r="P615" s="61"/>
      <c r="Q615" s="13"/>
      <c r="R615" s="41"/>
      <c r="S615" s="38"/>
      <c r="U615" s="51"/>
    </row>
    <row r="616" spans="1:21" s="7" customFormat="1" x14ac:dyDescent="0.25">
      <c r="A616" s="88"/>
      <c r="B616" s="39"/>
      <c r="C616" s="45"/>
      <c r="D616" s="39"/>
      <c r="E616" s="108"/>
      <c r="F616" s="108"/>
      <c r="G616" s="108"/>
      <c r="H616" s="94"/>
      <c r="I616" s="65"/>
      <c r="J616" s="65"/>
      <c r="K616" s="67"/>
      <c r="L616" s="55"/>
      <c r="M616" s="46"/>
      <c r="N616" s="48"/>
      <c r="O616" s="58"/>
      <c r="P616" s="61"/>
      <c r="Q616" s="13"/>
      <c r="R616" s="41"/>
      <c r="S616" s="38"/>
      <c r="U616" s="51"/>
    </row>
    <row r="617" spans="1:21" s="7" customFormat="1" x14ac:dyDescent="0.25">
      <c r="A617" s="90"/>
      <c r="B617" s="45"/>
      <c r="C617" s="45"/>
      <c r="D617" s="45"/>
      <c r="E617" s="107"/>
      <c r="F617" s="107"/>
      <c r="G617" s="107"/>
      <c r="H617" s="93"/>
      <c r="I617" s="64"/>
      <c r="J617" s="64"/>
      <c r="K617" s="66"/>
      <c r="L617" s="55"/>
      <c r="M617" s="46"/>
      <c r="N617" s="48"/>
      <c r="O617" s="58"/>
      <c r="P617" s="61"/>
      <c r="Q617" s="13"/>
      <c r="R617" s="41"/>
      <c r="S617" s="38"/>
      <c r="U617" s="51"/>
    </row>
    <row r="618" spans="1:21" s="7" customFormat="1" x14ac:dyDescent="0.25">
      <c r="A618" s="90"/>
      <c r="B618" s="45"/>
      <c r="C618" s="45"/>
      <c r="D618" s="45"/>
      <c r="E618" s="107"/>
      <c r="F618" s="107"/>
      <c r="G618" s="107"/>
      <c r="H618" s="93"/>
      <c r="I618" s="64"/>
      <c r="J618" s="64"/>
      <c r="K618" s="66"/>
      <c r="L618" s="55"/>
      <c r="M618" s="46"/>
      <c r="N618" s="48"/>
      <c r="O618" s="58"/>
      <c r="P618" s="61"/>
      <c r="Q618" s="13"/>
      <c r="R618" s="41"/>
      <c r="S618" s="38"/>
      <c r="U618" s="51"/>
    </row>
    <row r="619" spans="1:21" s="7" customFormat="1" x14ac:dyDescent="0.25">
      <c r="A619" s="90"/>
      <c r="B619" s="45"/>
      <c r="C619" s="45"/>
      <c r="D619" s="45"/>
      <c r="E619" s="107"/>
      <c r="F619" s="107"/>
      <c r="G619" s="107"/>
      <c r="H619" s="93"/>
      <c r="I619" s="64"/>
      <c r="J619" s="64"/>
      <c r="K619" s="66"/>
      <c r="L619" s="55"/>
      <c r="M619" s="46"/>
      <c r="N619" s="48"/>
      <c r="O619" s="58"/>
      <c r="P619" s="61"/>
      <c r="Q619" s="13"/>
      <c r="R619" s="41"/>
      <c r="S619" s="38"/>
      <c r="U619" s="51"/>
    </row>
    <row r="620" spans="1:21" s="7" customFormat="1" x14ac:dyDescent="0.25">
      <c r="A620" s="90"/>
      <c r="B620" s="45"/>
      <c r="C620" s="45"/>
      <c r="D620" s="45"/>
      <c r="E620" s="107"/>
      <c r="F620" s="107"/>
      <c r="G620" s="107"/>
      <c r="H620" s="93"/>
      <c r="I620" s="64"/>
      <c r="J620" s="64"/>
      <c r="K620" s="66"/>
      <c r="L620" s="55"/>
      <c r="M620" s="46"/>
      <c r="N620" s="48"/>
      <c r="O620" s="58"/>
      <c r="P620" s="61"/>
      <c r="Q620" s="13"/>
      <c r="R620" s="41"/>
      <c r="S620" s="38"/>
      <c r="U620" s="51"/>
    </row>
    <row r="621" spans="1:21" s="7" customFormat="1" x14ac:dyDescent="0.25">
      <c r="A621" s="90"/>
      <c r="B621" s="45"/>
      <c r="C621" s="45"/>
      <c r="D621" s="45"/>
      <c r="E621" s="107"/>
      <c r="F621" s="107"/>
      <c r="G621" s="107"/>
      <c r="H621" s="93"/>
      <c r="I621" s="64"/>
      <c r="J621" s="64"/>
      <c r="K621" s="66"/>
      <c r="L621" s="55"/>
      <c r="M621" s="46"/>
      <c r="N621" s="48"/>
      <c r="O621" s="58"/>
      <c r="P621" s="61"/>
      <c r="Q621" s="13"/>
      <c r="R621" s="41"/>
      <c r="S621" s="38"/>
      <c r="U621" s="51"/>
    </row>
    <row r="622" spans="1:21" s="7" customFormat="1" x14ac:dyDescent="0.25">
      <c r="A622" s="90"/>
      <c r="B622" s="45"/>
      <c r="C622" s="45"/>
      <c r="D622" s="45"/>
      <c r="E622" s="107"/>
      <c r="F622" s="107"/>
      <c r="G622" s="107"/>
      <c r="H622" s="93"/>
      <c r="I622" s="64"/>
      <c r="J622" s="64"/>
      <c r="K622" s="66"/>
      <c r="L622" s="55"/>
      <c r="M622" s="46"/>
      <c r="N622" s="48"/>
      <c r="O622" s="58"/>
      <c r="P622" s="61"/>
      <c r="Q622" s="13"/>
      <c r="R622" s="41"/>
      <c r="S622" s="38"/>
      <c r="U622" s="51"/>
    </row>
    <row r="623" spans="1:21" s="7" customFormat="1" x14ac:dyDescent="0.25">
      <c r="A623" s="90"/>
      <c r="B623" s="45"/>
      <c r="C623" s="45"/>
      <c r="D623" s="45"/>
      <c r="E623" s="107"/>
      <c r="F623" s="107"/>
      <c r="G623" s="107"/>
      <c r="H623" s="93"/>
      <c r="I623" s="64"/>
      <c r="J623" s="64"/>
      <c r="K623" s="66"/>
      <c r="L623" s="55"/>
      <c r="M623" s="46"/>
      <c r="N623" s="48"/>
      <c r="O623" s="58"/>
      <c r="P623" s="61"/>
      <c r="Q623" s="13"/>
      <c r="R623" s="41"/>
      <c r="S623" s="38"/>
      <c r="U623" s="51"/>
    </row>
    <row r="624" spans="1:21" s="7" customFormat="1" x14ac:dyDescent="0.25">
      <c r="A624" s="90"/>
      <c r="B624" s="45"/>
      <c r="C624" s="45"/>
      <c r="D624" s="45"/>
      <c r="E624" s="107"/>
      <c r="F624" s="107"/>
      <c r="G624" s="107"/>
      <c r="H624" s="93"/>
      <c r="I624" s="64"/>
      <c r="J624" s="64"/>
      <c r="K624" s="66"/>
      <c r="L624" s="55"/>
      <c r="M624" s="46"/>
      <c r="N624" s="48"/>
      <c r="O624" s="58"/>
      <c r="P624" s="61"/>
      <c r="Q624" s="13"/>
      <c r="R624" s="41"/>
      <c r="S624" s="38"/>
      <c r="U624" s="51"/>
    </row>
    <row r="625" spans="1:21" s="7" customFormat="1" x14ac:dyDescent="0.25">
      <c r="A625" s="90"/>
      <c r="B625" s="45"/>
      <c r="C625" s="45"/>
      <c r="D625" s="45"/>
      <c r="E625" s="107"/>
      <c r="F625" s="107"/>
      <c r="G625" s="107"/>
      <c r="H625" s="93"/>
      <c r="I625" s="64"/>
      <c r="J625" s="64"/>
      <c r="K625" s="66"/>
      <c r="L625" s="55"/>
      <c r="M625" s="46"/>
      <c r="N625" s="48"/>
      <c r="O625" s="58"/>
      <c r="P625" s="61"/>
      <c r="Q625" s="13"/>
      <c r="R625" s="41"/>
      <c r="S625" s="38"/>
      <c r="U625" s="51"/>
    </row>
    <row r="626" spans="1:21" s="7" customFormat="1" x14ac:dyDescent="0.25">
      <c r="A626" s="90"/>
      <c r="B626" s="45"/>
      <c r="C626" s="45"/>
      <c r="D626" s="45"/>
      <c r="E626" s="107"/>
      <c r="F626" s="107"/>
      <c r="G626" s="107"/>
      <c r="H626" s="93"/>
      <c r="I626" s="64"/>
      <c r="J626" s="64"/>
      <c r="K626" s="66"/>
      <c r="L626" s="55"/>
      <c r="M626" s="46"/>
      <c r="N626" s="48"/>
      <c r="O626" s="58"/>
      <c r="P626" s="61"/>
      <c r="Q626" s="13"/>
      <c r="R626" s="41"/>
      <c r="S626" s="38"/>
      <c r="U626" s="51"/>
    </row>
    <row r="627" spans="1:21" s="7" customFormat="1" x14ac:dyDescent="0.25">
      <c r="A627" s="90"/>
      <c r="B627" s="45"/>
      <c r="C627" s="45"/>
      <c r="D627" s="45"/>
      <c r="E627" s="107"/>
      <c r="F627" s="107"/>
      <c r="G627" s="107"/>
      <c r="H627" s="93"/>
      <c r="I627" s="64"/>
      <c r="J627" s="64"/>
      <c r="K627" s="66"/>
      <c r="L627" s="55"/>
      <c r="M627" s="46"/>
      <c r="N627" s="48"/>
      <c r="O627" s="58"/>
      <c r="P627" s="61"/>
      <c r="Q627" s="13"/>
      <c r="R627" s="41"/>
      <c r="S627" s="38"/>
      <c r="U627" s="51"/>
    </row>
    <row r="628" spans="1:21" s="7" customFormat="1" x14ac:dyDescent="0.25">
      <c r="A628" s="90"/>
      <c r="B628" s="45"/>
      <c r="C628" s="45"/>
      <c r="D628" s="45"/>
      <c r="E628" s="107"/>
      <c r="F628" s="107"/>
      <c r="G628" s="107"/>
      <c r="H628" s="93"/>
      <c r="I628" s="64"/>
      <c r="J628" s="64"/>
      <c r="K628" s="66"/>
      <c r="L628" s="55"/>
      <c r="M628" s="46"/>
      <c r="N628" s="48"/>
      <c r="O628" s="58"/>
      <c r="P628" s="61"/>
      <c r="Q628" s="13"/>
      <c r="R628" s="41"/>
      <c r="S628" s="38"/>
      <c r="U628" s="51"/>
    </row>
    <row r="629" spans="1:21" s="7" customFormat="1" x14ac:dyDescent="0.25">
      <c r="A629" s="90"/>
      <c r="B629" s="45"/>
      <c r="C629" s="45"/>
      <c r="D629" s="45"/>
      <c r="E629" s="107"/>
      <c r="F629" s="107"/>
      <c r="G629" s="107"/>
      <c r="H629" s="93"/>
      <c r="I629" s="64"/>
      <c r="J629" s="64"/>
      <c r="K629" s="66"/>
      <c r="L629" s="55"/>
      <c r="M629" s="46"/>
      <c r="N629" s="48"/>
      <c r="O629" s="58"/>
      <c r="P629" s="61"/>
      <c r="Q629" s="13"/>
      <c r="R629" s="41"/>
      <c r="S629" s="38"/>
      <c r="U629" s="51"/>
    </row>
    <row r="630" spans="1:21" s="7" customFormat="1" x14ac:dyDescent="0.25">
      <c r="A630" s="90"/>
      <c r="B630" s="45"/>
      <c r="C630" s="45"/>
      <c r="D630" s="45"/>
      <c r="E630" s="107"/>
      <c r="F630" s="107"/>
      <c r="G630" s="107"/>
      <c r="H630" s="93"/>
      <c r="I630" s="64"/>
      <c r="J630" s="64"/>
      <c r="K630" s="66"/>
      <c r="L630" s="55"/>
      <c r="M630" s="46"/>
      <c r="N630" s="48"/>
      <c r="O630" s="58"/>
      <c r="P630" s="61"/>
      <c r="Q630" s="13"/>
      <c r="R630" s="41"/>
      <c r="S630" s="38"/>
      <c r="U630" s="51"/>
    </row>
    <row r="631" spans="1:21" s="7" customFormat="1" x14ac:dyDescent="0.25">
      <c r="A631" s="90"/>
      <c r="B631" s="45"/>
      <c r="C631" s="45"/>
      <c r="D631" s="45"/>
      <c r="E631" s="107"/>
      <c r="F631" s="107"/>
      <c r="G631" s="107"/>
      <c r="H631" s="93"/>
      <c r="I631" s="64"/>
      <c r="J631" s="64"/>
      <c r="K631" s="66"/>
      <c r="L631" s="55"/>
      <c r="M631" s="46"/>
      <c r="N631" s="48"/>
      <c r="O631" s="58"/>
      <c r="P631" s="61"/>
      <c r="Q631" s="13"/>
      <c r="R631" s="41"/>
      <c r="S631" s="38"/>
      <c r="U631" s="51"/>
    </row>
    <row r="632" spans="1:21" s="7" customFormat="1" x14ac:dyDescent="0.25">
      <c r="A632" s="90"/>
      <c r="B632" s="45"/>
      <c r="C632" s="45"/>
      <c r="D632" s="45"/>
      <c r="E632" s="107"/>
      <c r="F632" s="107"/>
      <c r="G632" s="107"/>
      <c r="H632" s="93"/>
      <c r="I632" s="64"/>
      <c r="J632" s="64"/>
      <c r="K632" s="66"/>
      <c r="L632" s="55"/>
      <c r="M632" s="46"/>
      <c r="N632" s="48"/>
      <c r="O632" s="58"/>
      <c r="P632" s="61"/>
      <c r="Q632" s="13"/>
      <c r="R632" s="41"/>
      <c r="S632" s="38"/>
      <c r="U632" s="51"/>
    </row>
    <row r="633" spans="1:21" s="7" customFormat="1" x14ac:dyDescent="0.25">
      <c r="A633" s="90"/>
      <c r="B633" s="45"/>
      <c r="C633" s="45"/>
      <c r="D633" s="45"/>
      <c r="E633" s="107"/>
      <c r="F633" s="107"/>
      <c r="G633" s="107"/>
      <c r="H633" s="93"/>
      <c r="I633" s="64"/>
      <c r="J633" s="64"/>
      <c r="K633" s="66"/>
      <c r="L633" s="55"/>
      <c r="M633" s="46"/>
      <c r="N633" s="48"/>
      <c r="O633" s="58"/>
      <c r="P633" s="61"/>
      <c r="Q633" s="13"/>
      <c r="R633" s="41"/>
      <c r="S633" s="38"/>
      <c r="U633" s="51"/>
    </row>
    <row r="634" spans="1:21" s="7" customFormat="1" x14ac:dyDescent="0.25">
      <c r="A634" s="90"/>
      <c r="B634" s="45"/>
      <c r="C634" s="45"/>
      <c r="D634" s="45"/>
      <c r="E634" s="107"/>
      <c r="F634" s="107"/>
      <c r="G634" s="107"/>
      <c r="H634" s="93"/>
      <c r="I634" s="64"/>
      <c r="J634" s="64"/>
      <c r="K634" s="66"/>
      <c r="L634" s="55"/>
      <c r="M634" s="46"/>
      <c r="N634" s="48"/>
      <c r="O634" s="58"/>
      <c r="P634" s="61"/>
      <c r="Q634" s="13"/>
      <c r="R634" s="41"/>
      <c r="S634" s="38"/>
      <c r="U634" s="51"/>
    </row>
    <row r="635" spans="1:21" s="7" customFormat="1" x14ac:dyDescent="0.25">
      <c r="A635" s="90"/>
      <c r="B635" s="45"/>
      <c r="C635" s="45"/>
      <c r="D635" s="45"/>
      <c r="E635" s="107"/>
      <c r="F635" s="107"/>
      <c r="G635" s="107"/>
      <c r="H635" s="93"/>
      <c r="I635" s="64"/>
      <c r="J635" s="64"/>
      <c r="K635" s="66"/>
      <c r="L635" s="55"/>
      <c r="M635" s="46"/>
      <c r="N635" s="48"/>
      <c r="O635" s="58"/>
      <c r="P635" s="61"/>
      <c r="Q635" s="13"/>
      <c r="R635" s="41"/>
      <c r="S635" s="38"/>
      <c r="U635" s="51"/>
    </row>
    <row r="636" spans="1:21" s="7" customFormat="1" x14ac:dyDescent="0.25">
      <c r="A636" s="90"/>
      <c r="B636" s="45"/>
      <c r="C636" s="45"/>
      <c r="D636" s="45"/>
      <c r="E636" s="107"/>
      <c r="F636" s="107"/>
      <c r="G636" s="107"/>
      <c r="H636" s="93"/>
      <c r="I636" s="64"/>
      <c r="J636" s="64"/>
      <c r="K636" s="66"/>
      <c r="L636" s="55"/>
      <c r="M636" s="46"/>
      <c r="N636" s="48"/>
      <c r="O636" s="58"/>
      <c r="P636" s="61"/>
      <c r="Q636" s="13"/>
      <c r="R636" s="41"/>
      <c r="S636" s="38"/>
      <c r="U636" s="51"/>
    </row>
    <row r="637" spans="1:21" s="7" customFormat="1" x14ac:dyDescent="0.25">
      <c r="A637" s="90"/>
      <c r="B637" s="45"/>
      <c r="C637" s="45"/>
      <c r="D637" s="45"/>
      <c r="E637" s="107"/>
      <c r="F637" s="107"/>
      <c r="G637" s="107"/>
      <c r="H637" s="93"/>
      <c r="I637" s="64"/>
      <c r="J637" s="64"/>
      <c r="K637" s="66"/>
      <c r="L637" s="55"/>
      <c r="M637" s="46"/>
      <c r="N637" s="48"/>
      <c r="O637" s="58"/>
      <c r="P637" s="61"/>
      <c r="Q637" s="13"/>
      <c r="R637" s="41"/>
      <c r="S637" s="38"/>
      <c r="U637" s="51"/>
    </row>
    <row r="638" spans="1:21" s="7" customFormat="1" x14ac:dyDescent="0.25">
      <c r="A638" s="88"/>
      <c r="B638" s="39"/>
      <c r="C638" s="45"/>
      <c r="D638" s="39"/>
      <c r="E638" s="108"/>
      <c r="F638" s="108"/>
      <c r="G638" s="108"/>
      <c r="H638" s="94"/>
      <c r="I638" s="65"/>
      <c r="J638" s="65"/>
      <c r="K638" s="67"/>
      <c r="L638" s="55"/>
      <c r="M638" s="46"/>
      <c r="N638" s="48"/>
      <c r="O638" s="58"/>
      <c r="P638" s="61"/>
      <c r="Q638" s="13"/>
      <c r="R638" s="41"/>
      <c r="S638" s="38"/>
      <c r="U638" s="51"/>
    </row>
    <row r="639" spans="1:21" s="7" customFormat="1" x14ac:dyDescent="0.25">
      <c r="A639" s="88"/>
      <c r="B639" s="39"/>
      <c r="C639" s="45"/>
      <c r="D639" s="39"/>
      <c r="E639" s="108"/>
      <c r="F639" s="108"/>
      <c r="G639" s="108"/>
      <c r="H639" s="94"/>
      <c r="I639" s="65"/>
      <c r="J639" s="65"/>
      <c r="K639" s="67"/>
      <c r="L639" s="55"/>
      <c r="M639" s="46"/>
      <c r="N639" s="48"/>
      <c r="O639" s="58"/>
      <c r="P639" s="61"/>
      <c r="Q639" s="13"/>
      <c r="R639" s="41"/>
      <c r="S639" s="38"/>
      <c r="U639" s="51"/>
    </row>
    <row r="640" spans="1:21" s="7" customFormat="1" x14ac:dyDescent="0.25">
      <c r="A640" s="88"/>
      <c r="B640" s="39"/>
      <c r="C640" s="45"/>
      <c r="D640" s="39"/>
      <c r="E640" s="108"/>
      <c r="F640" s="108"/>
      <c r="G640" s="108"/>
      <c r="H640" s="94"/>
      <c r="I640" s="65"/>
      <c r="J640" s="65"/>
      <c r="K640" s="67"/>
      <c r="L640" s="55"/>
      <c r="M640" s="46"/>
      <c r="N640" s="48"/>
      <c r="O640" s="58"/>
      <c r="P640" s="61"/>
      <c r="Q640" s="13"/>
      <c r="R640" s="41"/>
      <c r="S640" s="38"/>
      <c r="U640" s="51"/>
    </row>
    <row r="641" spans="1:21" s="7" customFormat="1" x14ac:dyDescent="0.25">
      <c r="A641" s="88"/>
      <c r="B641" s="39"/>
      <c r="C641" s="45"/>
      <c r="D641" s="39"/>
      <c r="E641" s="108"/>
      <c r="F641" s="108"/>
      <c r="G641" s="108"/>
      <c r="H641" s="94"/>
      <c r="I641" s="65"/>
      <c r="J641" s="65"/>
      <c r="K641" s="67"/>
      <c r="L641" s="55"/>
      <c r="M641" s="46"/>
      <c r="N641" s="48"/>
      <c r="O641" s="58"/>
      <c r="P641" s="61"/>
      <c r="Q641" s="13"/>
      <c r="R641" s="41"/>
      <c r="S641" s="38"/>
      <c r="U641" s="51"/>
    </row>
    <row r="642" spans="1:21" s="7" customFormat="1" x14ac:dyDescent="0.25">
      <c r="A642" s="90"/>
      <c r="B642" s="45"/>
      <c r="C642" s="45"/>
      <c r="D642" s="45"/>
      <c r="E642" s="107"/>
      <c r="F642" s="107"/>
      <c r="G642" s="107"/>
      <c r="H642" s="93"/>
      <c r="I642" s="64"/>
      <c r="J642" s="64"/>
      <c r="K642" s="66"/>
      <c r="L642" s="55"/>
      <c r="M642" s="46"/>
      <c r="N642" s="48"/>
      <c r="O642" s="58"/>
      <c r="P642" s="61"/>
      <c r="Q642" s="13"/>
      <c r="R642" s="41"/>
      <c r="S642" s="38"/>
      <c r="U642" s="51"/>
    </row>
    <row r="643" spans="1:21" s="7" customFormat="1" x14ac:dyDescent="0.25">
      <c r="A643" s="90"/>
      <c r="B643" s="45"/>
      <c r="C643" s="45"/>
      <c r="D643" s="45"/>
      <c r="E643" s="107"/>
      <c r="F643" s="107"/>
      <c r="G643" s="107"/>
      <c r="H643" s="93"/>
      <c r="I643" s="64"/>
      <c r="J643" s="64"/>
      <c r="K643" s="66"/>
      <c r="L643" s="55"/>
      <c r="M643" s="46"/>
      <c r="N643" s="48"/>
      <c r="O643" s="58"/>
      <c r="P643" s="61"/>
      <c r="Q643" s="13"/>
      <c r="R643" s="41"/>
      <c r="S643" s="38"/>
      <c r="U643" s="51"/>
    </row>
    <row r="644" spans="1:21" s="7" customFormat="1" x14ac:dyDescent="0.25">
      <c r="A644" s="90"/>
      <c r="B644" s="45"/>
      <c r="C644" s="45"/>
      <c r="D644" s="45"/>
      <c r="E644" s="107"/>
      <c r="F644" s="107"/>
      <c r="G644" s="107"/>
      <c r="H644" s="93"/>
      <c r="I644" s="64"/>
      <c r="J644" s="64"/>
      <c r="K644" s="66"/>
      <c r="L644" s="55"/>
      <c r="M644" s="46"/>
      <c r="N644" s="48"/>
      <c r="O644" s="58"/>
      <c r="P644" s="61"/>
      <c r="Q644" s="13"/>
      <c r="R644" s="41"/>
      <c r="S644" s="38"/>
      <c r="U644" s="51"/>
    </row>
    <row r="645" spans="1:21" s="7" customFormat="1" x14ac:dyDescent="0.25">
      <c r="A645" s="90"/>
      <c r="B645" s="45"/>
      <c r="C645" s="45"/>
      <c r="D645" s="45"/>
      <c r="E645" s="107"/>
      <c r="F645" s="107"/>
      <c r="G645" s="107"/>
      <c r="H645" s="93"/>
      <c r="I645" s="64"/>
      <c r="J645" s="64"/>
      <c r="K645" s="66"/>
      <c r="L645" s="55"/>
      <c r="M645" s="46"/>
      <c r="N645" s="48"/>
      <c r="O645" s="58"/>
      <c r="P645" s="61"/>
      <c r="Q645" s="13"/>
      <c r="R645" s="41"/>
      <c r="S645" s="38"/>
      <c r="U645" s="51"/>
    </row>
    <row r="646" spans="1:21" s="7" customFormat="1" x14ac:dyDescent="0.25">
      <c r="A646" s="90"/>
      <c r="B646" s="45"/>
      <c r="C646" s="45"/>
      <c r="D646" s="45"/>
      <c r="E646" s="107"/>
      <c r="F646" s="107"/>
      <c r="G646" s="107"/>
      <c r="H646" s="93"/>
      <c r="I646" s="64"/>
      <c r="J646" s="64"/>
      <c r="K646" s="66"/>
      <c r="L646" s="55"/>
      <c r="M646" s="46"/>
      <c r="N646" s="48"/>
      <c r="O646" s="58"/>
      <c r="P646" s="61"/>
      <c r="Q646" s="13"/>
      <c r="R646" s="41"/>
      <c r="S646" s="38"/>
      <c r="U646" s="51"/>
    </row>
    <row r="647" spans="1:21" s="7" customFormat="1" x14ac:dyDescent="0.25">
      <c r="A647" s="90"/>
      <c r="B647" s="45"/>
      <c r="C647" s="45"/>
      <c r="D647" s="45"/>
      <c r="E647" s="107"/>
      <c r="F647" s="107"/>
      <c r="G647" s="107"/>
      <c r="H647" s="93"/>
      <c r="I647" s="64"/>
      <c r="J647" s="64"/>
      <c r="K647" s="66"/>
      <c r="L647" s="55"/>
      <c r="M647" s="46"/>
      <c r="N647" s="48"/>
      <c r="O647" s="58"/>
      <c r="P647" s="61"/>
      <c r="Q647" s="13"/>
      <c r="R647" s="41"/>
      <c r="S647" s="38"/>
      <c r="U647" s="51"/>
    </row>
    <row r="648" spans="1:21" s="7" customFormat="1" x14ac:dyDescent="0.25">
      <c r="A648" s="90"/>
      <c r="B648" s="45"/>
      <c r="C648" s="45"/>
      <c r="D648" s="45"/>
      <c r="E648" s="107"/>
      <c r="F648" s="107"/>
      <c r="G648" s="107"/>
      <c r="H648" s="93"/>
      <c r="I648" s="64"/>
      <c r="J648" s="64"/>
      <c r="K648" s="66"/>
      <c r="L648" s="55"/>
      <c r="M648" s="46"/>
      <c r="N648" s="48"/>
      <c r="O648" s="58"/>
      <c r="P648" s="61"/>
      <c r="Q648" s="13"/>
      <c r="R648" s="41"/>
      <c r="S648" s="38"/>
      <c r="U648" s="51"/>
    </row>
    <row r="649" spans="1:21" s="7" customFormat="1" x14ac:dyDescent="0.25">
      <c r="A649" s="90"/>
      <c r="B649" s="45"/>
      <c r="C649" s="45"/>
      <c r="D649" s="45"/>
      <c r="E649" s="107"/>
      <c r="F649" s="107"/>
      <c r="G649" s="107"/>
      <c r="H649" s="93"/>
      <c r="I649" s="64"/>
      <c r="J649" s="64"/>
      <c r="K649" s="66"/>
      <c r="L649" s="55"/>
      <c r="M649" s="46"/>
      <c r="N649" s="48"/>
      <c r="O649" s="58"/>
      <c r="P649" s="61"/>
      <c r="Q649" s="13"/>
      <c r="R649" s="41"/>
      <c r="S649" s="38"/>
      <c r="U649" s="51"/>
    </row>
    <row r="650" spans="1:21" s="7" customFormat="1" x14ac:dyDescent="0.25">
      <c r="A650" s="90"/>
      <c r="B650" s="45"/>
      <c r="C650" s="45"/>
      <c r="D650" s="45"/>
      <c r="E650" s="107"/>
      <c r="F650" s="107"/>
      <c r="G650" s="107"/>
      <c r="H650" s="93"/>
      <c r="I650" s="64"/>
      <c r="J650" s="64"/>
      <c r="K650" s="66"/>
      <c r="L650" s="55"/>
      <c r="M650" s="46"/>
      <c r="N650" s="48"/>
      <c r="O650" s="58"/>
      <c r="P650" s="61"/>
      <c r="Q650" s="13"/>
      <c r="R650" s="41"/>
      <c r="S650" s="38"/>
      <c r="U650" s="51"/>
    </row>
    <row r="651" spans="1:21" s="7" customFormat="1" x14ac:dyDescent="0.25">
      <c r="A651" s="90"/>
      <c r="B651" s="45"/>
      <c r="C651" s="45"/>
      <c r="D651" s="45"/>
      <c r="E651" s="107"/>
      <c r="F651" s="107"/>
      <c r="G651" s="107"/>
      <c r="H651" s="93"/>
      <c r="I651" s="64"/>
      <c r="J651" s="64"/>
      <c r="K651" s="66"/>
      <c r="L651" s="55"/>
      <c r="M651" s="46"/>
      <c r="N651" s="48"/>
      <c r="O651" s="58"/>
      <c r="P651" s="61"/>
      <c r="Q651" s="13"/>
      <c r="R651" s="41"/>
      <c r="S651" s="38"/>
      <c r="U651" s="51"/>
    </row>
    <row r="652" spans="1:21" s="7" customFormat="1" x14ac:dyDescent="0.25">
      <c r="A652" s="90"/>
      <c r="B652" s="45"/>
      <c r="C652" s="45"/>
      <c r="D652" s="45"/>
      <c r="E652" s="107"/>
      <c r="F652" s="107"/>
      <c r="G652" s="107"/>
      <c r="H652" s="93"/>
      <c r="I652" s="64"/>
      <c r="J652" s="64"/>
      <c r="K652" s="66"/>
      <c r="L652" s="55"/>
      <c r="M652" s="46"/>
      <c r="N652" s="48"/>
      <c r="O652" s="58"/>
      <c r="P652" s="61"/>
      <c r="Q652" s="13"/>
      <c r="R652" s="41"/>
      <c r="S652" s="38"/>
      <c r="U652" s="51"/>
    </row>
    <row r="653" spans="1:21" s="7" customFormat="1" x14ac:dyDescent="0.25">
      <c r="A653" s="90"/>
      <c r="B653" s="45"/>
      <c r="C653" s="45"/>
      <c r="D653" s="45"/>
      <c r="E653" s="107"/>
      <c r="F653" s="107"/>
      <c r="G653" s="107"/>
      <c r="H653" s="93"/>
      <c r="I653" s="64"/>
      <c r="J653" s="64"/>
      <c r="K653" s="66"/>
      <c r="L653" s="55"/>
      <c r="M653" s="46"/>
      <c r="N653" s="48"/>
      <c r="O653" s="58"/>
      <c r="P653" s="61"/>
      <c r="Q653" s="13"/>
      <c r="R653" s="41"/>
      <c r="S653" s="38"/>
      <c r="U653" s="51"/>
    </row>
    <row r="654" spans="1:21" s="7" customFormat="1" x14ac:dyDescent="0.25">
      <c r="A654" s="90"/>
      <c r="B654" s="45"/>
      <c r="C654" s="45"/>
      <c r="D654" s="45"/>
      <c r="E654" s="107"/>
      <c r="F654" s="107"/>
      <c r="G654" s="107"/>
      <c r="H654" s="93"/>
      <c r="I654" s="64"/>
      <c r="J654" s="64"/>
      <c r="K654" s="66"/>
      <c r="L654" s="55"/>
      <c r="M654" s="46"/>
      <c r="N654" s="48"/>
      <c r="O654" s="58"/>
      <c r="P654" s="61"/>
      <c r="Q654" s="13"/>
      <c r="R654" s="41"/>
      <c r="S654" s="38"/>
      <c r="U654" s="51"/>
    </row>
    <row r="655" spans="1:21" s="7" customFormat="1" x14ac:dyDescent="0.25">
      <c r="A655" s="90"/>
      <c r="B655" s="45"/>
      <c r="C655" s="45"/>
      <c r="D655" s="45"/>
      <c r="E655" s="107"/>
      <c r="F655" s="107"/>
      <c r="G655" s="107"/>
      <c r="H655" s="93"/>
      <c r="I655" s="64"/>
      <c r="J655" s="64"/>
      <c r="K655" s="66"/>
      <c r="L655" s="55"/>
      <c r="M655" s="46"/>
      <c r="N655" s="48"/>
      <c r="O655" s="58"/>
      <c r="P655" s="61"/>
      <c r="Q655" s="13"/>
      <c r="R655" s="41"/>
      <c r="S655" s="38"/>
      <c r="U655" s="51"/>
    </row>
    <row r="656" spans="1:21" s="7" customFormat="1" x14ac:dyDescent="0.25">
      <c r="A656" s="90"/>
      <c r="B656" s="45"/>
      <c r="C656" s="45"/>
      <c r="D656" s="45"/>
      <c r="E656" s="107"/>
      <c r="F656" s="107"/>
      <c r="G656" s="107"/>
      <c r="H656" s="93"/>
      <c r="I656" s="64"/>
      <c r="J656" s="64"/>
      <c r="K656" s="66"/>
      <c r="L656" s="55"/>
      <c r="M656" s="46"/>
      <c r="N656" s="48"/>
      <c r="O656" s="58"/>
      <c r="P656" s="61"/>
      <c r="Q656" s="13"/>
      <c r="R656" s="41"/>
      <c r="S656" s="38"/>
      <c r="U656" s="51"/>
    </row>
    <row r="657" spans="1:21" s="7" customFormat="1" x14ac:dyDescent="0.25">
      <c r="A657" s="90"/>
      <c r="B657" s="45"/>
      <c r="C657" s="45"/>
      <c r="D657" s="45"/>
      <c r="E657" s="107"/>
      <c r="F657" s="107"/>
      <c r="G657" s="107"/>
      <c r="H657" s="93"/>
      <c r="I657" s="64"/>
      <c r="J657" s="64"/>
      <c r="K657" s="66"/>
      <c r="L657" s="55"/>
      <c r="M657" s="46"/>
      <c r="N657" s="48"/>
      <c r="O657" s="58"/>
      <c r="P657" s="61"/>
      <c r="Q657" s="13"/>
      <c r="R657" s="41"/>
      <c r="S657" s="38"/>
      <c r="U657" s="51"/>
    </row>
    <row r="658" spans="1:21" s="7" customFormat="1" x14ac:dyDescent="0.25">
      <c r="A658" s="90"/>
      <c r="B658" s="45"/>
      <c r="C658" s="45"/>
      <c r="D658" s="45"/>
      <c r="E658" s="107"/>
      <c r="F658" s="107"/>
      <c r="G658" s="107"/>
      <c r="H658" s="93"/>
      <c r="I658" s="64"/>
      <c r="J658" s="64"/>
      <c r="K658" s="66"/>
      <c r="L658" s="55"/>
      <c r="M658" s="46"/>
      <c r="N658" s="48"/>
      <c r="O658" s="58"/>
      <c r="P658" s="61"/>
      <c r="Q658" s="13"/>
      <c r="R658" s="41"/>
      <c r="S658" s="38"/>
      <c r="U658" s="51"/>
    </row>
    <row r="659" spans="1:21" s="7" customFormat="1" x14ac:dyDescent="0.25">
      <c r="A659" s="90"/>
      <c r="B659" s="45"/>
      <c r="C659" s="45"/>
      <c r="D659" s="45"/>
      <c r="E659" s="107"/>
      <c r="F659" s="107"/>
      <c r="G659" s="107"/>
      <c r="H659" s="93"/>
      <c r="I659" s="64"/>
      <c r="J659" s="64"/>
      <c r="K659" s="66"/>
      <c r="L659" s="55"/>
      <c r="M659" s="46"/>
      <c r="N659" s="48"/>
      <c r="O659" s="58"/>
      <c r="P659" s="61"/>
      <c r="Q659" s="13"/>
      <c r="R659" s="41"/>
      <c r="S659" s="38"/>
      <c r="U659" s="51"/>
    </row>
    <row r="660" spans="1:21" s="7" customFormat="1" x14ac:dyDescent="0.25">
      <c r="A660" s="90"/>
      <c r="B660" s="45"/>
      <c r="C660" s="45"/>
      <c r="D660" s="45"/>
      <c r="E660" s="107"/>
      <c r="F660" s="107"/>
      <c r="G660" s="107"/>
      <c r="H660" s="93"/>
      <c r="I660" s="64"/>
      <c r="J660" s="64"/>
      <c r="K660" s="66"/>
      <c r="L660" s="55"/>
      <c r="M660" s="46"/>
      <c r="N660" s="48"/>
      <c r="O660" s="58"/>
      <c r="P660" s="61"/>
      <c r="Q660" s="13"/>
      <c r="R660" s="41"/>
      <c r="S660" s="38"/>
      <c r="U660" s="51"/>
    </row>
    <row r="661" spans="1:21" s="7" customFormat="1" x14ac:dyDescent="0.25">
      <c r="A661" s="88"/>
      <c r="B661" s="39"/>
      <c r="C661" s="45"/>
      <c r="D661" s="39"/>
      <c r="E661" s="108"/>
      <c r="F661" s="108"/>
      <c r="G661" s="108"/>
      <c r="H661" s="94"/>
      <c r="I661" s="65"/>
      <c r="J661" s="65"/>
      <c r="K661" s="67"/>
      <c r="L661" s="55"/>
      <c r="M661" s="46"/>
      <c r="N661" s="48"/>
      <c r="O661" s="58"/>
      <c r="P661" s="61"/>
      <c r="Q661" s="13"/>
      <c r="R661" s="41"/>
      <c r="S661" s="38"/>
      <c r="U661" s="51"/>
    </row>
    <row r="662" spans="1:21" s="7" customFormat="1" x14ac:dyDescent="0.25">
      <c r="A662" s="88"/>
      <c r="B662" s="39"/>
      <c r="C662" s="45"/>
      <c r="D662" s="39"/>
      <c r="E662" s="108"/>
      <c r="F662" s="108"/>
      <c r="G662" s="108"/>
      <c r="H662" s="94"/>
      <c r="I662" s="65"/>
      <c r="J662" s="65"/>
      <c r="K662" s="67"/>
      <c r="L662" s="55"/>
      <c r="M662" s="46"/>
      <c r="N662" s="48"/>
      <c r="O662" s="58"/>
      <c r="P662" s="61"/>
      <c r="Q662" s="13"/>
      <c r="R662" s="41"/>
      <c r="S662" s="38"/>
      <c r="U662" s="51"/>
    </row>
    <row r="663" spans="1:21" s="7" customFormat="1" x14ac:dyDescent="0.25">
      <c r="A663" s="88"/>
      <c r="B663" s="39"/>
      <c r="C663" s="45"/>
      <c r="D663" s="39"/>
      <c r="E663" s="108"/>
      <c r="F663" s="108"/>
      <c r="G663" s="108"/>
      <c r="H663" s="94"/>
      <c r="I663" s="65"/>
      <c r="J663" s="65"/>
      <c r="K663" s="67"/>
      <c r="L663" s="55"/>
      <c r="M663" s="46"/>
      <c r="N663" s="48"/>
      <c r="O663" s="58"/>
      <c r="P663" s="61"/>
      <c r="Q663" s="13"/>
      <c r="R663" s="41"/>
      <c r="S663" s="38"/>
      <c r="U663" s="51"/>
    </row>
    <row r="664" spans="1:21" s="7" customFormat="1" x14ac:dyDescent="0.25">
      <c r="A664" s="88"/>
      <c r="B664" s="39"/>
      <c r="C664" s="45"/>
      <c r="D664" s="39"/>
      <c r="E664" s="108"/>
      <c r="F664" s="108"/>
      <c r="G664" s="108"/>
      <c r="H664" s="94"/>
      <c r="I664" s="65"/>
      <c r="J664" s="65"/>
      <c r="K664" s="67"/>
      <c r="L664" s="55"/>
      <c r="M664" s="46"/>
      <c r="N664" s="48"/>
      <c r="O664" s="58"/>
      <c r="P664" s="61"/>
      <c r="Q664" s="13"/>
      <c r="R664" s="41"/>
      <c r="S664" s="38"/>
      <c r="U664" s="51"/>
    </row>
    <row r="665" spans="1:21" s="7" customFormat="1" x14ac:dyDescent="0.25">
      <c r="A665" s="88"/>
      <c r="B665" s="39"/>
      <c r="C665" s="45"/>
      <c r="D665" s="39"/>
      <c r="E665" s="108"/>
      <c r="F665" s="108"/>
      <c r="G665" s="108"/>
      <c r="H665" s="94"/>
      <c r="I665" s="65"/>
      <c r="J665" s="65"/>
      <c r="K665" s="67"/>
      <c r="L665" s="55"/>
      <c r="M665" s="46"/>
      <c r="N665" s="48"/>
      <c r="O665" s="58"/>
      <c r="P665" s="61"/>
      <c r="Q665" s="13"/>
      <c r="R665" s="41"/>
      <c r="S665" s="38"/>
      <c r="U665" s="51"/>
    </row>
    <row r="666" spans="1:21" s="7" customFormat="1" x14ac:dyDescent="0.25">
      <c r="A666" s="88"/>
      <c r="B666" s="39"/>
      <c r="C666" s="45"/>
      <c r="D666" s="39"/>
      <c r="E666" s="108"/>
      <c r="F666" s="108"/>
      <c r="G666" s="108"/>
      <c r="H666" s="94"/>
      <c r="I666" s="65"/>
      <c r="J666" s="65"/>
      <c r="K666" s="67"/>
      <c r="L666" s="55"/>
      <c r="M666" s="46"/>
      <c r="N666" s="48"/>
      <c r="O666" s="58"/>
      <c r="P666" s="61"/>
      <c r="Q666" s="13"/>
      <c r="R666" s="41"/>
      <c r="S666" s="38"/>
      <c r="U666" s="51"/>
    </row>
    <row r="667" spans="1:21" s="7" customFormat="1" x14ac:dyDescent="0.25">
      <c r="A667" s="88"/>
      <c r="B667" s="39"/>
      <c r="C667" s="45"/>
      <c r="D667" s="39"/>
      <c r="E667" s="108"/>
      <c r="F667" s="108"/>
      <c r="G667" s="108"/>
      <c r="H667" s="94"/>
      <c r="I667" s="65"/>
      <c r="J667" s="65"/>
      <c r="K667" s="67"/>
      <c r="L667" s="55"/>
      <c r="M667" s="46"/>
      <c r="N667" s="48"/>
      <c r="O667" s="58"/>
      <c r="P667" s="61"/>
      <c r="Q667" s="13"/>
      <c r="R667" s="41"/>
      <c r="S667" s="38"/>
      <c r="U667" s="51"/>
    </row>
    <row r="668" spans="1:21" s="7" customFormat="1" x14ac:dyDescent="0.25">
      <c r="A668" s="88"/>
      <c r="B668" s="39"/>
      <c r="C668" s="45"/>
      <c r="D668" s="39"/>
      <c r="E668" s="108"/>
      <c r="F668" s="108"/>
      <c r="G668" s="108"/>
      <c r="H668" s="94"/>
      <c r="I668" s="65"/>
      <c r="J668" s="65"/>
      <c r="K668" s="67"/>
      <c r="L668" s="55"/>
      <c r="M668" s="46"/>
      <c r="N668" s="48"/>
      <c r="O668" s="58"/>
      <c r="P668" s="61"/>
      <c r="Q668" s="13"/>
      <c r="R668" s="41"/>
      <c r="S668" s="38"/>
      <c r="U668" s="51"/>
    </row>
    <row r="669" spans="1:21" s="7" customFormat="1" x14ac:dyDescent="0.25">
      <c r="A669" s="88"/>
      <c r="B669" s="39"/>
      <c r="C669" s="45"/>
      <c r="D669" s="39"/>
      <c r="E669" s="108"/>
      <c r="F669" s="108"/>
      <c r="G669" s="108"/>
      <c r="H669" s="94"/>
      <c r="I669" s="65"/>
      <c r="J669" s="65"/>
      <c r="K669" s="67"/>
      <c r="L669" s="55"/>
      <c r="M669" s="46"/>
      <c r="N669" s="48"/>
      <c r="O669" s="58"/>
      <c r="P669" s="61"/>
      <c r="Q669" s="13"/>
      <c r="R669" s="41"/>
      <c r="S669" s="38"/>
      <c r="U669" s="51"/>
    </row>
    <row r="670" spans="1:21" s="7" customFormat="1" x14ac:dyDescent="0.25">
      <c r="A670" s="88"/>
      <c r="B670" s="39"/>
      <c r="C670" s="45"/>
      <c r="D670" s="39"/>
      <c r="E670" s="108"/>
      <c r="F670" s="108"/>
      <c r="G670" s="108"/>
      <c r="H670" s="94"/>
      <c r="I670" s="65"/>
      <c r="J670" s="65"/>
      <c r="K670" s="67"/>
      <c r="L670" s="55"/>
      <c r="M670" s="46"/>
      <c r="N670" s="48"/>
      <c r="O670" s="58"/>
      <c r="P670" s="61"/>
      <c r="Q670" s="13"/>
      <c r="R670" s="41"/>
      <c r="S670" s="38"/>
      <c r="U670" s="51"/>
    </row>
    <row r="671" spans="1:21" s="7" customFormat="1" x14ac:dyDescent="0.25">
      <c r="A671" s="88"/>
      <c r="B671" s="39"/>
      <c r="C671" s="45"/>
      <c r="D671" s="39"/>
      <c r="E671" s="108"/>
      <c r="F671" s="108"/>
      <c r="G671" s="108"/>
      <c r="H671" s="94"/>
      <c r="I671" s="65"/>
      <c r="J671" s="65"/>
      <c r="K671" s="67"/>
      <c r="L671" s="55"/>
      <c r="M671" s="46"/>
      <c r="N671" s="48"/>
      <c r="O671" s="58"/>
      <c r="P671" s="61"/>
      <c r="Q671" s="13"/>
      <c r="R671" s="41"/>
      <c r="S671" s="38"/>
      <c r="U671" s="51"/>
    </row>
    <row r="672" spans="1:21" s="7" customFormat="1" x14ac:dyDescent="0.25">
      <c r="A672" s="88"/>
      <c r="B672" s="39"/>
      <c r="C672" s="45"/>
      <c r="D672" s="39"/>
      <c r="E672" s="108"/>
      <c r="F672" s="108"/>
      <c r="G672" s="108"/>
      <c r="H672" s="94"/>
      <c r="I672" s="65"/>
      <c r="J672" s="65"/>
      <c r="K672" s="67"/>
      <c r="L672" s="55"/>
      <c r="M672" s="46"/>
      <c r="N672" s="48"/>
      <c r="O672" s="58"/>
      <c r="P672" s="61"/>
      <c r="Q672" s="13"/>
      <c r="R672" s="41"/>
      <c r="S672" s="38"/>
      <c r="U672" s="51"/>
    </row>
    <row r="673" spans="1:21" s="7" customFormat="1" x14ac:dyDescent="0.25">
      <c r="A673" s="90"/>
      <c r="B673" s="45"/>
      <c r="C673" s="45"/>
      <c r="D673" s="45"/>
      <c r="E673" s="107"/>
      <c r="F673" s="107"/>
      <c r="G673" s="107"/>
      <c r="H673" s="93"/>
      <c r="I673" s="64"/>
      <c r="J673" s="64"/>
      <c r="K673" s="66"/>
      <c r="L673" s="55"/>
      <c r="M673" s="46"/>
      <c r="N673" s="48"/>
      <c r="O673" s="58"/>
      <c r="P673" s="61"/>
      <c r="Q673" s="13"/>
      <c r="R673" s="41"/>
      <c r="S673" s="38"/>
      <c r="U673" s="51"/>
    </row>
    <row r="674" spans="1:21" s="7" customFormat="1" x14ac:dyDescent="0.25">
      <c r="A674" s="90"/>
      <c r="B674" s="45"/>
      <c r="C674" s="45"/>
      <c r="D674" s="45"/>
      <c r="E674" s="107"/>
      <c r="F674" s="107"/>
      <c r="G674" s="107"/>
      <c r="H674" s="93"/>
      <c r="I674" s="64"/>
      <c r="J674" s="64"/>
      <c r="K674" s="66"/>
      <c r="L674" s="55"/>
      <c r="M674" s="46"/>
      <c r="N674" s="48"/>
      <c r="O674" s="58"/>
      <c r="P674" s="61"/>
      <c r="Q674" s="13"/>
      <c r="R674" s="41"/>
      <c r="S674" s="38"/>
      <c r="U674" s="51"/>
    </row>
    <row r="675" spans="1:21" s="7" customFormat="1" x14ac:dyDescent="0.25">
      <c r="A675" s="90"/>
      <c r="B675" s="45"/>
      <c r="C675" s="45"/>
      <c r="D675" s="45"/>
      <c r="E675" s="107"/>
      <c r="F675" s="107"/>
      <c r="G675" s="107"/>
      <c r="H675" s="93"/>
      <c r="I675" s="64"/>
      <c r="J675" s="64"/>
      <c r="K675" s="66"/>
      <c r="L675" s="55"/>
      <c r="M675" s="46"/>
      <c r="N675" s="48"/>
      <c r="O675" s="58"/>
      <c r="P675" s="61"/>
      <c r="Q675" s="13"/>
      <c r="R675" s="41"/>
      <c r="S675" s="38"/>
      <c r="U675" s="51"/>
    </row>
    <row r="676" spans="1:21" s="7" customFormat="1" x14ac:dyDescent="0.25">
      <c r="A676" s="90"/>
      <c r="B676" s="45"/>
      <c r="C676" s="45"/>
      <c r="D676" s="45"/>
      <c r="E676" s="107"/>
      <c r="F676" s="107"/>
      <c r="G676" s="107"/>
      <c r="H676" s="93"/>
      <c r="I676" s="64"/>
      <c r="J676" s="64"/>
      <c r="K676" s="66"/>
      <c r="L676" s="55"/>
      <c r="M676" s="46"/>
      <c r="N676" s="48"/>
      <c r="O676" s="58"/>
      <c r="P676" s="61"/>
      <c r="Q676" s="13"/>
      <c r="R676" s="41"/>
      <c r="S676" s="38"/>
      <c r="U676" s="51"/>
    </row>
    <row r="677" spans="1:21" s="7" customFormat="1" x14ac:dyDescent="0.25">
      <c r="A677" s="90"/>
      <c r="B677" s="45"/>
      <c r="C677" s="45"/>
      <c r="D677" s="45"/>
      <c r="E677" s="107"/>
      <c r="F677" s="107"/>
      <c r="G677" s="107"/>
      <c r="H677" s="93"/>
      <c r="I677" s="64"/>
      <c r="J677" s="64"/>
      <c r="K677" s="66"/>
      <c r="L677" s="55"/>
      <c r="M677" s="46"/>
      <c r="N677" s="48"/>
      <c r="O677" s="58"/>
      <c r="P677" s="61"/>
      <c r="Q677" s="13"/>
      <c r="R677" s="41"/>
      <c r="S677" s="38"/>
      <c r="U677" s="51"/>
    </row>
    <row r="678" spans="1:21" s="7" customFormat="1" x14ac:dyDescent="0.25">
      <c r="A678" s="90"/>
      <c r="B678" s="45"/>
      <c r="C678" s="45"/>
      <c r="D678" s="45"/>
      <c r="E678" s="107"/>
      <c r="F678" s="107"/>
      <c r="G678" s="107"/>
      <c r="H678" s="93"/>
      <c r="I678" s="64"/>
      <c r="J678" s="64"/>
      <c r="K678" s="66"/>
      <c r="L678" s="55"/>
      <c r="M678" s="46"/>
      <c r="N678" s="48"/>
      <c r="O678" s="58"/>
      <c r="P678" s="61"/>
      <c r="Q678" s="13"/>
      <c r="R678" s="41"/>
      <c r="S678" s="38"/>
      <c r="U678" s="51"/>
    </row>
    <row r="679" spans="1:21" s="7" customFormat="1" x14ac:dyDescent="0.25">
      <c r="A679" s="90"/>
      <c r="B679" s="45"/>
      <c r="C679" s="45"/>
      <c r="D679" s="45"/>
      <c r="E679" s="107"/>
      <c r="F679" s="107"/>
      <c r="G679" s="107"/>
      <c r="H679" s="93"/>
      <c r="I679" s="64"/>
      <c r="J679" s="64"/>
      <c r="K679" s="66"/>
      <c r="L679" s="55"/>
      <c r="M679" s="46"/>
      <c r="N679" s="48"/>
      <c r="O679" s="58"/>
      <c r="P679" s="61"/>
      <c r="Q679" s="13"/>
      <c r="R679" s="41"/>
      <c r="S679" s="38"/>
      <c r="U679" s="51"/>
    </row>
    <row r="680" spans="1:21" s="7" customFormat="1" x14ac:dyDescent="0.25">
      <c r="A680" s="90"/>
      <c r="B680" s="45"/>
      <c r="C680" s="45"/>
      <c r="D680" s="45"/>
      <c r="E680" s="107"/>
      <c r="F680" s="107"/>
      <c r="G680" s="107"/>
      <c r="H680" s="93"/>
      <c r="I680" s="64"/>
      <c r="J680" s="64"/>
      <c r="K680" s="66"/>
      <c r="L680" s="55"/>
      <c r="M680" s="46"/>
      <c r="N680" s="48"/>
      <c r="O680" s="58"/>
      <c r="P680" s="61"/>
      <c r="Q680" s="13"/>
      <c r="R680" s="41"/>
      <c r="S680" s="38"/>
      <c r="U680" s="51"/>
    </row>
    <row r="681" spans="1:21" s="7" customFormat="1" x14ac:dyDescent="0.25">
      <c r="A681" s="90"/>
      <c r="B681" s="45"/>
      <c r="C681" s="45"/>
      <c r="D681" s="45"/>
      <c r="E681" s="107"/>
      <c r="F681" s="107"/>
      <c r="G681" s="107"/>
      <c r="H681" s="93"/>
      <c r="I681" s="64"/>
      <c r="J681" s="64"/>
      <c r="K681" s="66"/>
      <c r="L681" s="55"/>
      <c r="M681" s="46"/>
      <c r="N681" s="48"/>
      <c r="O681" s="58"/>
      <c r="P681" s="61"/>
      <c r="Q681" s="13"/>
      <c r="R681" s="41"/>
      <c r="S681" s="38"/>
      <c r="U681" s="51"/>
    </row>
    <row r="682" spans="1:21" s="7" customFormat="1" x14ac:dyDescent="0.25">
      <c r="A682" s="90"/>
      <c r="B682" s="45"/>
      <c r="C682" s="45"/>
      <c r="D682" s="45"/>
      <c r="E682" s="107"/>
      <c r="F682" s="107"/>
      <c r="G682" s="107"/>
      <c r="H682" s="93"/>
      <c r="I682" s="64"/>
      <c r="J682" s="64"/>
      <c r="K682" s="66"/>
      <c r="L682" s="55"/>
      <c r="M682" s="46"/>
      <c r="N682" s="48"/>
      <c r="O682" s="58"/>
      <c r="P682" s="61"/>
      <c r="Q682" s="13"/>
      <c r="R682" s="41"/>
      <c r="S682" s="38"/>
      <c r="U682" s="51"/>
    </row>
    <row r="683" spans="1:21" s="7" customFormat="1" x14ac:dyDescent="0.25">
      <c r="A683" s="90"/>
      <c r="B683" s="45"/>
      <c r="C683" s="45"/>
      <c r="D683" s="45"/>
      <c r="E683" s="107"/>
      <c r="F683" s="107"/>
      <c r="G683" s="107"/>
      <c r="H683" s="93"/>
      <c r="I683" s="64"/>
      <c r="J683" s="64"/>
      <c r="K683" s="66"/>
      <c r="L683" s="55"/>
      <c r="M683" s="46"/>
      <c r="N683" s="48"/>
      <c r="O683" s="58"/>
      <c r="P683" s="61"/>
      <c r="Q683" s="13"/>
      <c r="R683" s="41"/>
      <c r="S683" s="38"/>
      <c r="U683" s="51"/>
    </row>
    <row r="684" spans="1:21" s="7" customFormat="1" x14ac:dyDescent="0.25">
      <c r="A684" s="90"/>
      <c r="B684" s="45"/>
      <c r="C684" s="45"/>
      <c r="D684" s="45"/>
      <c r="E684" s="107"/>
      <c r="F684" s="107"/>
      <c r="G684" s="107"/>
      <c r="H684" s="93"/>
      <c r="I684" s="64"/>
      <c r="J684" s="64"/>
      <c r="K684" s="66"/>
      <c r="L684" s="55"/>
      <c r="M684" s="46"/>
      <c r="N684" s="48"/>
      <c r="O684" s="58"/>
      <c r="P684" s="61"/>
      <c r="Q684" s="13"/>
      <c r="R684" s="41"/>
      <c r="S684" s="38"/>
      <c r="U684" s="51"/>
    </row>
    <row r="685" spans="1:21" s="7" customFormat="1" x14ac:dyDescent="0.25">
      <c r="A685" s="90"/>
      <c r="B685" s="45"/>
      <c r="C685" s="45"/>
      <c r="D685" s="45"/>
      <c r="E685" s="107"/>
      <c r="F685" s="107"/>
      <c r="G685" s="107"/>
      <c r="H685" s="93"/>
      <c r="I685" s="64"/>
      <c r="J685" s="64"/>
      <c r="K685" s="66"/>
      <c r="L685" s="55"/>
      <c r="M685" s="46"/>
      <c r="N685" s="48"/>
      <c r="O685" s="58"/>
      <c r="P685" s="61"/>
      <c r="Q685" s="13"/>
      <c r="R685" s="41"/>
      <c r="S685" s="38"/>
      <c r="U685" s="51"/>
    </row>
    <row r="686" spans="1:21" s="7" customFormat="1" x14ac:dyDescent="0.25">
      <c r="A686" s="90"/>
      <c r="B686" s="45"/>
      <c r="C686" s="45"/>
      <c r="D686" s="45"/>
      <c r="E686" s="107"/>
      <c r="F686" s="107"/>
      <c r="G686" s="107"/>
      <c r="H686" s="93"/>
      <c r="I686" s="64"/>
      <c r="J686" s="64"/>
      <c r="K686" s="66"/>
      <c r="L686" s="55"/>
      <c r="M686" s="46"/>
      <c r="N686" s="48"/>
      <c r="O686" s="58"/>
      <c r="P686" s="61"/>
      <c r="Q686" s="13"/>
      <c r="R686" s="41"/>
      <c r="S686" s="38"/>
      <c r="U686" s="51"/>
    </row>
    <row r="687" spans="1:21" s="7" customFormat="1" x14ac:dyDescent="0.25">
      <c r="A687" s="90"/>
      <c r="B687" s="45"/>
      <c r="C687" s="45"/>
      <c r="D687" s="45"/>
      <c r="E687" s="107"/>
      <c r="F687" s="107"/>
      <c r="G687" s="107"/>
      <c r="H687" s="93"/>
      <c r="I687" s="64"/>
      <c r="J687" s="64"/>
      <c r="K687" s="66"/>
      <c r="L687" s="55"/>
      <c r="M687" s="46"/>
      <c r="N687" s="48"/>
      <c r="O687" s="58"/>
      <c r="P687" s="61"/>
      <c r="Q687" s="13"/>
      <c r="R687" s="41"/>
      <c r="S687" s="38"/>
      <c r="U687" s="51"/>
    </row>
    <row r="688" spans="1:21" s="7" customFormat="1" x14ac:dyDescent="0.25">
      <c r="A688" s="90"/>
      <c r="B688" s="45"/>
      <c r="C688" s="45"/>
      <c r="D688" s="45"/>
      <c r="E688" s="107"/>
      <c r="F688" s="107"/>
      <c r="G688" s="107"/>
      <c r="H688" s="93"/>
      <c r="I688" s="64"/>
      <c r="J688" s="64"/>
      <c r="K688" s="66"/>
      <c r="L688" s="55"/>
      <c r="M688" s="46"/>
      <c r="N688" s="48"/>
      <c r="O688" s="58"/>
      <c r="P688" s="61"/>
      <c r="Q688" s="13"/>
      <c r="R688" s="41"/>
      <c r="S688" s="38"/>
      <c r="U688" s="51"/>
    </row>
    <row r="689" spans="1:21" s="7" customFormat="1" x14ac:dyDescent="0.25">
      <c r="A689" s="90"/>
      <c r="B689" s="45"/>
      <c r="C689" s="45"/>
      <c r="D689" s="45"/>
      <c r="E689" s="107"/>
      <c r="F689" s="107"/>
      <c r="G689" s="107"/>
      <c r="H689" s="93"/>
      <c r="I689" s="64"/>
      <c r="J689" s="64"/>
      <c r="K689" s="66"/>
      <c r="L689" s="55"/>
      <c r="M689" s="46"/>
      <c r="N689" s="48"/>
      <c r="O689" s="58"/>
      <c r="P689" s="61"/>
      <c r="Q689" s="13"/>
      <c r="R689" s="41"/>
      <c r="S689" s="38"/>
      <c r="U689" s="51"/>
    </row>
    <row r="690" spans="1:21" s="7" customFormat="1" x14ac:dyDescent="0.25">
      <c r="A690" s="90"/>
      <c r="B690" s="45"/>
      <c r="C690" s="45"/>
      <c r="D690" s="45"/>
      <c r="E690" s="107"/>
      <c r="F690" s="107"/>
      <c r="G690" s="107"/>
      <c r="H690" s="93"/>
      <c r="I690" s="64"/>
      <c r="J690" s="64"/>
      <c r="K690" s="66"/>
      <c r="L690" s="55"/>
      <c r="M690" s="46"/>
      <c r="N690" s="48"/>
      <c r="O690" s="58"/>
      <c r="P690" s="61"/>
      <c r="Q690" s="13"/>
      <c r="R690" s="41"/>
      <c r="S690" s="38"/>
      <c r="U690" s="51"/>
    </row>
    <row r="691" spans="1:21" s="7" customFormat="1" x14ac:dyDescent="0.25">
      <c r="A691" s="90"/>
      <c r="B691" s="45"/>
      <c r="C691" s="45"/>
      <c r="D691" s="45"/>
      <c r="E691" s="107"/>
      <c r="F691" s="107"/>
      <c r="G691" s="107"/>
      <c r="H691" s="93"/>
      <c r="I691" s="64"/>
      <c r="J691" s="64"/>
      <c r="K691" s="66"/>
      <c r="L691" s="55"/>
      <c r="M691" s="46"/>
      <c r="N691" s="48"/>
      <c r="O691" s="58"/>
      <c r="P691" s="61"/>
      <c r="Q691" s="13"/>
      <c r="R691" s="41"/>
      <c r="S691" s="38"/>
      <c r="U691" s="51"/>
    </row>
    <row r="692" spans="1:21" s="7" customFormat="1" x14ac:dyDescent="0.25">
      <c r="A692" s="90"/>
      <c r="B692" s="45"/>
      <c r="C692" s="45"/>
      <c r="D692" s="45"/>
      <c r="E692" s="107"/>
      <c r="F692" s="107"/>
      <c r="G692" s="107"/>
      <c r="H692" s="93"/>
      <c r="I692" s="64"/>
      <c r="J692" s="64"/>
      <c r="K692" s="66"/>
      <c r="L692" s="55"/>
      <c r="M692" s="46"/>
      <c r="N692" s="48"/>
      <c r="O692" s="58"/>
      <c r="P692" s="61"/>
      <c r="Q692" s="13"/>
      <c r="R692" s="41"/>
      <c r="S692" s="38"/>
      <c r="U692" s="51"/>
    </row>
    <row r="693" spans="1:21" s="7" customFormat="1" x14ac:dyDescent="0.25">
      <c r="A693" s="90"/>
      <c r="B693" s="45"/>
      <c r="C693" s="45"/>
      <c r="D693" s="45"/>
      <c r="E693" s="107"/>
      <c r="F693" s="107"/>
      <c r="G693" s="107"/>
      <c r="H693" s="93"/>
      <c r="I693" s="64"/>
      <c r="J693" s="64"/>
      <c r="K693" s="66"/>
      <c r="L693" s="55"/>
      <c r="M693" s="46"/>
      <c r="N693" s="48"/>
      <c r="O693" s="58"/>
      <c r="P693" s="61"/>
      <c r="Q693" s="13"/>
      <c r="R693" s="41"/>
      <c r="S693" s="38"/>
      <c r="U693" s="51"/>
    </row>
    <row r="694" spans="1:21" s="7" customFormat="1" x14ac:dyDescent="0.25">
      <c r="A694" s="90"/>
      <c r="B694" s="45"/>
      <c r="C694" s="45"/>
      <c r="D694" s="45"/>
      <c r="E694" s="107"/>
      <c r="F694" s="107"/>
      <c r="G694" s="107"/>
      <c r="H694" s="93"/>
      <c r="I694" s="64"/>
      <c r="J694" s="64"/>
      <c r="K694" s="66"/>
      <c r="L694" s="55"/>
      <c r="M694" s="46"/>
      <c r="N694" s="48"/>
      <c r="O694" s="58"/>
      <c r="P694" s="61"/>
      <c r="Q694" s="13"/>
      <c r="R694" s="41"/>
      <c r="S694" s="38"/>
      <c r="U694" s="51"/>
    </row>
    <row r="695" spans="1:21" s="7" customFormat="1" x14ac:dyDescent="0.25">
      <c r="A695" s="90"/>
      <c r="B695" s="45"/>
      <c r="C695" s="45"/>
      <c r="D695" s="45"/>
      <c r="E695" s="107"/>
      <c r="F695" s="107"/>
      <c r="G695" s="107"/>
      <c r="H695" s="93"/>
      <c r="I695" s="64"/>
      <c r="J695" s="64"/>
      <c r="K695" s="66"/>
      <c r="L695" s="55"/>
      <c r="M695" s="46"/>
      <c r="N695" s="48"/>
      <c r="O695" s="58"/>
      <c r="P695" s="61"/>
      <c r="Q695" s="13"/>
      <c r="R695" s="41"/>
      <c r="S695" s="38"/>
      <c r="U695" s="51"/>
    </row>
    <row r="696" spans="1:21" s="7" customFormat="1" x14ac:dyDescent="0.25">
      <c r="A696" s="90"/>
      <c r="B696" s="45"/>
      <c r="C696" s="45"/>
      <c r="D696" s="45"/>
      <c r="E696" s="107"/>
      <c r="F696" s="107"/>
      <c r="G696" s="107"/>
      <c r="H696" s="93"/>
      <c r="I696" s="64"/>
      <c r="J696" s="64"/>
      <c r="K696" s="66"/>
      <c r="L696" s="55"/>
      <c r="M696" s="46"/>
      <c r="N696" s="48"/>
      <c r="O696" s="58"/>
      <c r="P696" s="61"/>
      <c r="Q696" s="13"/>
      <c r="R696" s="41"/>
      <c r="S696" s="38"/>
      <c r="U696" s="51"/>
    </row>
    <row r="697" spans="1:21" s="7" customFormat="1" x14ac:dyDescent="0.25">
      <c r="A697" s="90"/>
      <c r="B697" s="45"/>
      <c r="C697" s="45"/>
      <c r="D697" s="45"/>
      <c r="E697" s="107"/>
      <c r="F697" s="107"/>
      <c r="G697" s="107"/>
      <c r="H697" s="93"/>
      <c r="I697" s="64"/>
      <c r="J697" s="64"/>
      <c r="K697" s="66"/>
      <c r="L697" s="55"/>
      <c r="M697" s="46"/>
      <c r="N697" s="48"/>
      <c r="O697" s="58"/>
      <c r="P697" s="61"/>
      <c r="Q697" s="13"/>
      <c r="R697" s="41"/>
      <c r="S697" s="38"/>
      <c r="U697" s="51"/>
    </row>
    <row r="698" spans="1:21" s="7" customFormat="1" x14ac:dyDescent="0.25">
      <c r="A698" s="90"/>
      <c r="B698" s="45"/>
      <c r="C698" s="45"/>
      <c r="D698" s="45"/>
      <c r="E698" s="107"/>
      <c r="F698" s="107"/>
      <c r="G698" s="107"/>
      <c r="H698" s="93"/>
      <c r="I698" s="64"/>
      <c r="J698" s="64"/>
      <c r="K698" s="66"/>
      <c r="L698" s="55"/>
      <c r="M698" s="46"/>
      <c r="N698" s="48"/>
      <c r="O698" s="58"/>
      <c r="P698" s="61"/>
      <c r="Q698" s="13"/>
      <c r="R698" s="41"/>
      <c r="S698" s="38"/>
      <c r="U698" s="51"/>
    </row>
    <row r="699" spans="1:21" s="7" customFormat="1" x14ac:dyDescent="0.25">
      <c r="A699" s="90"/>
      <c r="B699" s="45"/>
      <c r="C699" s="45"/>
      <c r="D699" s="45"/>
      <c r="E699" s="107"/>
      <c r="F699" s="107"/>
      <c r="G699" s="107"/>
      <c r="H699" s="93"/>
      <c r="I699" s="64"/>
      <c r="J699" s="64"/>
      <c r="K699" s="66"/>
      <c r="L699" s="55"/>
      <c r="M699" s="46"/>
      <c r="N699" s="48"/>
      <c r="O699" s="58"/>
      <c r="P699" s="61"/>
      <c r="Q699" s="13"/>
      <c r="R699" s="41"/>
      <c r="S699" s="38"/>
      <c r="U699" s="51"/>
    </row>
    <row r="700" spans="1:21" s="7" customFormat="1" x14ac:dyDescent="0.25">
      <c r="A700" s="90"/>
      <c r="B700" s="45"/>
      <c r="C700" s="45"/>
      <c r="D700" s="45"/>
      <c r="E700" s="107"/>
      <c r="F700" s="107"/>
      <c r="G700" s="107"/>
      <c r="H700" s="93"/>
      <c r="I700" s="64"/>
      <c r="J700" s="64"/>
      <c r="K700" s="66"/>
      <c r="L700" s="55"/>
      <c r="M700" s="46"/>
      <c r="N700" s="48"/>
      <c r="O700" s="58"/>
      <c r="P700" s="61"/>
      <c r="Q700" s="13"/>
      <c r="R700" s="41"/>
      <c r="S700" s="38"/>
      <c r="U700" s="51"/>
    </row>
    <row r="701" spans="1:21" s="7" customFormat="1" x14ac:dyDescent="0.25">
      <c r="A701" s="90"/>
      <c r="B701" s="45"/>
      <c r="C701" s="45"/>
      <c r="D701" s="45"/>
      <c r="E701" s="107"/>
      <c r="F701" s="107"/>
      <c r="G701" s="107"/>
      <c r="H701" s="93"/>
      <c r="I701" s="64"/>
      <c r="J701" s="64"/>
      <c r="K701" s="66"/>
      <c r="L701" s="55"/>
      <c r="M701" s="46"/>
      <c r="N701" s="48"/>
      <c r="O701" s="58"/>
      <c r="P701" s="61"/>
      <c r="Q701" s="13"/>
      <c r="R701" s="41"/>
      <c r="S701" s="38"/>
      <c r="U701" s="51"/>
    </row>
    <row r="702" spans="1:21" s="7" customFormat="1" x14ac:dyDescent="0.25">
      <c r="A702" s="90"/>
      <c r="B702" s="45"/>
      <c r="C702" s="45"/>
      <c r="D702" s="45"/>
      <c r="E702" s="107"/>
      <c r="F702" s="107"/>
      <c r="G702" s="107"/>
      <c r="H702" s="93"/>
      <c r="I702" s="64"/>
      <c r="J702" s="64"/>
      <c r="K702" s="66"/>
      <c r="L702" s="55"/>
      <c r="M702" s="46"/>
      <c r="N702" s="48"/>
      <c r="O702" s="58"/>
      <c r="P702" s="61"/>
      <c r="Q702" s="13"/>
      <c r="R702" s="41"/>
      <c r="S702" s="38"/>
      <c r="U702" s="51"/>
    </row>
    <row r="703" spans="1:21" s="7" customFormat="1" x14ac:dyDescent="0.25">
      <c r="A703" s="90"/>
      <c r="B703" s="45"/>
      <c r="C703" s="45"/>
      <c r="D703" s="45"/>
      <c r="E703" s="107"/>
      <c r="F703" s="107"/>
      <c r="G703" s="107"/>
      <c r="H703" s="93"/>
      <c r="I703" s="64"/>
      <c r="J703" s="64"/>
      <c r="K703" s="66"/>
      <c r="L703" s="55"/>
      <c r="M703" s="46"/>
      <c r="N703" s="48"/>
      <c r="O703" s="58"/>
      <c r="P703" s="61"/>
      <c r="Q703" s="13"/>
      <c r="R703" s="41"/>
      <c r="S703" s="38"/>
      <c r="U703" s="51"/>
    </row>
    <row r="704" spans="1:21" s="7" customFormat="1" x14ac:dyDescent="0.25">
      <c r="A704" s="90"/>
      <c r="B704" s="45"/>
      <c r="C704" s="45"/>
      <c r="D704" s="45"/>
      <c r="E704" s="107"/>
      <c r="F704" s="107"/>
      <c r="G704" s="107"/>
      <c r="H704" s="93"/>
      <c r="I704" s="64"/>
      <c r="J704" s="64"/>
      <c r="K704" s="66"/>
      <c r="L704" s="55"/>
      <c r="M704" s="46"/>
      <c r="N704" s="48"/>
      <c r="O704" s="58"/>
      <c r="P704" s="61"/>
      <c r="Q704" s="13"/>
      <c r="R704" s="41"/>
      <c r="S704" s="38"/>
      <c r="U704" s="51"/>
    </row>
    <row r="705" spans="1:21" s="7" customFormat="1" x14ac:dyDescent="0.25">
      <c r="A705" s="90"/>
      <c r="B705" s="45"/>
      <c r="C705" s="45"/>
      <c r="D705" s="45"/>
      <c r="E705" s="107"/>
      <c r="F705" s="107"/>
      <c r="G705" s="107"/>
      <c r="H705" s="93"/>
      <c r="I705" s="64"/>
      <c r="J705" s="64"/>
      <c r="K705" s="66"/>
      <c r="L705" s="55"/>
      <c r="M705" s="46"/>
      <c r="N705" s="48"/>
      <c r="O705" s="58"/>
      <c r="P705" s="61"/>
      <c r="Q705" s="13"/>
      <c r="R705" s="41"/>
      <c r="S705" s="38"/>
      <c r="U705" s="51"/>
    </row>
    <row r="706" spans="1:21" s="7" customFormat="1" x14ac:dyDescent="0.25">
      <c r="A706" s="90"/>
      <c r="B706" s="45"/>
      <c r="C706" s="45"/>
      <c r="D706" s="45"/>
      <c r="E706" s="107"/>
      <c r="F706" s="107"/>
      <c r="G706" s="107"/>
      <c r="H706" s="93"/>
      <c r="I706" s="64"/>
      <c r="J706" s="64"/>
      <c r="K706" s="66"/>
      <c r="L706" s="55"/>
      <c r="M706" s="46"/>
      <c r="N706" s="48"/>
      <c r="O706" s="58"/>
      <c r="P706" s="61"/>
      <c r="Q706" s="13"/>
      <c r="R706" s="41"/>
      <c r="S706" s="38"/>
      <c r="U706" s="51"/>
    </row>
    <row r="707" spans="1:21" s="7" customFormat="1" x14ac:dyDescent="0.25">
      <c r="A707" s="90"/>
      <c r="B707" s="45"/>
      <c r="C707" s="45"/>
      <c r="D707" s="45"/>
      <c r="E707" s="107"/>
      <c r="F707" s="107"/>
      <c r="G707" s="107"/>
      <c r="H707" s="93"/>
      <c r="I707" s="64"/>
      <c r="J707" s="64"/>
      <c r="K707" s="66"/>
      <c r="L707" s="55"/>
      <c r="M707" s="46"/>
      <c r="N707" s="48"/>
      <c r="O707" s="58"/>
      <c r="P707" s="61"/>
      <c r="Q707" s="13"/>
      <c r="R707" s="41"/>
      <c r="S707" s="38"/>
      <c r="U707" s="51"/>
    </row>
    <row r="708" spans="1:21" s="7" customFormat="1" x14ac:dyDescent="0.25">
      <c r="A708" s="90"/>
      <c r="B708" s="45"/>
      <c r="C708" s="45"/>
      <c r="D708" s="45"/>
      <c r="E708" s="107"/>
      <c r="F708" s="107"/>
      <c r="G708" s="107"/>
      <c r="H708" s="93"/>
      <c r="I708" s="64"/>
      <c r="J708" s="64"/>
      <c r="K708" s="66"/>
      <c r="L708" s="55"/>
      <c r="M708" s="46"/>
      <c r="N708" s="48"/>
      <c r="O708" s="58"/>
      <c r="P708" s="61"/>
      <c r="Q708" s="13"/>
      <c r="R708" s="41"/>
      <c r="S708" s="38"/>
      <c r="U708" s="51"/>
    </row>
    <row r="709" spans="1:21" s="7" customFormat="1" x14ac:dyDescent="0.25">
      <c r="A709" s="90"/>
      <c r="B709" s="45"/>
      <c r="C709" s="45"/>
      <c r="D709" s="45"/>
      <c r="E709" s="107"/>
      <c r="F709" s="107"/>
      <c r="G709" s="107"/>
      <c r="H709" s="93"/>
      <c r="I709" s="64"/>
      <c r="J709" s="64"/>
      <c r="K709" s="66"/>
      <c r="L709" s="55"/>
      <c r="M709" s="46"/>
      <c r="N709" s="48"/>
      <c r="O709" s="58"/>
      <c r="P709" s="61"/>
      <c r="Q709" s="13"/>
      <c r="R709" s="41"/>
      <c r="S709" s="38"/>
      <c r="U709" s="51"/>
    </row>
    <row r="710" spans="1:21" s="7" customFormat="1" x14ac:dyDescent="0.25">
      <c r="A710" s="90"/>
      <c r="B710" s="45"/>
      <c r="C710" s="45"/>
      <c r="D710" s="45"/>
      <c r="E710" s="107"/>
      <c r="F710" s="107"/>
      <c r="G710" s="107"/>
      <c r="H710" s="93"/>
      <c r="I710" s="64"/>
      <c r="J710" s="64"/>
      <c r="K710" s="66"/>
      <c r="L710" s="55"/>
      <c r="M710" s="46"/>
      <c r="N710" s="48"/>
      <c r="O710" s="58"/>
      <c r="P710" s="61"/>
      <c r="Q710" s="13"/>
      <c r="R710" s="41"/>
      <c r="S710" s="38"/>
      <c r="U710" s="51"/>
    </row>
    <row r="711" spans="1:21" s="7" customFormat="1" x14ac:dyDescent="0.25">
      <c r="A711" s="90"/>
      <c r="B711" s="45"/>
      <c r="C711" s="45"/>
      <c r="D711" s="45"/>
      <c r="E711" s="107"/>
      <c r="F711" s="107"/>
      <c r="G711" s="107"/>
      <c r="H711" s="93"/>
      <c r="I711" s="64"/>
      <c r="J711" s="64"/>
      <c r="K711" s="66"/>
      <c r="L711" s="55"/>
      <c r="M711" s="46"/>
      <c r="N711" s="48"/>
      <c r="O711" s="58"/>
      <c r="P711" s="61"/>
      <c r="Q711" s="13"/>
      <c r="R711" s="41"/>
      <c r="S711" s="38"/>
      <c r="U711" s="51"/>
    </row>
    <row r="712" spans="1:21" s="7" customFormat="1" x14ac:dyDescent="0.25">
      <c r="A712" s="90"/>
      <c r="B712" s="45"/>
      <c r="C712" s="45"/>
      <c r="D712" s="45"/>
      <c r="E712" s="107"/>
      <c r="F712" s="107"/>
      <c r="G712" s="107"/>
      <c r="H712" s="93"/>
      <c r="I712" s="64"/>
      <c r="J712" s="64"/>
      <c r="K712" s="66"/>
      <c r="L712" s="55"/>
      <c r="M712" s="46"/>
      <c r="N712" s="48"/>
      <c r="O712" s="58"/>
      <c r="P712" s="61"/>
      <c r="Q712" s="13"/>
      <c r="R712" s="41"/>
      <c r="S712" s="38"/>
      <c r="U712" s="51"/>
    </row>
    <row r="713" spans="1:21" s="7" customFormat="1" x14ac:dyDescent="0.25">
      <c r="A713" s="90"/>
      <c r="B713" s="45"/>
      <c r="C713" s="45"/>
      <c r="D713" s="45"/>
      <c r="E713" s="107"/>
      <c r="F713" s="107"/>
      <c r="G713" s="107"/>
      <c r="H713" s="93"/>
      <c r="I713" s="64"/>
      <c r="J713" s="64"/>
      <c r="K713" s="66"/>
      <c r="L713" s="55"/>
      <c r="M713" s="46"/>
      <c r="N713" s="48"/>
      <c r="O713" s="58"/>
      <c r="P713" s="61"/>
      <c r="Q713" s="13"/>
      <c r="R713" s="41"/>
      <c r="S713" s="38"/>
      <c r="U713" s="51"/>
    </row>
    <row r="714" spans="1:21" s="7" customFormat="1" x14ac:dyDescent="0.25">
      <c r="A714" s="90"/>
      <c r="B714" s="45"/>
      <c r="C714" s="45"/>
      <c r="D714" s="45"/>
      <c r="E714" s="107"/>
      <c r="F714" s="107"/>
      <c r="G714" s="107"/>
      <c r="H714" s="93"/>
      <c r="I714" s="64"/>
      <c r="J714" s="64"/>
      <c r="K714" s="66"/>
      <c r="L714" s="55"/>
      <c r="M714" s="46"/>
      <c r="N714" s="48"/>
      <c r="O714" s="58"/>
      <c r="P714" s="61"/>
      <c r="Q714" s="13"/>
      <c r="R714" s="41"/>
      <c r="S714" s="38"/>
      <c r="U714" s="51"/>
    </row>
    <row r="715" spans="1:21" s="7" customFormat="1" x14ac:dyDescent="0.25">
      <c r="A715" s="90"/>
      <c r="B715" s="45"/>
      <c r="C715" s="45"/>
      <c r="D715" s="45"/>
      <c r="E715" s="107"/>
      <c r="F715" s="107"/>
      <c r="G715" s="107"/>
      <c r="H715" s="93"/>
      <c r="I715" s="64"/>
      <c r="J715" s="64"/>
      <c r="K715" s="66"/>
      <c r="L715" s="55"/>
      <c r="M715" s="46"/>
      <c r="N715" s="48"/>
      <c r="O715" s="58"/>
      <c r="P715" s="61"/>
      <c r="Q715" s="13"/>
      <c r="R715" s="41"/>
      <c r="S715" s="38"/>
      <c r="U715" s="51"/>
    </row>
    <row r="716" spans="1:21" s="7" customFormat="1" x14ac:dyDescent="0.25">
      <c r="A716" s="90"/>
      <c r="B716" s="45"/>
      <c r="C716" s="45"/>
      <c r="D716" s="45"/>
      <c r="E716" s="107"/>
      <c r="F716" s="107"/>
      <c r="G716" s="107"/>
      <c r="H716" s="93"/>
      <c r="I716" s="64"/>
      <c r="J716" s="64"/>
      <c r="K716" s="66"/>
      <c r="L716" s="55"/>
      <c r="M716" s="46"/>
      <c r="N716" s="48"/>
      <c r="O716" s="58"/>
      <c r="P716" s="61"/>
      <c r="Q716" s="13"/>
      <c r="R716" s="41"/>
      <c r="S716" s="38"/>
      <c r="U716" s="51"/>
    </row>
    <row r="717" spans="1:21" s="7" customFormat="1" x14ac:dyDescent="0.25">
      <c r="A717" s="90"/>
      <c r="B717" s="45"/>
      <c r="C717" s="45"/>
      <c r="D717" s="45"/>
      <c r="E717" s="107"/>
      <c r="F717" s="107"/>
      <c r="G717" s="107"/>
      <c r="H717" s="93"/>
      <c r="I717" s="64"/>
      <c r="J717" s="64"/>
      <c r="K717" s="66"/>
      <c r="L717" s="55"/>
      <c r="M717" s="46"/>
      <c r="N717" s="48"/>
      <c r="O717" s="58"/>
      <c r="P717" s="61"/>
      <c r="Q717" s="13"/>
      <c r="R717" s="41"/>
      <c r="S717" s="38"/>
      <c r="U717" s="51"/>
    </row>
    <row r="718" spans="1:21" s="7" customFormat="1" x14ac:dyDescent="0.25">
      <c r="A718" s="90"/>
      <c r="B718" s="45"/>
      <c r="C718" s="45"/>
      <c r="D718" s="45"/>
      <c r="E718" s="107"/>
      <c r="F718" s="107"/>
      <c r="G718" s="107"/>
      <c r="H718" s="93"/>
      <c r="I718" s="64"/>
      <c r="J718" s="64"/>
      <c r="K718" s="66"/>
      <c r="L718" s="55"/>
      <c r="M718" s="46"/>
      <c r="N718" s="48"/>
      <c r="O718" s="58"/>
      <c r="P718" s="61"/>
      <c r="Q718" s="13"/>
      <c r="R718" s="41"/>
      <c r="S718" s="38"/>
      <c r="U718" s="51"/>
    </row>
    <row r="719" spans="1:21" s="7" customFormat="1" x14ac:dyDescent="0.25">
      <c r="A719" s="90"/>
      <c r="B719" s="45"/>
      <c r="C719" s="45"/>
      <c r="D719" s="45"/>
      <c r="E719" s="107"/>
      <c r="F719" s="107"/>
      <c r="G719" s="107"/>
      <c r="H719" s="93"/>
      <c r="I719" s="64"/>
      <c r="J719" s="64"/>
      <c r="K719" s="66"/>
      <c r="L719" s="55"/>
      <c r="M719" s="46"/>
      <c r="N719" s="48"/>
      <c r="O719" s="58"/>
      <c r="P719" s="61"/>
      <c r="Q719" s="13"/>
      <c r="R719" s="41"/>
      <c r="S719" s="38"/>
      <c r="U719" s="51"/>
    </row>
    <row r="720" spans="1:21" s="7" customFormat="1" x14ac:dyDescent="0.25">
      <c r="A720" s="90"/>
      <c r="B720" s="45"/>
      <c r="C720" s="45"/>
      <c r="D720" s="45"/>
      <c r="E720" s="107"/>
      <c r="F720" s="107"/>
      <c r="G720" s="107"/>
      <c r="H720" s="93"/>
      <c r="I720" s="64"/>
      <c r="J720" s="64"/>
      <c r="K720" s="66"/>
      <c r="L720" s="55"/>
      <c r="M720" s="46"/>
      <c r="N720" s="48"/>
      <c r="O720" s="58"/>
      <c r="P720" s="61"/>
      <c r="Q720" s="13"/>
      <c r="R720" s="41"/>
      <c r="S720" s="38"/>
      <c r="U720" s="51"/>
    </row>
    <row r="721" spans="1:21" s="7" customFormat="1" x14ac:dyDescent="0.25">
      <c r="A721" s="90"/>
      <c r="B721" s="45"/>
      <c r="C721" s="45"/>
      <c r="D721" s="45"/>
      <c r="E721" s="107"/>
      <c r="F721" s="107"/>
      <c r="G721" s="107"/>
      <c r="H721" s="93"/>
      <c r="I721" s="64"/>
      <c r="J721" s="64"/>
      <c r="K721" s="66"/>
      <c r="L721" s="55"/>
      <c r="M721" s="46"/>
      <c r="N721" s="48"/>
      <c r="O721" s="58"/>
      <c r="P721" s="61"/>
      <c r="Q721" s="13"/>
      <c r="R721" s="41"/>
      <c r="S721" s="38"/>
      <c r="U721" s="51"/>
    </row>
    <row r="722" spans="1:21" s="7" customFormat="1" x14ac:dyDescent="0.25">
      <c r="A722" s="90"/>
      <c r="B722" s="45"/>
      <c r="C722" s="45"/>
      <c r="D722" s="45"/>
      <c r="E722" s="107"/>
      <c r="F722" s="107"/>
      <c r="G722" s="107"/>
      <c r="H722" s="93"/>
      <c r="I722" s="64"/>
      <c r="J722" s="64"/>
      <c r="K722" s="66"/>
      <c r="L722" s="55"/>
      <c r="M722" s="46"/>
      <c r="N722" s="48"/>
      <c r="O722" s="58"/>
      <c r="P722" s="61"/>
      <c r="Q722" s="13"/>
      <c r="R722" s="41"/>
      <c r="S722" s="38"/>
      <c r="U722" s="51"/>
    </row>
    <row r="723" spans="1:21" s="7" customFormat="1" x14ac:dyDescent="0.25">
      <c r="A723" s="90"/>
      <c r="B723" s="45"/>
      <c r="C723" s="45"/>
      <c r="D723" s="45"/>
      <c r="E723" s="107"/>
      <c r="F723" s="107"/>
      <c r="G723" s="107"/>
      <c r="H723" s="93"/>
      <c r="I723" s="64"/>
      <c r="J723" s="64"/>
      <c r="K723" s="66"/>
      <c r="L723" s="55"/>
      <c r="M723" s="46"/>
      <c r="N723" s="48"/>
      <c r="O723" s="58"/>
      <c r="P723" s="61"/>
      <c r="Q723" s="13"/>
      <c r="R723" s="41"/>
      <c r="S723" s="38"/>
      <c r="U723" s="51"/>
    </row>
    <row r="724" spans="1:21" s="7" customFormat="1" x14ac:dyDescent="0.25">
      <c r="A724" s="90"/>
      <c r="B724" s="45"/>
      <c r="C724" s="45"/>
      <c r="D724" s="45"/>
      <c r="E724" s="107"/>
      <c r="F724" s="107"/>
      <c r="G724" s="107"/>
      <c r="H724" s="93"/>
      <c r="I724" s="64"/>
      <c r="J724" s="64"/>
      <c r="K724" s="66"/>
      <c r="L724" s="55"/>
      <c r="M724" s="46"/>
      <c r="N724" s="48"/>
      <c r="O724" s="58"/>
      <c r="P724" s="61"/>
      <c r="Q724" s="13"/>
      <c r="R724" s="41"/>
      <c r="S724" s="38"/>
      <c r="U724" s="51"/>
    </row>
    <row r="725" spans="1:21" s="7" customFormat="1" x14ac:dyDescent="0.25">
      <c r="A725" s="90"/>
      <c r="B725" s="45"/>
      <c r="C725" s="45"/>
      <c r="D725" s="45"/>
      <c r="E725" s="107"/>
      <c r="F725" s="107"/>
      <c r="G725" s="107"/>
      <c r="H725" s="93"/>
      <c r="I725" s="64"/>
      <c r="J725" s="64"/>
      <c r="K725" s="66"/>
      <c r="L725" s="55"/>
      <c r="M725" s="46"/>
      <c r="N725" s="48"/>
      <c r="O725" s="58"/>
      <c r="P725" s="61"/>
      <c r="Q725" s="13"/>
      <c r="R725" s="41"/>
      <c r="S725" s="38"/>
      <c r="U725" s="51"/>
    </row>
    <row r="726" spans="1:21" s="7" customFormat="1" x14ac:dyDescent="0.25">
      <c r="A726" s="90"/>
      <c r="B726" s="45"/>
      <c r="C726" s="45"/>
      <c r="D726" s="45"/>
      <c r="E726" s="107"/>
      <c r="F726" s="107"/>
      <c r="G726" s="107"/>
      <c r="H726" s="93"/>
      <c r="I726" s="64"/>
      <c r="J726" s="64"/>
      <c r="K726" s="66"/>
      <c r="L726" s="55"/>
      <c r="M726" s="46"/>
      <c r="N726" s="48"/>
      <c r="O726" s="58"/>
      <c r="P726" s="61"/>
      <c r="Q726" s="13"/>
      <c r="R726" s="41"/>
      <c r="S726" s="38"/>
      <c r="U726" s="51"/>
    </row>
    <row r="727" spans="1:21" s="7" customFormat="1" x14ac:dyDescent="0.25">
      <c r="A727" s="90"/>
      <c r="B727" s="45"/>
      <c r="C727" s="45"/>
      <c r="D727" s="45"/>
      <c r="E727" s="107"/>
      <c r="F727" s="107"/>
      <c r="G727" s="107"/>
      <c r="H727" s="93"/>
      <c r="I727" s="64"/>
      <c r="J727" s="64"/>
      <c r="K727" s="66"/>
      <c r="L727" s="55"/>
      <c r="M727" s="46"/>
      <c r="N727" s="48"/>
      <c r="O727" s="58"/>
      <c r="P727" s="61"/>
      <c r="Q727" s="13"/>
      <c r="R727" s="41"/>
      <c r="S727" s="38"/>
      <c r="U727" s="51"/>
    </row>
    <row r="728" spans="1:21" s="7" customFormat="1" x14ac:dyDescent="0.25">
      <c r="A728" s="90"/>
      <c r="B728" s="45"/>
      <c r="C728" s="45"/>
      <c r="D728" s="45"/>
      <c r="E728" s="107"/>
      <c r="F728" s="107"/>
      <c r="G728" s="107"/>
      <c r="H728" s="93"/>
      <c r="I728" s="64"/>
      <c r="J728" s="64"/>
      <c r="K728" s="66"/>
      <c r="L728" s="55"/>
      <c r="M728" s="46"/>
      <c r="N728" s="48"/>
      <c r="O728" s="58"/>
      <c r="P728" s="61"/>
      <c r="Q728" s="13"/>
      <c r="R728" s="41"/>
      <c r="S728" s="38"/>
      <c r="U728" s="51"/>
    </row>
    <row r="729" spans="1:21" s="7" customFormat="1" x14ac:dyDescent="0.25">
      <c r="A729" s="90"/>
      <c r="B729" s="45"/>
      <c r="C729" s="45"/>
      <c r="D729" s="45"/>
      <c r="E729" s="107"/>
      <c r="F729" s="107"/>
      <c r="G729" s="107"/>
      <c r="H729" s="93"/>
      <c r="I729" s="64"/>
      <c r="J729" s="64"/>
      <c r="K729" s="66"/>
      <c r="L729" s="55"/>
      <c r="M729" s="46"/>
      <c r="N729" s="48"/>
      <c r="O729" s="58"/>
      <c r="P729" s="61"/>
      <c r="Q729" s="13"/>
      <c r="R729" s="41"/>
      <c r="S729" s="38"/>
      <c r="U729" s="51"/>
    </row>
    <row r="730" spans="1:21" s="7" customFormat="1" x14ac:dyDescent="0.25">
      <c r="A730" s="90"/>
      <c r="B730" s="45"/>
      <c r="C730" s="45"/>
      <c r="D730" s="45"/>
      <c r="E730" s="107"/>
      <c r="F730" s="107"/>
      <c r="G730" s="107"/>
      <c r="H730" s="93"/>
      <c r="I730" s="64"/>
      <c r="J730" s="64"/>
      <c r="K730" s="66"/>
      <c r="L730" s="55"/>
      <c r="M730" s="46"/>
      <c r="N730" s="48"/>
      <c r="O730" s="58"/>
      <c r="P730" s="61"/>
      <c r="Q730" s="13"/>
      <c r="R730" s="41"/>
      <c r="S730" s="38"/>
      <c r="U730" s="51"/>
    </row>
    <row r="731" spans="1:21" s="7" customFormat="1" x14ac:dyDescent="0.25">
      <c r="A731" s="90"/>
      <c r="B731" s="45"/>
      <c r="C731" s="45"/>
      <c r="D731" s="45"/>
      <c r="E731" s="107"/>
      <c r="F731" s="107"/>
      <c r="G731" s="107"/>
      <c r="H731" s="93"/>
      <c r="I731" s="64"/>
      <c r="J731" s="64"/>
      <c r="K731" s="66"/>
      <c r="L731" s="55"/>
      <c r="M731" s="46"/>
      <c r="N731" s="48"/>
      <c r="O731" s="58"/>
      <c r="P731" s="61"/>
      <c r="Q731" s="13"/>
      <c r="R731" s="41"/>
      <c r="S731" s="38"/>
      <c r="U731" s="51"/>
    </row>
    <row r="732" spans="1:21" s="7" customFormat="1" x14ac:dyDescent="0.25">
      <c r="A732" s="90"/>
      <c r="B732" s="45"/>
      <c r="C732" s="45"/>
      <c r="D732" s="45"/>
      <c r="E732" s="107"/>
      <c r="F732" s="107"/>
      <c r="G732" s="107"/>
      <c r="H732" s="93"/>
      <c r="I732" s="64"/>
      <c r="J732" s="64"/>
      <c r="K732" s="66"/>
      <c r="L732" s="55"/>
      <c r="M732" s="46"/>
      <c r="N732" s="48"/>
      <c r="O732" s="58"/>
      <c r="P732" s="61"/>
      <c r="Q732" s="13"/>
      <c r="R732" s="41"/>
      <c r="S732" s="38"/>
      <c r="U732" s="51"/>
    </row>
    <row r="733" spans="1:21" s="7" customFormat="1" x14ac:dyDescent="0.25">
      <c r="A733" s="90"/>
      <c r="B733" s="45"/>
      <c r="C733" s="45"/>
      <c r="D733" s="45"/>
      <c r="E733" s="107"/>
      <c r="F733" s="107"/>
      <c r="G733" s="107"/>
      <c r="H733" s="93"/>
      <c r="I733" s="64"/>
      <c r="J733" s="64"/>
      <c r="K733" s="66"/>
      <c r="L733" s="55"/>
      <c r="M733" s="46"/>
      <c r="N733" s="48"/>
      <c r="O733" s="58"/>
      <c r="P733" s="61"/>
      <c r="Q733" s="13"/>
      <c r="R733" s="41"/>
      <c r="S733" s="38"/>
      <c r="U733" s="51"/>
    </row>
    <row r="734" spans="1:21" s="7" customFormat="1" x14ac:dyDescent="0.25">
      <c r="A734" s="90"/>
      <c r="B734" s="45"/>
      <c r="C734" s="45"/>
      <c r="D734" s="45"/>
      <c r="E734" s="107"/>
      <c r="F734" s="107"/>
      <c r="G734" s="107"/>
      <c r="H734" s="93"/>
      <c r="I734" s="64"/>
      <c r="J734" s="64"/>
      <c r="K734" s="66"/>
      <c r="L734" s="55"/>
      <c r="M734" s="46"/>
      <c r="N734" s="48"/>
      <c r="O734" s="58"/>
      <c r="P734" s="61"/>
      <c r="Q734" s="13"/>
      <c r="R734" s="41"/>
      <c r="S734" s="38"/>
      <c r="U734" s="51"/>
    </row>
    <row r="735" spans="1:21" s="7" customFormat="1" x14ac:dyDescent="0.25">
      <c r="A735" s="90"/>
      <c r="B735" s="45"/>
      <c r="C735" s="45"/>
      <c r="D735" s="45"/>
      <c r="E735" s="107"/>
      <c r="F735" s="107"/>
      <c r="G735" s="107"/>
      <c r="H735" s="93"/>
      <c r="I735" s="64"/>
      <c r="J735" s="64"/>
      <c r="K735" s="66"/>
      <c r="L735" s="55"/>
      <c r="M735" s="46"/>
      <c r="N735" s="48"/>
      <c r="O735" s="58"/>
      <c r="P735" s="61"/>
      <c r="Q735" s="13"/>
      <c r="R735" s="41"/>
      <c r="S735" s="38"/>
      <c r="U735" s="51"/>
    </row>
    <row r="736" spans="1:21" s="7" customFormat="1" x14ac:dyDescent="0.25">
      <c r="A736" s="90"/>
      <c r="B736" s="45"/>
      <c r="C736" s="45"/>
      <c r="D736" s="45"/>
      <c r="E736" s="107"/>
      <c r="F736" s="107"/>
      <c r="G736" s="107"/>
      <c r="H736" s="93"/>
      <c r="I736" s="64"/>
      <c r="J736" s="64"/>
      <c r="K736" s="66"/>
      <c r="L736" s="55"/>
      <c r="M736" s="46"/>
      <c r="N736" s="48"/>
      <c r="O736" s="58"/>
      <c r="P736" s="61"/>
      <c r="Q736" s="13"/>
      <c r="R736" s="41"/>
      <c r="S736" s="38"/>
      <c r="U736" s="51"/>
    </row>
    <row r="737" spans="1:21" s="7" customFormat="1" x14ac:dyDescent="0.25">
      <c r="A737" s="90"/>
      <c r="B737" s="45"/>
      <c r="C737" s="45"/>
      <c r="D737" s="45"/>
      <c r="E737" s="107"/>
      <c r="F737" s="107"/>
      <c r="G737" s="107"/>
      <c r="H737" s="93"/>
      <c r="I737" s="64"/>
      <c r="J737" s="64"/>
      <c r="K737" s="66"/>
      <c r="L737" s="55"/>
      <c r="M737" s="46"/>
      <c r="N737" s="48"/>
      <c r="O737" s="58"/>
      <c r="P737" s="61"/>
      <c r="Q737" s="13"/>
      <c r="R737" s="41"/>
      <c r="S737" s="38"/>
      <c r="U737" s="51"/>
    </row>
    <row r="738" spans="1:21" s="7" customFormat="1" x14ac:dyDescent="0.25">
      <c r="A738" s="90"/>
      <c r="B738" s="45"/>
      <c r="C738" s="45"/>
      <c r="D738" s="45"/>
      <c r="E738" s="107"/>
      <c r="F738" s="107"/>
      <c r="G738" s="107"/>
      <c r="H738" s="93"/>
      <c r="I738" s="64"/>
      <c r="J738" s="64"/>
      <c r="K738" s="66"/>
      <c r="L738" s="55"/>
      <c r="M738" s="46"/>
      <c r="N738" s="48"/>
      <c r="O738" s="58"/>
      <c r="P738" s="61"/>
      <c r="Q738" s="13"/>
      <c r="R738" s="41"/>
      <c r="S738" s="38"/>
      <c r="U738" s="51"/>
    </row>
    <row r="739" spans="1:21" s="7" customFormat="1" x14ac:dyDescent="0.25">
      <c r="A739" s="90"/>
      <c r="B739" s="45"/>
      <c r="C739" s="45"/>
      <c r="D739" s="45"/>
      <c r="E739" s="107"/>
      <c r="F739" s="107"/>
      <c r="G739" s="107"/>
      <c r="H739" s="93"/>
      <c r="I739" s="64"/>
      <c r="J739" s="64"/>
      <c r="K739" s="66"/>
      <c r="L739" s="55"/>
      <c r="M739" s="46"/>
      <c r="N739" s="48"/>
      <c r="O739" s="58"/>
      <c r="P739" s="61"/>
      <c r="Q739" s="13"/>
      <c r="R739" s="41"/>
      <c r="S739" s="38"/>
      <c r="U739" s="51"/>
    </row>
    <row r="740" spans="1:21" s="7" customFormat="1" x14ac:dyDescent="0.25">
      <c r="A740" s="90"/>
      <c r="B740" s="45"/>
      <c r="C740" s="45"/>
      <c r="D740" s="45"/>
      <c r="E740" s="107"/>
      <c r="F740" s="107"/>
      <c r="G740" s="107"/>
      <c r="H740" s="93"/>
      <c r="I740" s="64"/>
      <c r="J740" s="64"/>
      <c r="K740" s="66"/>
      <c r="L740" s="55"/>
      <c r="M740" s="46"/>
      <c r="N740" s="48"/>
      <c r="O740" s="58"/>
      <c r="P740" s="61"/>
      <c r="Q740" s="13"/>
      <c r="R740" s="41"/>
      <c r="S740" s="38"/>
      <c r="U740" s="51"/>
    </row>
    <row r="741" spans="1:21" s="7" customFormat="1" x14ac:dyDescent="0.25">
      <c r="A741" s="90"/>
      <c r="B741" s="45"/>
      <c r="C741" s="45"/>
      <c r="D741" s="45"/>
      <c r="E741" s="107"/>
      <c r="F741" s="107"/>
      <c r="G741" s="107"/>
      <c r="H741" s="93"/>
      <c r="I741" s="64"/>
      <c r="J741" s="64"/>
      <c r="K741" s="66"/>
      <c r="L741" s="55"/>
      <c r="M741" s="46"/>
      <c r="N741" s="48"/>
      <c r="O741" s="58"/>
      <c r="P741" s="61"/>
      <c r="Q741" s="13"/>
      <c r="R741" s="41"/>
      <c r="S741" s="38"/>
      <c r="U741" s="51"/>
    </row>
    <row r="742" spans="1:21" s="7" customFormat="1" x14ac:dyDescent="0.25">
      <c r="A742" s="90"/>
      <c r="B742" s="45"/>
      <c r="C742" s="45"/>
      <c r="D742" s="45"/>
      <c r="E742" s="107"/>
      <c r="F742" s="107"/>
      <c r="G742" s="107"/>
      <c r="H742" s="93"/>
      <c r="I742" s="64"/>
      <c r="J742" s="64"/>
      <c r="K742" s="66"/>
      <c r="L742" s="55"/>
      <c r="M742" s="46"/>
      <c r="N742" s="48"/>
      <c r="O742" s="58"/>
      <c r="P742" s="61"/>
      <c r="Q742" s="13"/>
      <c r="R742" s="41"/>
      <c r="S742" s="38"/>
      <c r="U742" s="51"/>
    </row>
    <row r="743" spans="1:21" s="7" customFormat="1" x14ac:dyDescent="0.25">
      <c r="A743" s="90"/>
      <c r="B743" s="45"/>
      <c r="C743" s="45"/>
      <c r="D743" s="45"/>
      <c r="E743" s="107"/>
      <c r="F743" s="107"/>
      <c r="G743" s="107"/>
      <c r="H743" s="93"/>
      <c r="I743" s="64"/>
      <c r="J743" s="64"/>
      <c r="K743" s="66"/>
      <c r="L743" s="55"/>
      <c r="M743" s="46"/>
      <c r="N743" s="48"/>
      <c r="O743" s="58"/>
      <c r="P743" s="61"/>
      <c r="Q743" s="13"/>
      <c r="R743" s="41"/>
      <c r="S743" s="38"/>
      <c r="U743" s="51"/>
    </row>
    <row r="744" spans="1:21" s="7" customFormat="1" x14ac:dyDescent="0.25">
      <c r="A744" s="90"/>
      <c r="B744" s="45"/>
      <c r="C744" s="45"/>
      <c r="D744" s="45"/>
      <c r="E744" s="107"/>
      <c r="F744" s="107"/>
      <c r="G744" s="107"/>
      <c r="H744" s="93"/>
      <c r="I744" s="64"/>
      <c r="J744" s="64"/>
      <c r="K744" s="66"/>
      <c r="L744" s="55"/>
      <c r="M744" s="46"/>
      <c r="N744" s="48"/>
      <c r="O744" s="58"/>
      <c r="P744" s="61"/>
      <c r="Q744" s="13"/>
      <c r="R744" s="41"/>
      <c r="S744" s="38"/>
      <c r="U744" s="51"/>
    </row>
    <row r="745" spans="1:21" s="7" customFormat="1" x14ac:dyDescent="0.25">
      <c r="A745" s="90"/>
      <c r="B745" s="45"/>
      <c r="C745" s="45"/>
      <c r="D745" s="45"/>
      <c r="E745" s="107"/>
      <c r="F745" s="107"/>
      <c r="G745" s="107"/>
      <c r="H745" s="93"/>
      <c r="I745" s="64"/>
      <c r="J745" s="64"/>
      <c r="K745" s="66"/>
      <c r="L745" s="55"/>
      <c r="M745" s="46"/>
      <c r="N745" s="48"/>
      <c r="O745" s="58"/>
      <c r="P745" s="61"/>
      <c r="Q745" s="13"/>
      <c r="R745" s="41"/>
      <c r="S745" s="38"/>
      <c r="U745" s="51"/>
    </row>
    <row r="746" spans="1:21" s="7" customFormat="1" x14ac:dyDescent="0.25">
      <c r="A746" s="90"/>
      <c r="B746" s="45"/>
      <c r="C746" s="45"/>
      <c r="D746" s="45"/>
      <c r="E746" s="107"/>
      <c r="F746" s="107"/>
      <c r="G746" s="107"/>
      <c r="H746" s="93"/>
      <c r="I746" s="64"/>
      <c r="J746" s="64"/>
      <c r="K746" s="66"/>
      <c r="L746" s="55"/>
      <c r="M746" s="46"/>
      <c r="N746" s="48"/>
      <c r="O746" s="58"/>
      <c r="P746" s="61"/>
      <c r="Q746" s="13"/>
      <c r="R746" s="41"/>
      <c r="S746" s="38"/>
      <c r="U746" s="51"/>
    </row>
    <row r="747" spans="1:21" s="7" customFormat="1" x14ac:dyDescent="0.25">
      <c r="A747" s="90"/>
      <c r="B747" s="45"/>
      <c r="C747" s="45"/>
      <c r="D747" s="45"/>
      <c r="E747" s="107"/>
      <c r="F747" s="107"/>
      <c r="G747" s="107"/>
      <c r="H747" s="93"/>
      <c r="I747" s="64"/>
      <c r="J747" s="64"/>
      <c r="K747" s="66"/>
      <c r="L747" s="55"/>
      <c r="M747" s="46"/>
      <c r="N747" s="48"/>
      <c r="O747" s="58"/>
      <c r="P747" s="61"/>
      <c r="Q747" s="13"/>
      <c r="R747" s="41"/>
      <c r="S747" s="38"/>
      <c r="U747" s="51"/>
    </row>
    <row r="748" spans="1:21" s="7" customFormat="1" x14ac:dyDescent="0.25">
      <c r="A748" s="90"/>
      <c r="B748" s="45"/>
      <c r="C748" s="45"/>
      <c r="D748" s="45"/>
      <c r="E748" s="107"/>
      <c r="F748" s="107"/>
      <c r="G748" s="107"/>
      <c r="H748" s="93"/>
      <c r="I748" s="64"/>
      <c r="J748" s="64"/>
      <c r="K748" s="66"/>
      <c r="L748" s="55"/>
      <c r="M748" s="46"/>
      <c r="N748" s="48"/>
      <c r="O748" s="58"/>
      <c r="P748" s="61"/>
      <c r="Q748" s="13"/>
      <c r="R748" s="41"/>
      <c r="S748" s="38"/>
      <c r="U748" s="51"/>
    </row>
    <row r="749" spans="1:21" s="7" customFormat="1" x14ac:dyDescent="0.25">
      <c r="A749" s="90"/>
      <c r="B749" s="45"/>
      <c r="C749" s="45"/>
      <c r="D749" s="45"/>
      <c r="E749" s="107"/>
      <c r="F749" s="107"/>
      <c r="G749" s="107"/>
      <c r="H749" s="93"/>
      <c r="I749" s="64"/>
      <c r="J749" s="64"/>
      <c r="K749" s="66"/>
      <c r="L749" s="55"/>
      <c r="M749" s="46"/>
      <c r="N749" s="48"/>
      <c r="O749" s="58"/>
      <c r="P749" s="61"/>
      <c r="Q749" s="13"/>
      <c r="R749" s="41"/>
      <c r="S749" s="38"/>
      <c r="U749" s="51"/>
    </row>
    <row r="750" spans="1:21" s="7" customFormat="1" x14ac:dyDescent="0.25">
      <c r="A750" s="90"/>
      <c r="B750" s="45"/>
      <c r="C750" s="45"/>
      <c r="D750" s="45"/>
      <c r="E750" s="107"/>
      <c r="F750" s="107"/>
      <c r="G750" s="107"/>
      <c r="H750" s="93"/>
      <c r="I750" s="64"/>
      <c r="J750" s="64"/>
      <c r="K750" s="66"/>
      <c r="L750" s="55"/>
      <c r="M750" s="46"/>
      <c r="N750" s="48"/>
      <c r="O750" s="58"/>
      <c r="P750" s="61"/>
      <c r="Q750" s="13"/>
      <c r="R750" s="41"/>
      <c r="S750" s="38"/>
      <c r="U750" s="51"/>
    </row>
    <row r="751" spans="1:21" s="7" customFormat="1" x14ac:dyDescent="0.25">
      <c r="A751" s="90"/>
      <c r="B751" s="45"/>
      <c r="C751" s="45"/>
      <c r="D751" s="45"/>
      <c r="E751" s="107"/>
      <c r="F751" s="107"/>
      <c r="G751" s="107"/>
      <c r="H751" s="93"/>
      <c r="I751" s="64"/>
      <c r="J751" s="64"/>
      <c r="K751" s="66"/>
      <c r="L751" s="55"/>
      <c r="M751" s="46"/>
      <c r="N751" s="48"/>
      <c r="O751" s="58"/>
      <c r="P751" s="61"/>
      <c r="Q751" s="13"/>
      <c r="R751" s="41"/>
      <c r="S751" s="38"/>
      <c r="U751" s="51"/>
    </row>
    <row r="752" spans="1:21" s="7" customFormat="1" x14ac:dyDescent="0.25">
      <c r="A752" s="90"/>
      <c r="B752" s="45"/>
      <c r="C752" s="45"/>
      <c r="D752" s="45"/>
      <c r="E752" s="107"/>
      <c r="F752" s="107"/>
      <c r="G752" s="107"/>
      <c r="H752" s="93"/>
      <c r="I752" s="64"/>
      <c r="J752" s="64"/>
      <c r="K752" s="66"/>
      <c r="L752" s="55"/>
      <c r="M752" s="46"/>
      <c r="N752" s="48"/>
      <c r="O752" s="58"/>
      <c r="P752" s="61"/>
      <c r="Q752" s="13"/>
      <c r="R752" s="41"/>
      <c r="S752" s="38"/>
      <c r="U752" s="51"/>
    </row>
    <row r="753" spans="1:21" s="7" customFormat="1" x14ac:dyDescent="0.25">
      <c r="A753" s="90"/>
      <c r="B753" s="45"/>
      <c r="C753" s="45"/>
      <c r="D753" s="45"/>
      <c r="E753" s="107"/>
      <c r="F753" s="107"/>
      <c r="G753" s="107"/>
      <c r="H753" s="93"/>
      <c r="I753" s="64"/>
      <c r="J753" s="64"/>
      <c r="K753" s="66"/>
      <c r="L753" s="55"/>
      <c r="M753" s="46"/>
      <c r="N753" s="48"/>
      <c r="O753" s="58"/>
      <c r="P753" s="61"/>
      <c r="Q753" s="13"/>
      <c r="R753" s="41"/>
      <c r="S753" s="38"/>
      <c r="U753" s="51"/>
    </row>
    <row r="754" spans="1:21" s="7" customFormat="1" x14ac:dyDescent="0.25">
      <c r="A754" s="90"/>
      <c r="B754" s="45"/>
      <c r="C754" s="45"/>
      <c r="D754" s="45"/>
      <c r="E754" s="107"/>
      <c r="F754" s="107"/>
      <c r="G754" s="107"/>
      <c r="H754" s="93"/>
      <c r="I754" s="64"/>
      <c r="J754" s="64"/>
      <c r="K754" s="66"/>
      <c r="L754" s="55"/>
      <c r="M754" s="46"/>
      <c r="N754" s="48"/>
      <c r="O754" s="58"/>
      <c r="P754" s="61"/>
      <c r="Q754" s="13"/>
      <c r="R754" s="41"/>
      <c r="S754" s="38"/>
      <c r="U754" s="51"/>
    </row>
    <row r="755" spans="1:21" s="7" customFormat="1" x14ac:dyDescent="0.25">
      <c r="A755" s="90"/>
      <c r="B755" s="45"/>
      <c r="C755" s="45"/>
      <c r="D755" s="45"/>
      <c r="E755" s="107"/>
      <c r="F755" s="107"/>
      <c r="G755" s="107"/>
      <c r="H755" s="93"/>
      <c r="I755" s="64"/>
      <c r="J755" s="64"/>
      <c r="K755" s="66"/>
      <c r="L755" s="55"/>
      <c r="M755" s="46"/>
      <c r="N755" s="48"/>
      <c r="O755" s="58"/>
      <c r="P755" s="61"/>
      <c r="Q755" s="13"/>
      <c r="R755" s="41"/>
      <c r="S755" s="38"/>
      <c r="U755" s="51"/>
    </row>
    <row r="756" spans="1:21" s="7" customFormat="1" x14ac:dyDescent="0.25">
      <c r="A756" s="90"/>
      <c r="B756" s="45"/>
      <c r="C756" s="45"/>
      <c r="D756" s="45"/>
      <c r="E756" s="107"/>
      <c r="F756" s="107"/>
      <c r="G756" s="107"/>
      <c r="H756" s="93"/>
      <c r="I756" s="64"/>
      <c r="J756" s="64"/>
      <c r="K756" s="66"/>
      <c r="L756" s="55"/>
      <c r="M756" s="46"/>
      <c r="N756" s="48"/>
      <c r="O756" s="58"/>
      <c r="P756" s="61"/>
      <c r="Q756" s="13"/>
      <c r="R756" s="41"/>
      <c r="S756" s="38"/>
      <c r="U756" s="51"/>
    </row>
    <row r="757" spans="1:21" s="7" customFormat="1" x14ac:dyDescent="0.25">
      <c r="A757" s="90"/>
      <c r="B757" s="45"/>
      <c r="C757" s="45"/>
      <c r="D757" s="45"/>
      <c r="E757" s="107"/>
      <c r="F757" s="107"/>
      <c r="G757" s="107"/>
      <c r="H757" s="93"/>
      <c r="I757" s="64"/>
      <c r="J757" s="64"/>
      <c r="K757" s="66"/>
      <c r="L757" s="55"/>
      <c r="M757" s="46"/>
      <c r="N757" s="48"/>
      <c r="O757" s="58"/>
      <c r="P757" s="61"/>
      <c r="Q757" s="13"/>
      <c r="R757" s="41"/>
      <c r="S757" s="38"/>
      <c r="U757" s="51"/>
    </row>
    <row r="758" spans="1:21" s="7" customFormat="1" x14ac:dyDescent="0.25">
      <c r="A758" s="90"/>
      <c r="B758" s="45"/>
      <c r="C758" s="45"/>
      <c r="D758" s="45"/>
      <c r="E758" s="107"/>
      <c r="F758" s="107"/>
      <c r="G758" s="107"/>
      <c r="H758" s="93"/>
      <c r="I758" s="64"/>
      <c r="J758" s="64"/>
      <c r="K758" s="66"/>
      <c r="L758" s="55"/>
      <c r="M758" s="46"/>
      <c r="N758" s="48"/>
      <c r="O758" s="58"/>
      <c r="P758" s="61"/>
      <c r="Q758" s="13"/>
      <c r="R758" s="41"/>
      <c r="S758" s="38"/>
      <c r="U758" s="51"/>
    </row>
    <row r="759" spans="1:21" s="7" customFormat="1" x14ac:dyDescent="0.25">
      <c r="A759" s="90"/>
      <c r="B759" s="45"/>
      <c r="C759" s="45"/>
      <c r="D759" s="45"/>
      <c r="E759" s="107"/>
      <c r="F759" s="107"/>
      <c r="G759" s="107"/>
      <c r="H759" s="93"/>
      <c r="I759" s="64"/>
      <c r="J759" s="64"/>
      <c r="K759" s="66"/>
      <c r="L759" s="55"/>
      <c r="M759" s="46"/>
      <c r="N759" s="48"/>
      <c r="O759" s="58"/>
      <c r="P759" s="61"/>
      <c r="Q759" s="13"/>
      <c r="R759" s="41"/>
      <c r="S759" s="38"/>
      <c r="U759" s="51"/>
    </row>
    <row r="760" spans="1:21" s="7" customFormat="1" x14ac:dyDescent="0.25">
      <c r="A760" s="90"/>
      <c r="B760" s="45"/>
      <c r="C760" s="45"/>
      <c r="D760" s="45"/>
      <c r="E760" s="107"/>
      <c r="F760" s="107"/>
      <c r="G760" s="107"/>
      <c r="H760" s="93"/>
      <c r="I760" s="64"/>
      <c r="J760" s="64"/>
      <c r="K760" s="66"/>
      <c r="L760" s="55"/>
      <c r="M760" s="46"/>
      <c r="N760" s="48"/>
      <c r="O760" s="58"/>
      <c r="P760" s="61"/>
      <c r="Q760" s="13"/>
      <c r="R760" s="41"/>
      <c r="S760" s="38"/>
      <c r="U760" s="51"/>
    </row>
    <row r="761" spans="1:21" s="7" customFormat="1" x14ac:dyDescent="0.25">
      <c r="A761" s="90"/>
      <c r="B761" s="45"/>
      <c r="C761" s="45"/>
      <c r="D761" s="45"/>
      <c r="E761" s="107"/>
      <c r="F761" s="107"/>
      <c r="G761" s="107"/>
      <c r="H761" s="93"/>
      <c r="I761" s="64"/>
      <c r="J761" s="64"/>
      <c r="K761" s="66"/>
      <c r="L761" s="55"/>
      <c r="M761" s="46"/>
      <c r="N761" s="48"/>
      <c r="O761" s="58"/>
      <c r="P761" s="61"/>
      <c r="Q761" s="13"/>
      <c r="R761" s="41"/>
      <c r="S761" s="38"/>
      <c r="U761" s="51"/>
    </row>
    <row r="762" spans="1:21" s="7" customFormat="1" x14ac:dyDescent="0.25">
      <c r="A762" s="90"/>
      <c r="B762" s="45"/>
      <c r="C762" s="45"/>
      <c r="D762" s="45"/>
      <c r="E762" s="107"/>
      <c r="F762" s="107"/>
      <c r="G762" s="107"/>
      <c r="H762" s="93"/>
      <c r="I762" s="64"/>
      <c r="J762" s="64"/>
      <c r="K762" s="66"/>
      <c r="L762" s="55"/>
      <c r="M762" s="46"/>
      <c r="N762" s="48"/>
      <c r="O762" s="58"/>
      <c r="P762" s="61"/>
      <c r="Q762" s="13"/>
      <c r="R762" s="41"/>
      <c r="S762" s="38"/>
      <c r="U762" s="51"/>
    </row>
    <row r="763" spans="1:21" s="7" customFormat="1" x14ac:dyDescent="0.25">
      <c r="A763" s="90"/>
      <c r="B763" s="45"/>
      <c r="C763" s="45"/>
      <c r="D763" s="45"/>
      <c r="E763" s="107"/>
      <c r="F763" s="107"/>
      <c r="G763" s="107"/>
      <c r="H763" s="93"/>
      <c r="I763" s="64"/>
      <c r="J763" s="64"/>
      <c r="K763" s="66"/>
      <c r="L763" s="55"/>
      <c r="M763" s="46"/>
      <c r="N763" s="48"/>
      <c r="O763" s="58"/>
      <c r="P763" s="61"/>
      <c r="Q763" s="13"/>
      <c r="R763" s="41"/>
      <c r="S763" s="38"/>
      <c r="U763" s="51"/>
    </row>
    <row r="764" spans="1:21" s="7" customFormat="1" x14ac:dyDescent="0.25">
      <c r="A764" s="90"/>
      <c r="B764" s="45"/>
      <c r="C764" s="45"/>
      <c r="D764" s="45"/>
      <c r="E764" s="107"/>
      <c r="F764" s="107"/>
      <c r="G764" s="107"/>
      <c r="H764" s="93"/>
      <c r="I764" s="64"/>
      <c r="J764" s="64"/>
      <c r="K764" s="66"/>
      <c r="L764" s="55"/>
      <c r="M764" s="46"/>
      <c r="N764" s="48"/>
      <c r="O764" s="58"/>
      <c r="P764" s="61"/>
      <c r="Q764" s="13"/>
      <c r="R764" s="41"/>
      <c r="S764" s="38"/>
      <c r="U764" s="51"/>
    </row>
    <row r="765" spans="1:21" s="7" customFormat="1" x14ac:dyDescent="0.25">
      <c r="A765" s="90"/>
      <c r="B765" s="45"/>
      <c r="C765" s="45"/>
      <c r="D765" s="45"/>
      <c r="E765" s="107"/>
      <c r="F765" s="107"/>
      <c r="G765" s="107"/>
      <c r="H765" s="93"/>
      <c r="I765" s="64"/>
      <c r="J765" s="64"/>
      <c r="K765" s="66"/>
      <c r="L765" s="55"/>
      <c r="M765" s="46"/>
      <c r="N765" s="48"/>
      <c r="O765" s="58"/>
      <c r="P765" s="61"/>
      <c r="Q765" s="13"/>
      <c r="R765" s="41"/>
      <c r="S765" s="38"/>
      <c r="U765" s="51"/>
    </row>
    <row r="766" spans="1:21" s="7" customFormat="1" x14ac:dyDescent="0.25">
      <c r="A766" s="90"/>
      <c r="B766" s="45"/>
      <c r="C766" s="45"/>
      <c r="D766" s="45"/>
      <c r="E766" s="107"/>
      <c r="F766" s="107"/>
      <c r="G766" s="107"/>
      <c r="H766" s="93"/>
      <c r="I766" s="64"/>
      <c r="J766" s="64"/>
      <c r="K766" s="66"/>
      <c r="L766" s="55"/>
      <c r="M766" s="46"/>
      <c r="N766" s="48"/>
      <c r="O766" s="58"/>
      <c r="P766" s="61"/>
      <c r="Q766" s="13"/>
      <c r="R766" s="41"/>
      <c r="S766" s="38"/>
      <c r="U766" s="51"/>
    </row>
    <row r="767" spans="1:21" s="7" customFormat="1" x14ac:dyDescent="0.25">
      <c r="A767" s="90"/>
      <c r="B767" s="45"/>
      <c r="C767" s="45"/>
      <c r="D767" s="45"/>
      <c r="E767" s="107"/>
      <c r="F767" s="107"/>
      <c r="G767" s="107"/>
      <c r="H767" s="93"/>
      <c r="I767" s="64"/>
      <c r="J767" s="64"/>
      <c r="K767" s="66"/>
      <c r="L767" s="55"/>
      <c r="M767" s="46"/>
      <c r="N767" s="48"/>
      <c r="O767" s="58"/>
      <c r="P767" s="61"/>
      <c r="Q767" s="13"/>
      <c r="R767" s="41"/>
      <c r="S767" s="38"/>
      <c r="U767" s="51"/>
    </row>
    <row r="768" spans="1:21" s="7" customFormat="1" x14ac:dyDescent="0.25">
      <c r="A768" s="90"/>
      <c r="B768" s="45"/>
      <c r="C768" s="45"/>
      <c r="D768" s="45"/>
      <c r="E768" s="107"/>
      <c r="F768" s="107"/>
      <c r="G768" s="107"/>
      <c r="H768" s="93"/>
      <c r="I768" s="64"/>
      <c r="J768" s="64"/>
      <c r="K768" s="66"/>
      <c r="L768" s="55"/>
      <c r="M768" s="46"/>
      <c r="N768" s="48"/>
      <c r="O768" s="58"/>
      <c r="P768" s="61"/>
      <c r="Q768" s="13"/>
      <c r="R768" s="41"/>
      <c r="S768" s="38"/>
      <c r="U768" s="51"/>
    </row>
    <row r="769" spans="1:21" s="7" customFormat="1" x14ac:dyDescent="0.25">
      <c r="A769" s="90"/>
      <c r="B769" s="45"/>
      <c r="C769" s="45"/>
      <c r="D769" s="45"/>
      <c r="E769" s="107"/>
      <c r="F769" s="107"/>
      <c r="G769" s="107"/>
      <c r="H769" s="93"/>
      <c r="I769" s="64"/>
      <c r="J769" s="64"/>
      <c r="K769" s="66"/>
      <c r="L769" s="55"/>
      <c r="M769" s="46"/>
      <c r="N769" s="48"/>
      <c r="O769" s="58"/>
      <c r="P769" s="61"/>
      <c r="Q769" s="13"/>
      <c r="R769" s="41"/>
      <c r="S769" s="38"/>
      <c r="U769" s="51"/>
    </row>
    <row r="770" spans="1:21" s="7" customFormat="1" x14ac:dyDescent="0.25">
      <c r="A770" s="90"/>
      <c r="B770" s="45"/>
      <c r="C770" s="45"/>
      <c r="D770" s="45"/>
      <c r="E770" s="107"/>
      <c r="F770" s="107"/>
      <c r="G770" s="107"/>
      <c r="H770" s="93"/>
      <c r="I770" s="64"/>
      <c r="J770" s="64"/>
      <c r="K770" s="66"/>
      <c r="L770" s="55"/>
      <c r="M770" s="46"/>
      <c r="N770" s="48"/>
      <c r="O770" s="58"/>
      <c r="P770" s="61"/>
      <c r="Q770" s="13"/>
      <c r="R770" s="41"/>
      <c r="S770" s="38"/>
      <c r="U770" s="51"/>
    </row>
    <row r="771" spans="1:21" s="7" customFormat="1" x14ac:dyDescent="0.25">
      <c r="A771" s="90"/>
      <c r="B771" s="45"/>
      <c r="C771" s="45"/>
      <c r="D771" s="45"/>
      <c r="E771" s="107"/>
      <c r="F771" s="107"/>
      <c r="G771" s="107"/>
      <c r="H771" s="93"/>
      <c r="I771" s="64"/>
      <c r="J771" s="64"/>
      <c r="K771" s="66"/>
      <c r="L771" s="55"/>
      <c r="M771" s="46"/>
      <c r="N771" s="48"/>
      <c r="O771" s="58"/>
      <c r="P771" s="61"/>
      <c r="Q771" s="13"/>
      <c r="R771" s="41"/>
      <c r="S771" s="38"/>
      <c r="U771" s="51"/>
    </row>
    <row r="772" spans="1:21" s="7" customFormat="1" x14ac:dyDescent="0.25">
      <c r="A772" s="90"/>
      <c r="B772" s="45"/>
      <c r="C772" s="45"/>
      <c r="D772" s="45"/>
      <c r="E772" s="107"/>
      <c r="F772" s="107"/>
      <c r="G772" s="107"/>
      <c r="H772" s="93"/>
      <c r="I772" s="64"/>
      <c r="J772" s="64"/>
      <c r="K772" s="66"/>
      <c r="L772" s="55"/>
      <c r="M772" s="46"/>
      <c r="N772" s="48"/>
      <c r="O772" s="58"/>
      <c r="P772" s="61"/>
      <c r="Q772" s="13"/>
      <c r="R772" s="41"/>
      <c r="S772" s="38"/>
      <c r="U772" s="51"/>
    </row>
    <row r="773" spans="1:21" s="7" customFormat="1" x14ac:dyDescent="0.25">
      <c r="A773" s="90"/>
      <c r="B773" s="45"/>
      <c r="C773" s="45"/>
      <c r="D773" s="45"/>
      <c r="E773" s="107"/>
      <c r="F773" s="107"/>
      <c r="G773" s="107"/>
      <c r="H773" s="93"/>
      <c r="I773" s="64"/>
      <c r="J773" s="64"/>
      <c r="K773" s="66"/>
      <c r="L773" s="55"/>
      <c r="M773" s="46"/>
      <c r="N773" s="48"/>
      <c r="O773" s="58"/>
      <c r="P773" s="61"/>
      <c r="Q773" s="13"/>
      <c r="R773" s="41"/>
      <c r="S773" s="38"/>
      <c r="U773" s="51"/>
    </row>
    <row r="774" spans="1:21" s="7" customFormat="1" x14ac:dyDescent="0.25">
      <c r="A774" s="90"/>
      <c r="B774" s="45"/>
      <c r="C774" s="45"/>
      <c r="D774" s="45"/>
      <c r="E774" s="107"/>
      <c r="F774" s="107"/>
      <c r="G774" s="107"/>
      <c r="H774" s="93"/>
      <c r="I774" s="64"/>
      <c r="J774" s="64"/>
      <c r="K774" s="66"/>
      <c r="L774" s="55"/>
      <c r="M774" s="46"/>
      <c r="N774" s="48"/>
      <c r="O774" s="58"/>
      <c r="P774" s="61"/>
      <c r="Q774" s="13"/>
      <c r="R774" s="41"/>
      <c r="S774" s="38"/>
      <c r="U774" s="51"/>
    </row>
    <row r="775" spans="1:21" s="7" customFormat="1" x14ac:dyDescent="0.25">
      <c r="A775" s="90"/>
      <c r="B775" s="45"/>
      <c r="C775" s="45"/>
      <c r="D775" s="45"/>
      <c r="E775" s="107"/>
      <c r="F775" s="107"/>
      <c r="G775" s="107"/>
      <c r="H775" s="93"/>
      <c r="I775" s="64"/>
      <c r="J775" s="64"/>
      <c r="K775" s="66"/>
      <c r="L775" s="55"/>
      <c r="M775" s="46"/>
      <c r="N775" s="48"/>
      <c r="O775" s="58"/>
      <c r="P775" s="61"/>
      <c r="Q775" s="13"/>
      <c r="R775" s="41"/>
      <c r="S775" s="38"/>
      <c r="U775" s="51"/>
    </row>
    <row r="776" spans="1:21" s="7" customFormat="1" x14ac:dyDescent="0.25">
      <c r="A776" s="90"/>
      <c r="B776" s="45"/>
      <c r="C776" s="45"/>
      <c r="D776" s="45"/>
      <c r="E776" s="107"/>
      <c r="F776" s="107"/>
      <c r="G776" s="107"/>
      <c r="H776" s="93"/>
      <c r="I776" s="64"/>
      <c r="J776" s="64"/>
      <c r="K776" s="66"/>
      <c r="L776" s="55"/>
      <c r="M776" s="46"/>
      <c r="N776" s="48"/>
      <c r="O776" s="58"/>
      <c r="P776" s="61"/>
      <c r="Q776" s="13"/>
      <c r="R776" s="41"/>
      <c r="S776" s="38"/>
      <c r="U776" s="51"/>
    </row>
    <row r="777" spans="1:21" s="7" customFormat="1" x14ac:dyDescent="0.25">
      <c r="A777" s="90"/>
      <c r="B777" s="45"/>
      <c r="C777" s="45"/>
      <c r="D777" s="45"/>
      <c r="E777" s="107"/>
      <c r="F777" s="107"/>
      <c r="G777" s="107"/>
      <c r="H777" s="93"/>
      <c r="I777" s="64"/>
      <c r="J777" s="64"/>
      <c r="K777" s="66"/>
      <c r="L777" s="55"/>
      <c r="M777" s="46"/>
      <c r="N777" s="48"/>
      <c r="O777" s="58"/>
      <c r="P777" s="61"/>
      <c r="Q777" s="13"/>
      <c r="R777" s="41"/>
      <c r="S777" s="38"/>
      <c r="U777" s="51"/>
    </row>
    <row r="778" spans="1:21" s="7" customFormat="1" x14ac:dyDescent="0.25">
      <c r="A778" s="88"/>
      <c r="B778" s="39"/>
      <c r="C778" s="45"/>
      <c r="D778" s="39"/>
      <c r="E778" s="108"/>
      <c r="F778" s="108"/>
      <c r="G778" s="108"/>
      <c r="H778" s="94"/>
      <c r="I778" s="65"/>
      <c r="J778" s="65"/>
      <c r="K778" s="67"/>
      <c r="L778" s="55"/>
      <c r="M778" s="46"/>
      <c r="N778" s="48"/>
      <c r="O778" s="58"/>
      <c r="P778" s="61"/>
      <c r="Q778" s="13"/>
      <c r="R778" s="41"/>
      <c r="S778" s="38"/>
      <c r="U778" s="51"/>
    </row>
    <row r="779" spans="1:21" s="7" customFormat="1" x14ac:dyDescent="0.25">
      <c r="A779" s="88"/>
      <c r="B779" s="39"/>
      <c r="C779" s="45"/>
      <c r="D779" s="39"/>
      <c r="E779" s="108"/>
      <c r="F779" s="108"/>
      <c r="G779" s="108"/>
      <c r="H779" s="94"/>
      <c r="I779" s="65"/>
      <c r="J779" s="65"/>
      <c r="K779" s="67"/>
      <c r="L779" s="55"/>
      <c r="M779" s="46"/>
      <c r="N779" s="48"/>
      <c r="O779" s="58"/>
      <c r="P779" s="61"/>
      <c r="Q779" s="13"/>
      <c r="R779" s="41"/>
      <c r="S779" s="38"/>
      <c r="U779" s="51"/>
    </row>
    <row r="780" spans="1:21" s="7" customFormat="1" x14ac:dyDescent="0.25">
      <c r="A780" s="88"/>
      <c r="B780" s="39"/>
      <c r="C780" s="45"/>
      <c r="D780" s="39"/>
      <c r="E780" s="108"/>
      <c r="F780" s="108"/>
      <c r="G780" s="108"/>
      <c r="H780" s="94"/>
      <c r="I780" s="65"/>
      <c r="J780" s="65"/>
      <c r="K780" s="67"/>
      <c r="L780" s="55"/>
      <c r="M780" s="46"/>
      <c r="N780" s="48"/>
      <c r="O780" s="58"/>
      <c r="P780" s="61"/>
      <c r="Q780" s="13"/>
      <c r="R780" s="41"/>
      <c r="S780" s="38"/>
      <c r="U780" s="51"/>
    </row>
    <row r="781" spans="1:21" s="7" customFormat="1" x14ac:dyDescent="0.25">
      <c r="A781" s="88"/>
      <c r="B781" s="39"/>
      <c r="C781" s="45"/>
      <c r="D781" s="39"/>
      <c r="E781" s="108"/>
      <c r="F781" s="108"/>
      <c r="G781" s="108"/>
      <c r="H781" s="94"/>
      <c r="I781" s="65"/>
      <c r="J781" s="65"/>
      <c r="K781" s="67"/>
      <c r="L781" s="55"/>
      <c r="M781" s="46"/>
      <c r="N781" s="48"/>
      <c r="O781" s="58"/>
      <c r="P781" s="61"/>
      <c r="Q781" s="13"/>
      <c r="R781" s="41"/>
      <c r="S781" s="38"/>
      <c r="U781" s="51"/>
    </row>
    <row r="782" spans="1:21" s="7" customFormat="1" x14ac:dyDescent="0.25">
      <c r="A782" s="88"/>
      <c r="B782" s="39"/>
      <c r="C782" s="45"/>
      <c r="D782" s="39"/>
      <c r="E782" s="108"/>
      <c r="F782" s="108"/>
      <c r="G782" s="108"/>
      <c r="H782" s="94"/>
      <c r="I782" s="65"/>
      <c r="J782" s="65"/>
      <c r="K782" s="67"/>
      <c r="L782" s="55"/>
      <c r="M782" s="46"/>
      <c r="N782" s="48"/>
      <c r="O782" s="58"/>
      <c r="P782" s="61"/>
      <c r="Q782" s="13"/>
      <c r="R782" s="41"/>
      <c r="S782" s="38"/>
      <c r="U782" s="51"/>
    </row>
    <row r="783" spans="1:21" s="7" customFormat="1" x14ac:dyDescent="0.25">
      <c r="A783" s="88"/>
      <c r="B783" s="39"/>
      <c r="C783" s="45"/>
      <c r="D783" s="39"/>
      <c r="E783" s="108"/>
      <c r="F783" s="108"/>
      <c r="G783" s="108"/>
      <c r="H783" s="94"/>
      <c r="I783" s="65"/>
      <c r="J783" s="65"/>
      <c r="K783" s="67"/>
      <c r="L783" s="55"/>
      <c r="M783" s="46"/>
      <c r="N783" s="48"/>
      <c r="O783" s="58"/>
      <c r="P783" s="61"/>
      <c r="Q783" s="13"/>
      <c r="R783" s="41"/>
      <c r="S783" s="38"/>
      <c r="U783" s="51"/>
    </row>
    <row r="784" spans="1:21" s="7" customFormat="1" x14ac:dyDescent="0.25">
      <c r="A784" s="90"/>
      <c r="B784" s="45"/>
      <c r="C784" s="45"/>
      <c r="D784" s="45"/>
      <c r="E784" s="107"/>
      <c r="F784" s="107"/>
      <c r="G784" s="107"/>
      <c r="H784" s="93"/>
      <c r="I784" s="64"/>
      <c r="J784" s="64"/>
      <c r="K784" s="66"/>
      <c r="L784" s="55"/>
      <c r="M784" s="46"/>
      <c r="N784" s="48"/>
      <c r="O784" s="58"/>
      <c r="P784" s="61"/>
      <c r="Q784" s="13"/>
      <c r="R784" s="41"/>
      <c r="S784" s="38"/>
      <c r="U784" s="51"/>
    </row>
    <row r="785" spans="1:21" s="7" customFormat="1" x14ac:dyDescent="0.25">
      <c r="A785" s="90"/>
      <c r="B785" s="45"/>
      <c r="C785" s="45"/>
      <c r="D785" s="45"/>
      <c r="E785" s="107"/>
      <c r="F785" s="107"/>
      <c r="G785" s="107"/>
      <c r="H785" s="93"/>
      <c r="I785" s="64"/>
      <c r="J785" s="64"/>
      <c r="K785" s="66"/>
      <c r="L785" s="55"/>
      <c r="M785" s="46"/>
      <c r="N785" s="48"/>
      <c r="O785" s="58"/>
      <c r="P785" s="61"/>
      <c r="Q785" s="13"/>
      <c r="R785" s="41"/>
      <c r="S785" s="38"/>
      <c r="U785" s="51"/>
    </row>
    <row r="786" spans="1:21" s="7" customFormat="1" x14ac:dyDescent="0.25">
      <c r="A786" s="90"/>
      <c r="B786" s="45"/>
      <c r="C786" s="45"/>
      <c r="D786" s="45"/>
      <c r="E786" s="107"/>
      <c r="F786" s="107"/>
      <c r="G786" s="107"/>
      <c r="H786" s="93"/>
      <c r="I786" s="64"/>
      <c r="J786" s="64"/>
      <c r="K786" s="66"/>
      <c r="L786" s="55"/>
      <c r="M786" s="46"/>
      <c r="N786" s="48"/>
      <c r="O786" s="58"/>
      <c r="P786" s="61"/>
      <c r="Q786" s="13"/>
      <c r="R786" s="41"/>
      <c r="S786" s="38"/>
      <c r="U786" s="51"/>
    </row>
    <row r="787" spans="1:21" s="7" customFormat="1" x14ac:dyDescent="0.25">
      <c r="A787" s="90"/>
      <c r="B787" s="45"/>
      <c r="C787" s="45"/>
      <c r="D787" s="45"/>
      <c r="E787" s="107"/>
      <c r="F787" s="107"/>
      <c r="G787" s="107"/>
      <c r="H787" s="93"/>
      <c r="I787" s="64"/>
      <c r="J787" s="64"/>
      <c r="K787" s="66"/>
      <c r="L787" s="55"/>
      <c r="M787" s="46"/>
      <c r="N787" s="48"/>
      <c r="O787" s="58"/>
      <c r="P787" s="61"/>
      <c r="Q787" s="13"/>
      <c r="R787" s="41"/>
      <c r="S787" s="38"/>
      <c r="U787" s="51"/>
    </row>
    <row r="788" spans="1:21" s="7" customFormat="1" x14ac:dyDescent="0.25">
      <c r="A788" s="90"/>
      <c r="B788" s="45"/>
      <c r="C788" s="45"/>
      <c r="D788" s="45"/>
      <c r="E788" s="107"/>
      <c r="F788" s="107"/>
      <c r="G788" s="107"/>
      <c r="H788" s="93"/>
      <c r="I788" s="64"/>
      <c r="J788" s="64"/>
      <c r="K788" s="66"/>
      <c r="L788" s="55"/>
      <c r="M788" s="46"/>
      <c r="N788" s="48"/>
      <c r="O788" s="58"/>
      <c r="P788" s="61"/>
      <c r="Q788" s="13"/>
      <c r="R788" s="41"/>
      <c r="S788" s="38"/>
      <c r="U788" s="51"/>
    </row>
    <row r="789" spans="1:21" s="7" customFormat="1" x14ac:dyDescent="0.25">
      <c r="A789" s="88"/>
      <c r="B789" s="39"/>
      <c r="C789" s="45"/>
      <c r="D789" s="39"/>
      <c r="E789" s="108"/>
      <c r="F789" s="108"/>
      <c r="G789" s="108"/>
      <c r="H789" s="94"/>
      <c r="I789" s="65"/>
      <c r="J789" s="65"/>
      <c r="K789" s="67"/>
      <c r="L789" s="55"/>
      <c r="M789" s="46"/>
      <c r="N789" s="48"/>
      <c r="O789" s="58"/>
      <c r="P789" s="61"/>
      <c r="Q789" s="13"/>
      <c r="R789" s="41"/>
      <c r="S789" s="38"/>
      <c r="U789" s="51"/>
    </row>
    <row r="790" spans="1:21" s="7" customFormat="1" x14ac:dyDescent="0.25">
      <c r="A790" s="88"/>
      <c r="B790" s="39"/>
      <c r="C790" s="45"/>
      <c r="D790" s="39"/>
      <c r="E790" s="108"/>
      <c r="F790" s="108"/>
      <c r="G790" s="108"/>
      <c r="H790" s="94"/>
      <c r="I790" s="65"/>
      <c r="J790" s="65"/>
      <c r="K790" s="67"/>
      <c r="L790" s="55"/>
      <c r="M790" s="46"/>
      <c r="N790" s="48"/>
      <c r="O790" s="58"/>
      <c r="P790" s="61"/>
      <c r="Q790" s="13"/>
      <c r="R790" s="41"/>
      <c r="S790" s="38"/>
      <c r="U790" s="51"/>
    </row>
    <row r="791" spans="1:21" s="7" customFormat="1" x14ac:dyDescent="0.25">
      <c r="A791" s="88"/>
      <c r="B791" s="39"/>
      <c r="C791" s="45"/>
      <c r="D791" s="39"/>
      <c r="E791" s="108"/>
      <c r="F791" s="108"/>
      <c r="G791" s="108"/>
      <c r="H791" s="94"/>
      <c r="I791" s="65"/>
      <c r="J791" s="65"/>
      <c r="K791" s="67"/>
      <c r="L791" s="55"/>
      <c r="M791" s="46"/>
      <c r="N791" s="48"/>
      <c r="O791" s="58"/>
      <c r="P791" s="61"/>
      <c r="Q791" s="13"/>
      <c r="R791" s="41"/>
      <c r="S791" s="38"/>
      <c r="U791" s="51"/>
    </row>
    <row r="792" spans="1:21" s="7" customFormat="1" x14ac:dyDescent="0.25">
      <c r="A792" s="88"/>
      <c r="B792" s="39"/>
      <c r="C792" s="45"/>
      <c r="D792" s="39"/>
      <c r="E792" s="108"/>
      <c r="F792" s="108"/>
      <c r="G792" s="108"/>
      <c r="H792" s="94"/>
      <c r="I792" s="65"/>
      <c r="J792" s="65"/>
      <c r="K792" s="67"/>
      <c r="L792" s="55"/>
      <c r="M792" s="46"/>
      <c r="N792" s="48"/>
      <c r="O792" s="58"/>
      <c r="P792" s="61"/>
      <c r="Q792" s="13"/>
      <c r="R792" s="41"/>
      <c r="S792" s="38"/>
      <c r="U792" s="51"/>
    </row>
    <row r="793" spans="1:21" s="7" customFormat="1" x14ac:dyDescent="0.25">
      <c r="A793" s="90"/>
      <c r="B793" s="45"/>
      <c r="C793" s="45"/>
      <c r="D793" s="45"/>
      <c r="E793" s="107"/>
      <c r="F793" s="107"/>
      <c r="G793" s="107"/>
      <c r="H793" s="93"/>
      <c r="I793" s="64"/>
      <c r="J793" s="64"/>
      <c r="K793" s="66"/>
      <c r="L793" s="55"/>
      <c r="M793" s="46"/>
      <c r="N793" s="48"/>
      <c r="O793" s="58"/>
      <c r="P793" s="61"/>
      <c r="Q793" s="13"/>
      <c r="R793" s="41"/>
      <c r="S793" s="38"/>
      <c r="U793" s="51"/>
    </row>
    <row r="794" spans="1:21" s="7" customFormat="1" x14ac:dyDescent="0.25">
      <c r="A794" s="90"/>
      <c r="B794" s="45"/>
      <c r="C794" s="45"/>
      <c r="D794" s="45"/>
      <c r="E794" s="107"/>
      <c r="F794" s="107"/>
      <c r="G794" s="107"/>
      <c r="H794" s="93"/>
      <c r="I794" s="64"/>
      <c r="J794" s="64"/>
      <c r="K794" s="66"/>
      <c r="L794" s="55"/>
      <c r="M794" s="46"/>
      <c r="N794" s="48"/>
      <c r="O794" s="58"/>
      <c r="P794" s="61"/>
      <c r="Q794" s="13"/>
      <c r="R794" s="41"/>
      <c r="S794" s="38"/>
      <c r="U794" s="51"/>
    </row>
    <row r="795" spans="1:21" s="7" customFormat="1" x14ac:dyDescent="0.25">
      <c r="A795" s="88"/>
      <c r="B795" s="39"/>
      <c r="C795" s="45"/>
      <c r="D795" s="39"/>
      <c r="E795" s="108"/>
      <c r="F795" s="108"/>
      <c r="G795" s="108"/>
      <c r="H795" s="94"/>
      <c r="I795" s="65"/>
      <c r="J795" s="65"/>
      <c r="K795" s="67"/>
      <c r="L795" s="55"/>
      <c r="M795" s="46"/>
      <c r="N795" s="48"/>
      <c r="O795" s="58"/>
      <c r="P795" s="61"/>
      <c r="Q795" s="13"/>
      <c r="R795" s="41"/>
      <c r="S795" s="38"/>
      <c r="U795" s="51"/>
    </row>
    <row r="796" spans="1:21" s="7" customFormat="1" x14ac:dyDescent="0.25">
      <c r="A796" s="88"/>
      <c r="B796" s="39"/>
      <c r="C796" s="45"/>
      <c r="D796" s="39"/>
      <c r="E796" s="108"/>
      <c r="F796" s="108"/>
      <c r="G796" s="108"/>
      <c r="H796" s="94"/>
      <c r="I796" s="65"/>
      <c r="J796" s="65"/>
      <c r="K796" s="67"/>
      <c r="L796" s="55"/>
      <c r="M796" s="46"/>
      <c r="N796" s="48"/>
      <c r="O796" s="58"/>
      <c r="P796" s="61"/>
      <c r="Q796" s="13"/>
      <c r="R796" s="41"/>
      <c r="S796" s="38"/>
      <c r="U796" s="51"/>
    </row>
    <row r="797" spans="1:21" s="7" customFormat="1" x14ac:dyDescent="0.25">
      <c r="A797" s="88"/>
      <c r="B797" s="39"/>
      <c r="C797" s="45"/>
      <c r="D797" s="39"/>
      <c r="E797" s="108"/>
      <c r="F797" s="108"/>
      <c r="G797" s="108"/>
      <c r="H797" s="94"/>
      <c r="I797" s="65"/>
      <c r="J797" s="65"/>
      <c r="K797" s="67"/>
      <c r="L797" s="55"/>
      <c r="M797" s="46"/>
      <c r="N797" s="48"/>
      <c r="O797" s="58"/>
      <c r="P797" s="61"/>
      <c r="Q797" s="13"/>
      <c r="R797" s="41"/>
      <c r="S797" s="38"/>
      <c r="U797" s="51"/>
    </row>
    <row r="798" spans="1:21" s="7" customFormat="1" x14ac:dyDescent="0.25">
      <c r="A798" s="88"/>
      <c r="B798" s="39"/>
      <c r="C798" s="45"/>
      <c r="D798" s="39"/>
      <c r="E798" s="108"/>
      <c r="F798" s="108"/>
      <c r="G798" s="108"/>
      <c r="H798" s="94"/>
      <c r="I798" s="65"/>
      <c r="J798" s="65"/>
      <c r="K798" s="67"/>
      <c r="L798" s="55"/>
      <c r="M798" s="46"/>
      <c r="N798" s="48"/>
      <c r="O798" s="58"/>
      <c r="P798" s="61"/>
      <c r="Q798" s="13"/>
      <c r="R798" s="41"/>
      <c r="S798" s="38"/>
      <c r="U798" s="51"/>
    </row>
    <row r="799" spans="1:21" s="7" customFormat="1" x14ac:dyDescent="0.25">
      <c r="A799" s="88"/>
      <c r="B799" s="39"/>
      <c r="C799" s="45"/>
      <c r="D799" s="39"/>
      <c r="E799" s="108"/>
      <c r="F799" s="108"/>
      <c r="G799" s="108"/>
      <c r="H799" s="94"/>
      <c r="I799" s="65"/>
      <c r="J799" s="65"/>
      <c r="K799" s="67"/>
      <c r="L799" s="55"/>
      <c r="M799" s="46"/>
      <c r="N799" s="48"/>
      <c r="O799" s="58"/>
      <c r="P799" s="61"/>
      <c r="Q799" s="13"/>
      <c r="R799" s="41"/>
      <c r="S799" s="38"/>
      <c r="U799" s="51"/>
    </row>
    <row r="800" spans="1:21" s="7" customFormat="1" x14ac:dyDescent="0.25">
      <c r="A800" s="88"/>
      <c r="B800" s="39"/>
      <c r="C800" s="45"/>
      <c r="D800" s="39"/>
      <c r="E800" s="108"/>
      <c r="F800" s="108"/>
      <c r="G800" s="108"/>
      <c r="H800" s="94"/>
      <c r="I800" s="65"/>
      <c r="J800" s="65"/>
      <c r="K800" s="67"/>
      <c r="L800" s="55"/>
      <c r="M800" s="46"/>
      <c r="N800" s="48"/>
      <c r="O800" s="58"/>
      <c r="P800" s="61"/>
      <c r="Q800" s="13"/>
      <c r="R800" s="41"/>
      <c r="S800" s="38"/>
      <c r="U800" s="51"/>
    </row>
    <row r="801" spans="1:21" s="7" customFormat="1" x14ac:dyDescent="0.25">
      <c r="A801" s="90"/>
      <c r="B801" s="45"/>
      <c r="C801" s="45"/>
      <c r="D801" s="45"/>
      <c r="E801" s="107"/>
      <c r="F801" s="107"/>
      <c r="G801" s="107"/>
      <c r="H801" s="93"/>
      <c r="I801" s="64"/>
      <c r="J801" s="64"/>
      <c r="K801" s="66"/>
      <c r="L801" s="55"/>
      <c r="M801" s="46"/>
      <c r="N801" s="48"/>
      <c r="O801" s="58"/>
      <c r="P801" s="61"/>
      <c r="Q801" s="13"/>
      <c r="R801" s="41"/>
      <c r="S801" s="38"/>
      <c r="U801" s="51"/>
    </row>
    <row r="802" spans="1:21" s="7" customFormat="1" x14ac:dyDescent="0.25">
      <c r="A802" s="90"/>
      <c r="B802" s="45"/>
      <c r="C802" s="45"/>
      <c r="D802" s="45"/>
      <c r="E802" s="107"/>
      <c r="F802" s="107"/>
      <c r="G802" s="107"/>
      <c r="H802" s="93"/>
      <c r="I802" s="64"/>
      <c r="J802" s="64"/>
      <c r="K802" s="66"/>
      <c r="L802" s="55"/>
      <c r="M802" s="46"/>
      <c r="N802" s="48"/>
      <c r="O802" s="58"/>
      <c r="P802" s="61"/>
      <c r="Q802" s="13"/>
      <c r="R802" s="41"/>
      <c r="S802" s="38"/>
      <c r="U802" s="51"/>
    </row>
    <row r="803" spans="1:21" s="7" customFormat="1" x14ac:dyDescent="0.25">
      <c r="A803" s="90"/>
      <c r="B803" s="45"/>
      <c r="C803" s="45"/>
      <c r="D803" s="45"/>
      <c r="E803" s="107"/>
      <c r="F803" s="107"/>
      <c r="G803" s="107"/>
      <c r="H803" s="93"/>
      <c r="I803" s="64"/>
      <c r="J803" s="64"/>
      <c r="K803" s="66"/>
      <c r="L803" s="55"/>
      <c r="M803" s="46"/>
      <c r="N803" s="48"/>
      <c r="O803" s="58"/>
      <c r="P803" s="61"/>
      <c r="Q803" s="13"/>
      <c r="R803" s="41"/>
      <c r="S803" s="38"/>
      <c r="U803" s="51"/>
    </row>
    <row r="804" spans="1:21" s="7" customFormat="1" x14ac:dyDescent="0.25">
      <c r="A804" s="90"/>
      <c r="B804" s="45"/>
      <c r="C804" s="45"/>
      <c r="D804" s="45"/>
      <c r="E804" s="107"/>
      <c r="F804" s="107"/>
      <c r="G804" s="107"/>
      <c r="H804" s="93"/>
      <c r="I804" s="64"/>
      <c r="J804" s="64"/>
      <c r="K804" s="66"/>
      <c r="L804" s="55"/>
      <c r="M804" s="46"/>
      <c r="N804" s="48"/>
      <c r="O804" s="58"/>
      <c r="P804" s="61"/>
      <c r="Q804" s="13"/>
      <c r="R804" s="41"/>
      <c r="S804" s="38"/>
      <c r="U804" s="51"/>
    </row>
    <row r="805" spans="1:21" s="7" customFormat="1" x14ac:dyDescent="0.25">
      <c r="A805" s="90"/>
      <c r="B805" s="45"/>
      <c r="C805" s="45"/>
      <c r="D805" s="45"/>
      <c r="E805" s="107"/>
      <c r="F805" s="107"/>
      <c r="G805" s="107"/>
      <c r="H805" s="93"/>
      <c r="I805" s="64"/>
      <c r="J805" s="64"/>
      <c r="K805" s="66"/>
      <c r="L805" s="55"/>
      <c r="M805" s="46"/>
      <c r="N805" s="48"/>
      <c r="O805" s="58"/>
      <c r="P805" s="61"/>
      <c r="Q805" s="13"/>
      <c r="R805" s="41"/>
      <c r="S805" s="38"/>
      <c r="U805" s="51"/>
    </row>
    <row r="806" spans="1:21" s="7" customFormat="1" x14ac:dyDescent="0.25">
      <c r="A806" s="88"/>
      <c r="B806" s="39"/>
      <c r="C806" s="45"/>
      <c r="D806" s="39"/>
      <c r="E806" s="108"/>
      <c r="F806" s="108"/>
      <c r="G806" s="108"/>
      <c r="H806" s="94"/>
      <c r="I806" s="65"/>
      <c r="J806" s="65"/>
      <c r="K806" s="67"/>
      <c r="L806" s="55"/>
      <c r="M806" s="46"/>
      <c r="N806" s="48"/>
      <c r="O806" s="58"/>
      <c r="P806" s="61"/>
      <c r="Q806" s="13"/>
      <c r="R806" s="41"/>
      <c r="S806" s="38"/>
      <c r="U806" s="51"/>
    </row>
    <row r="807" spans="1:21" s="7" customFormat="1" x14ac:dyDescent="0.25">
      <c r="A807" s="88"/>
      <c r="B807" s="39"/>
      <c r="C807" s="45"/>
      <c r="D807" s="39"/>
      <c r="E807" s="108"/>
      <c r="F807" s="108"/>
      <c r="G807" s="108"/>
      <c r="H807" s="94"/>
      <c r="I807" s="65"/>
      <c r="J807" s="65"/>
      <c r="K807" s="67"/>
      <c r="L807" s="55"/>
      <c r="M807" s="46"/>
      <c r="N807" s="48"/>
      <c r="O807" s="58"/>
      <c r="P807" s="61"/>
      <c r="Q807" s="13"/>
      <c r="R807" s="41"/>
      <c r="S807" s="38"/>
      <c r="U807" s="51"/>
    </row>
    <row r="808" spans="1:21" s="7" customFormat="1" x14ac:dyDescent="0.25">
      <c r="A808" s="88"/>
      <c r="B808" s="39"/>
      <c r="C808" s="45"/>
      <c r="D808" s="39"/>
      <c r="E808" s="108"/>
      <c r="F808" s="108"/>
      <c r="G808" s="108"/>
      <c r="H808" s="94"/>
      <c r="I808" s="65"/>
      <c r="J808" s="65"/>
      <c r="K808" s="67"/>
      <c r="L808" s="55"/>
      <c r="M808" s="46"/>
      <c r="N808" s="48"/>
      <c r="O808" s="58"/>
      <c r="P808" s="61"/>
      <c r="Q808" s="13"/>
      <c r="R808" s="41"/>
      <c r="S808" s="38"/>
      <c r="U808" s="51"/>
    </row>
    <row r="809" spans="1:21" s="7" customFormat="1" x14ac:dyDescent="0.25">
      <c r="A809" s="88"/>
      <c r="B809" s="39"/>
      <c r="C809" s="45"/>
      <c r="D809" s="39"/>
      <c r="E809" s="108"/>
      <c r="F809" s="108"/>
      <c r="G809" s="108"/>
      <c r="H809" s="94"/>
      <c r="I809" s="65"/>
      <c r="J809" s="65"/>
      <c r="K809" s="67"/>
      <c r="L809" s="55"/>
      <c r="M809" s="46"/>
      <c r="N809" s="48"/>
      <c r="O809" s="58"/>
      <c r="P809" s="61"/>
      <c r="Q809" s="13"/>
      <c r="R809" s="41"/>
      <c r="S809" s="38"/>
      <c r="U809" s="51"/>
    </row>
    <row r="810" spans="1:21" s="7" customFormat="1" x14ac:dyDescent="0.25">
      <c r="A810" s="88"/>
      <c r="B810" s="39"/>
      <c r="C810" s="45"/>
      <c r="D810" s="39"/>
      <c r="E810" s="108"/>
      <c r="F810" s="108"/>
      <c r="G810" s="108"/>
      <c r="H810" s="94"/>
      <c r="I810" s="65"/>
      <c r="J810" s="65"/>
      <c r="K810" s="67"/>
      <c r="L810" s="55"/>
      <c r="M810" s="46"/>
      <c r="N810" s="48"/>
      <c r="O810" s="58"/>
      <c r="P810" s="61"/>
      <c r="Q810" s="13"/>
      <c r="R810" s="41"/>
      <c r="S810" s="38"/>
      <c r="U810" s="51"/>
    </row>
    <row r="811" spans="1:21" s="7" customFormat="1" x14ac:dyDescent="0.25">
      <c r="A811" s="88"/>
      <c r="B811" s="39"/>
      <c r="C811" s="45"/>
      <c r="D811" s="39"/>
      <c r="E811" s="108"/>
      <c r="F811" s="108"/>
      <c r="G811" s="108"/>
      <c r="H811" s="94"/>
      <c r="I811" s="65"/>
      <c r="J811" s="65"/>
      <c r="K811" s="67"/>
      <c r="L811" s="55"/>
      <c r="M811" s="46"/>
      <c r="N811" s="48"/>
      <c r="O811" s="58"/>
      <c r="P811" s="61"/>
      <c r="Q811" s="13"/>
      <c r="R811" s="41"/>
      <c r="S811" s="38"/>
      <c r="U811" s="51"/>
    </row>
    <row r="812" spans="1:21" s="7" customFormat="1" x14ac:dyDescent="0.25">
      <c r="A812" s="88"/>
      <c r="B812" s="39"/>
      <c r="C812" s="45"/>
      <c r="D812" s="39"/>
      <c r="E812" s="108"/>
      <c r="F812" s="108"/>
      <c r="G812" s="108"/>
      <c r="H812" s="94"/>
      <c r="I812" s="65"/>
      <c r="J812" s="65"/>
      <c r="K812" s="67"/>
      <c r="L812" s="55"/>
      <c r="M812" s="46"/>
      <c r="N812" s="48"/>
      <c r="O812" s="58"/>
      <c r="P812" s="61"/>
      <c r="Q812" s="13"/>
      <c r="R812" s="41"/>
      <c r="S812" s="38"/>
      <c r="U812" s="51"/>
    </row>
    <row r="813" spans="1:21" s="7" customFormat="1" x14ac:dyDescent="0.25">
      <c r="A813" s="88"/>
      <c r="B813" s="39"/>
      <c r="C813" s="45"/>
      <c r="D813" s="39"/>
      <c r="E813" s="108"/>
      <c r="F813" s="108"/>
      <c r="G813" s="108"/>
      <c r="H813" s="94"/>
      <c r="I813" s="65"/>
      <c r="J813" s="65"/>
      <c r="K813" s="67"/>
      <c r="L813" s="55"/>
      <c r="M813" s="46"/>
      <c r="N813" s="48"/>
      <c r="O813" s="58"/>
      <c r="P813" s="61"/>
      <c r="Q813" s="13"/>
      <c r="R813" s="41"/>
      <c r="S813" s="38"/>
      <c r="U813" s="51"/>
    </row>
    <row r="814" spans="1:21" s="7" customFormat="1" x14ac:dyDescent="0.25">
      <c r="A814" s="90"/>
      <c r="B814" s="45"/>
      <c r="C814" s="45"/>
      <c r="D814" s="45"/>
      <c r="E814" s="107"/>
      <c r="F814" s="107"/>
      <c r="G814" s="107"/>
      <c r="H814" s="93"/>
      <c r="I814" s="64"/>
      <c r="J814" s="64"/>
      <c r="K814" s="66"/>
      <c r="L814" s="55"/>
      <c r="M814" s="46"/>
      <c r="N814" s="48"/>
      <c r="O814" s="58"/>
      <c r="P814" s="61"/>
      <c r="Q814" s="13"/>
      <c r="R814" s="41"/>
      <c r="S814" s="38"/>
      <c r="U814" s="51"/>
    </row>
    <row r="815" spans="1:21" s="7" customFormat="1" x14ac:dyDescent="0.25">
      <c r="A815" s="90"/>
      <c r="B815" s="45"/>
      <c r="C815" s="45"/>
      <c r="D815" s="45"/>
      <c r="E815" s="107"/>
      <c r="F815" s="107"/>
      <c r="G815" s="107"/>
      <c r="H815" s="93"/>
      <c r="I815" s="64"/>
      <c r="J815" s="64"/>
      <c r="K815" s="66"/>
      <c r="L815" s="55"/>
      <c r="M815" s="46"/>
      <c r="N815" s="48"/>
      <c r="O815" s="58"/>
      <c r="P815" s="61"/>
      <c r="Q815" s="13"/>
      <c r="R815" s="41"/>
      <c r="S815" s="38"/>
      <c r="U815" s="51"/>
    </row>
    <row r="816" spans="1:21" s="7" customFormat="1" x14ac:dyDescent="0.25">
      <c r="A816" s="90"/>
      <c r="B816" s="45"/>
      <c r="C816" s="45"/>
      <c r="D816" s="45"/>
      <c r="E816" s="107"/>
      <c r="F816" s="107"/>
      <c r="G816" s="107"/>
      <c r="H816" s="93"/>
      <c r="I816" s="64"/>
      <c r="J816" s="64"/>
      <c r="K816" s="66"/>
      <c r="L816" s="55"/>
      <c r="M816" s="46"/>
      <c r="N816" s="48"/>
      <c r="O816" s="58"/>
      <c r="P816" s="61"/>
      <c r="Q816" s="13"/>
      <c r="R816" s="41"/>
      <c r="S816" s="38"/>
      <c r="U816" s="51"/>
    </row>
    <row r="817" spans="1:21" s="7" customFormat="1" x14ac:dyDescent="0.25">
      <c r="A817" s="90"/>
      <c r="B817" s="45"/>
      <c r="C817" s="45"/>
      <c r="D817" s="45"/>
      <c r="E817" s="107"/>
      <c r="F817" s="107"/>
      <c r="G817" s="107"/>
      <c r="H817" s="93"/>
      <c r="I817" s="64"/>
      <c r="J817" s="64"/>
      <c r="K817" s="66"/>
      <c r="L817" s="55"/>
      <c r="M817" s="46"/>
      <c r="N817" s="48"/>
      <c r="O817" s="58"/>
      <c r="P817" s="61"/>
      <c r="Q817" s="13"/>
      <c r="R817" s="41"/>
      <c r="S817" s="38"/>
      <c r="U817" s="51"/>
    </row>
    <row r="818" spans="1:21" s="7" customFormat="1" x14ac:dyDescent="0.25">
      <c r="A818" s="90"/>
      <c r="B818" s="45"/>
      <c r="C818" s="45"/>
      <c r="D818" s="45"/>
      <c r="E818" s="107"/>
      <c r="F818" s="107"/>
      <c r="G818" s="107"/>
      <c r="H818" s="93"/>
      <c r="I818" s="64"/>
      <c r="J818" s="64"/>
      <c r="K818" s="66"/>
      <c r="L818" s="55"/>
      <c r="M818" s="46"/>
      <c r="N818" s="48"/>
      <c r="O818" s="58"/>
      <c r="P818" s="61"/>
      <c r="Q818" s="13"/>
      <c r="R818" s="41"/>
      <c r="S818" s="38"/>
      <c r="U818" s="51"/>
    </row>
    <row r="819" spans="1:21" s="7" customFormat="1" x14ac:dyDescent="0.25">
      <c r="A819" s="90"/>
      <c r="B819" s="45"/>
      <c r="C819" s="45"/>
      <c r="D819" s="45"/>
      <c r="E819" s="107"/>
      <c r="F819" s="107"/>
      <c r="G819" s="107"/>
      <c r="H819" s="93"/>
      <c r="I819" s="64"/>
      <c r="J819" s="64"/>
      <c r="K819" s="66"/>
      <c r="L819" s="55"/>
      <c r="M819" s="46"/>
      <c r="N819" s="48"/>
      <c r="O819" s="58"/>
      <c r="P819" s="61"/>
      <c r="Q819" s="13"/>
      <c r="R819" s="41"/>
      <c r="S819" s="38"/>
      <c r="U819" s="51"/>
    </row>
    <row r="820" spans="1:21" s="7" customFormat="1" x14ac:dyDescent="0.25">
      <c r="A820" s="90"/>
      <c r="B820" s="45"/>
      <c r="C820" s="45"/>
      <c r="D820" s="45"/>
      <c r="E820" s="107"/>
      <c r="F820" s="107"/>
      <c r="G820" s="107"/>
      <c r="H820" s="93"/>
      <c r="I820" s="64"/>
      <c r="J820" s="64"/>
      <c r="K820" s="66"/>
      <c r="L820" s="55"/>
      <c r="M820" s="46"/>
      <c r="N820" s="48"/>
      <c r="O820" s="58"/>
      <c r="P820" s="61"/>
      <c r="Q820" s="13"/>
      <c r="R820" s="41"/>
      <c r="S820" s="38"/>
      <c r="U820" s="51"/>
    </row>
    <row r="821" spans="1:21" s="7" customFormat="1" x14ac:dyDescent="0.25">
      <c r="A821" s="90"/>
      <c r="B821" s="45"/>
      <c r="C821" s="45"/>
      <c r="D821" s="45"/>
      <c r="E821" s="107"/>
      <c r="F821" s="107"/>
      <c r="G821" s="107"/>
      <c r="H821" s="93"/>
      <c r="I821" s="64"/>
      <c r="J821" s="64"/>
      <c r="K821" s="66"/>
      <c r="L821" s="55"/>
      <c r="M821" s="46"/>
      <c r="N821" s="48"/>
      <c r="O821" s="58"/>
      <c r="P821" s="61"/>
      <c r="Q821" s="13"/>
      <c r="R821" s="41"/>
      <c r="S821" s="38"/>
      <c r="U821" s="51"/>
    </row>
    <row r="822" spans="1:21" s="7" customFormat="1" x14ac:dyDescent="0.25">
      <c r="A822" s="90"/>
      <c r="B822" s="45"/>
      <c r="C822" s="45"/>
      <c r="D822" s="45"/>
      <c r="E822" s="107"/>
      <c r="F822" s="107"/>
      <c r="G822" s="107"/>
      <c r="H822" s="93"/>
      <c r="I822" s="64"/>
      <c r="J822" s="64"/>
      <c r="K822" s="66"/>
      <c r="L822" s="55"/>
      <c r="M822" s="46"/>
      <c r="N822" s="48"/>
      <c r="O822" s="58"/>
      <c r="P822" s="61"/>
      <c r="Q822" s="13"/>
      <c r="R822" s="41"/>
      <c r="S822" s="38"/>
      <c r="U822" s="51"/>
    </row>
    <row r="823" spans="1:21" s="7" customFormat="1" x14ac:dyDescent="0.25">
      <c r="A823" s="90"/>
      <c r="B823" s="45"/>
      <c r="C823" s="45"/>
      <c r="D823" s="45"/>
      <c r="E823" s="107"/>
      <c r="F823" s="107"/>
      <c r="G823" s="107"/>
      <c r="H823" s="93"/>
      <c r="I823" s="64"/>
      <c r="J823" s="64"/>
      <c r="K823" s="66"/>
      <c r="L823" s="55"/>
      <c r="M823" s="46"/>
      <c r="N823" s="48"/>
      <c r="O823" s="58"/>
      <c r="P823" s="61"/>
      <c r="Q823" s="13"/>
      <c r="R823" s="41"/>
      <c r="S823" s="38"/>
      <c r="U823" s="51"/>
    </row>
    <row r="824" spans="1:21" s="7" customFormat="1" x14ac:dyDescent="0.25">
      <c r="A824" s="90"/>
      <c r="B824" s="45"/>
      <c r="C824" s="45"/>
      <c r="D824" s="45"/>
      <c r="E824" s="107"/>
      <c r="F824" s="107"/>
      <c r="G824" s="107"/>
      <c r="H824" s="93"/>
      <c r="I824" s="64"/>
      <c r="J824" s="64"/>
      <c r="K824" s="66"/>
      <c r="L824" s="55"/>
      <c r="M824" s="46"/>
      <c r="N824" s="48"/>
      <c r="O824" s="58"/>
      <c r="P824" s="61"/>
      <c r="Q824" s="13"/>
      <c r="R824" s="41"/>
      <c r="S824" s="38"/>
      <c r="U824" s="51"/>
    </row>
    <row r="825" spans="1:21" s="7" customFormat="1" x14ac:dyDescent="0.25">
      <c r="A825" s="90"/>
      <c r="B825" s="45"/>
      <c r="C825" s="45"/>
      <c r="D825" s="45"/>
      <c r="E825" s="107"/>
      <c r="F825" s="107"/>
      <c r="G825" s="107"/>
      <c r="H825" s="93"/>
      <c r="I825" s="64"/>
      <c r="J825" s="64"/>
      <c r="K825" s="66"/>
      <c r="L825" s="55"/>
      <c r="M825" s="46"/>
      <c r="N825" s="48"/>
      <c r="O825" s="58"/>
      <c r="P825" s="61"/>
      <c r="Q825" s="13"/>
      <c r="R825" s="41"/>
      <c r="S825" s="38"/>
      <c r="U825" s="51"/>
    </row>
    <row r="826" spans="1:21" s="7" customFormat="1" x14ac:dyDescent="0.25">
      <c r="A826" s="90"/>
      <c r="B826" s="45"/>
      <c r="C826" s="45"/>
      <c r="D826" s="45"/>
      <c r="E826" s="107"/>
      <c r="F826" s="107"/>
      <c r="G826" s="107"/>
      <c r="H826" s="93"/>
      <c r="I826" s="64"/>
      <c r="J826" s="64"/>
      <c r="K826" s="66"/>
      <c r="L826" s="55"/>
      <c r="M826" s="46"/>
      <c r="N826" s="48"/>
      <c r="O826" s="58"/>
      <c r="P826" s="61"/>
      <c r="Q826" s="13"/>
      <c r="R826" s="41"/>
      <c r="S826" s="38"/>
      <c r="U826" s="51"/>
    </row>
    <row r="827" spans="1:21" s="7" customFormat="1" x14ac:dyDescent="0.25">
      <c r="A827" s="90"/>
      <c r="B827" s="45"/>
      <c r="C827" s="45"/>
      <c r="D827" s="45"/>
      <c r="E827" s="107"/>
      <c r="F827" s="107"/>
      <c r="G827" s="107"/>
      <c r="H827" s="93"/>
      <c r="I827" s="64"/>
      <c r="J827" s="64"/>
      <c r="K827" s="66"/>
      <c r="L827" s="55"/>
      <c r="M827" s="46"/>
      <c r="N827" s="48"/>
      <c r="O827" s="58"/>
      <c r="P827" s="61"/>
      <c r="Q827" s="13"/>
      <c r="R827" s="41"/>
      <c r="S827" s="38"/>
      <c r="U827" s="51"/>
    </row>
    <row r="828" spans="1:21" s="7" customFormat="1" x14ac:dyDescent="0.25">
      <c r="A828" s="90"/>
      <c r="B828" s="45"/>
      <c r="C828" s="45"/>
      <c r="D828" s="45"/>
      <c r="E828" s="107"/>
      <c r="F828" s="107"/>
      <c r="G828" s="107"/>
      <c r="H828" s="93"/>
      <c r="I828" s="64"/>
      <c r="J828" s="64"/>
      <c r="K828" s="66"/>
      <c r="L828" s="55"/>
      <c r="M828" s="46"/>
      <c r="N828" s="48"/>
      <c r="O828" s="58"/>
      <c r="P828" s="61"/>
      <c r="Q828" s="13"/>
      <c r="R828" s="41"/>
      <c r="S828" s="38"/>
      <c r="U828" s="51"/>
    </row>
    <row r="829" spans="1:21" s="7" customFormat="1" x14ac:dyDescent="0.25">
      <c r="A829" s="90"/>
      <c r="B829" s="45"/>
      <c r="C829" s="45"/>
      <c r="D829" s="45"/>
      <c r="E829" s="107"/>
      <c r="F829" s="107"/>
      <c r="G829" s="107"/>
      <c r="H829" s="93"/>
      <c r="I829" s="64"/>
      <c r="J829" s="64"/>
      <c r="K829" s="66"/>
      <c r="L829" s="55"/>
      <c r="M829" s="46"/>
      <c r="N829" s="48"/>
      <c r="O829" s="58"/>
      <c r="P829" s="61"/>
      <c r="Q829" s="13"/>
      <c r="R829" s="41"/>
      <c r="S829" s="38"/>
      <c r="U829" s="51"/>
    </row>
    <row r="830" spans="1:21" s="7" customFormat="1" x14ac:dyDescent="0.25">
      <c r="A830" s="90"/>
      <c r="B830" s="45"/>
      <c r="C830" s="45"/>
      <c r="D830" s="45"/>
      <c r="E830" s="107"/>
      <c r="F830" s="107"/>
      <c r="G830" s="107"/>
      <c r="H830" s="93"/>
      <c r="I830" s="64"/>
      <c r="J830" s="64"/>
      <c r="K830" s="66"/>
      <c r="L830" s="55"/>
      <c r="M830" s="46"/>
      <c r="N830" s="48"/>
      <c r="O830" s="58"/>
      <c r="P830" s="61"/>
      <c r="Q830" s="13"/>
      <c r="R830" s="41"/>
      <c r="S830" s="38"/>
      <c r="U830" s="51"/>
    </row>
    <row r="831" spans="1:21" s="7" customFormat="1" x14ac:dyDescent="0.25">
      <c r="A831" s="90"/>
      <c r="B831" s="45"/>
      <c r="C831" s="45"/>
      <c r="D831" s="45"/>
      <c r="E831" s="107"/>
      <c r="F831" s="107"/>
      <c r="G831" s="107"/>
      <c r="H831" s="93"/>
      <c r="I831" s="64"/>
      <c r="J831" s="64"/>
      <c r="K831" s="66"/>
      <c r="L831" s="55"/>
      <c r="M831" s="46"/>
      <c r="N831" s="48"/>
      <c r="O831" s="58"/>
      <c r="P831" s="61"/>
      <c r="Q831" s="13"/>
      <c r="R831" s="41"/>
      <c r="S831" s="38"/>
      <c r="U831" s="51"/>
    </row>
    <row r="832" spans="1:21" s="7" customFormat="1" x14ac:dyDescent="0.25">
      <c r="A832" s="90"/>
      <c r="B832" s="45"/>
      <c r="C832" s="45"/>
      <c r="D832" s="45"/>
      <c r="E832" s="107"/>
      <c r="F832" s="107"/>
      <c r="G832" s="107"/>
      <c r="H832" s="93"/>
      <c r="I832" s="64"/>
      <c r="J832" s="64"/>
      <c r="K832" s="66"/>
      <c r="L832" s="55"/>
      <c r="M832" s="46"/>
      <c r="N832" s="48"/>
      <c r="O832" s="58"/>
      <c r="P832" s="61"/>
      <c r="Q832" s="13"/>
      <c r="R832" s="41"/>
      <c r="S832" s="38"/>
      <c r="U832" s="51"/>
    </row>
    <row r="833" spans="1:21" s="7" customFormat="1" x14ac:dyDescent="0.25">
      <c r="A833" s="90"/>
      <c r="B833" s="45"/>
      <c r="C833" s="45"/>
      <c r="D833" s="45"/>
      <c r="E833" s="107"/>
      <c r="F833" s="107"/>
      <c r="G833" s="107"/>
      <c r="H833" s="93"/>
      <c r="I833" s="64"/>
      <c r="J833" s="64"/>
      <c r="K833" s="66"/>
      <c r="L833" s="55"/>
      <c r="M833" s="46"/>
      <c r="N833" s="48"/>
      <c r="O833" s="58"/>
      <c r="P833" s="61"/>
      <c r="Q833" s="13"/>
      <c r="R833" s="41"/>
      <c r="S833" s="38"/>
      <c r="U833" s="51"/>
    </row>
    <row r="834" spans="1:21" s="7" customFormat="1" x14ac:dyDescent="0.25">
      <c r="A834" s="90"/>
      <c r="B834" s="45"/>
      <c r="C834" s="45"/>
      <c r="D834" s="45"/>
      <c r="E834" s="107"/>
      <c r="F834" s="107"/>
      <c r="G834" s="107"/>
      <c r="H834" s="93"/>
      <c r="I834" s="64"/>
      <c r="J834" s="64"/>
      <c r="K834" s="66"/>
      <c r="L834" s="55"/>
      <c r="M834" s="46"/>
      <c r="N834" s="48"/>
      <c r="O834" s="58"/>
      <c r="P834" s="61"/>
      <c r="Q834" s="13"/>
      <c r="R834" s="41"/>
      <c r="S834" s="38"/>
      <c r="U834" s="51"/>
    </row>
    <row r="835" spans="1:21" s="7" customFormat="1" x14ac:dyDescent="0.25">
      <c r="A835" s="90"/>
      <c r="B835" s="45"/>
      <c r="C835" s="45"/>
      <c r="D835" s="45"/>
      <c r="E835" s="107"/>
      <c r="F835" s="107"/>
      <c r="G835" s="107"/>
      <c r="H835" s="93"/>
      <c r="I835" s="64"/>
      <c r="J835" s="64"/>
      <c r="K835" s="66"/>
      <c r="L835" s="55"/>
      <c r="M835" s="46"/>
      <c r="N835" s="48"/>
      <c r="O835" s="58"/>
      <c r="P835" s="61"/>
      <c r="Q835" s="13"/>
      <c r="R835" s="41"/>
      <c r="S835" s="38"/>
      <c r="U835" s="51"/>
    </row>
    <row r="836" spans="1:21" s="7" customFormat="1" x14ac:dyDescent="0.25">
      <c r="A836" s="90"/>
      <c r="B836" s="45"/>
      <c r="C836" s="45"/>
      <c r="D836" s="45"/>
      <c r="E836" s="107"/>
      <c r="F836" s="107"/>
      <c r="G836" s="107"/>
      <c r="H836" s="93"/>
      <c r="I836" s="64"/>
      <c r="J836" s="64"/>
      <c r="K836" s="66"/>
      <c r="L836" s="55"/>
      <c r="M836" s="46"/>
      <c r="N836" s="48"/>
      <c r="O836" s="58"/>
      <c r="P836" s="61"/>
      <c r="Q836" s="13"/>
      <c r="R836" s="41"/>
      <c r="S836" s="38"/>
      <c r="U836" s="51"/>
    </row>
    <row r="837" spans="1:21" s="7" customFormat="1" x14ac:dyDescent="0.25">
      <c r="A837" s="90"/>
      <c r="B837" s="45"/>
      <c r="C837" s="45"/>
      <c r="D837" s="45"/>
      <c r="E837" s="107"/>
      <c r="F837" s="107"/>
      <c r="G837" s="107"/>
      <c r="H837" s="93"/>
      <c r="I837" s="64"/>
      <c r="J837" s="64"/>
      <c r="K837" s="66"/>
      <c r="L837" s="55"/>
      <c r="M837" s="46"/>
      <c r="N837" s="48"/>
      <c r="O837" s="58"/>
      <c r="P837" s="61"/>
      <c r="Q837" s="13"/>
      <c r="R837" s="41"/>
      <c r="S837" s="38"/>
      <c r="U837" s="51"/>
    </row>
    <row r="838" spans="1:21" s="7" customFormat="1" x14ac:dyDescent="0.25">
      <c r="A838" s="88"/>
      <c r="B838" s="39"/>
      <c r="C838" s="45"/>
      <c r="D838" s="39"/>
      <c r="E838" s="108"/>
      <c r="F838" s="108"/>
      <c r="G838" s="108"/>
      <c r="H838" s="94"/>
      <c r="I838" s="65"/>
      <c r="J838" s="65"/>
      <c r="K838" s="67"/>
      <c r="L838" s="55"/>
      <c r="M838" s="46"/>
      <c r="N838" s="48"/>
      <c r="O838" s="58"/>
      <c r="P838" s="61"/>
      <c r="Q838" s="13"/>
      <c r="R838" s="41"/>
      <c r="S838" s="38"/>
      <c r="U838" s="51"/>
    </row>
    <row r="839" spans="1:21" s="7" customFormat="1" x14ac:dyDescent="0.25">
      <c r="A839" s="90"/>
      <c r="B839" s="45"/>
      <c r="C839" s="45"/>
      <c r="D839" s="45"/>
      <c r="E839" s="107"/>
      <c r="F839" s="107"/>
      <c r="G839" s="107"/>
      <c r="H839" s="93"/>
      <c r="I839" s="64"/>
      <c r="J839" s="64"/>
      <c r="K839" s="66"/>
      <c r="L839" s="55"/>
      <c r="M839" s="46"/>
      <c r="N839" s="48"/>
      <c r="O839" s="58"/>
      <c r="P839" s="61"/>
      <c r="Q839" s="13"/>
      <c r="R839" s="41"/>
      <c r="S839" s="38"/>
      <c r="U839" s="51"/>
    </row>
    <row r="840" spans="1:21" s="7" customFormat="1" x14ac:dyDescent="0.25">
      <c r="A840" s="90"/>
      <c r="B840" s="45"/>
      <c r="C840" s="45"/>
      <c r="D840" s="45"/>
      <c r="E840" s="107"/>
      <c r="F840" s="107"/>
      <c r="G840" s="107"/>
      <c r="H840" s="93"/>
      <c r="I840" s="64"/>
      <c r="J840" s="64"/>
      <c r="K840" s="66"/>
      <c r="L840" s="55"/>
      <c r="M840" s="46"/>
      <c r="N840" s="48"/>
      <c r="O840" s="58"/>
      <c r="P840" s="61"/>
      <c r="Q840" s="13"/>
      <c r="R840" s="41"/>
      <c r="S840" s="38"/>
      <c r="U840" s="51"/>
    </row>
    <row r="841" spans="1:21" s="7" customFormat="1" x14ac:dyDescent="0.25">
      <c r="A841" s="90"/>
      <c r="B841" s="45"/>
      <c r="C841" s="45"/>
      <c r="D841" s="45"/>
      <c r="E841" s="107"/>
      <c r="F841" s="107"/>
      <c r="G841" s="107"/>
      <c r="H841" s="93"/>
      <c r="I841" s="64"/>
      <c r="J841" s="64"/>
      <c r="K841" s="66"/>
      <c r="L841" s="55"/>
      <c r="M841" s="46"/>
      <c r="N841" s="48"/>
      <c r="O841" s="58"/>
      <c r="P841" s="61"/>
      <c r="Q841" s="13"/>
      <c r="R841" s="41"/>
      <c r="S841" s="38"/>
      <c r="U841" s="51"/>
    </row>
    <row r="842" spans="1:21" s="7" customFormat="1" x14ac:dyDescent="0.25">
      <c r="A842" s="90"/>
      <c r="B842" s="45"/>
      <c r="C842" s="45"/>
      <c r="D842" s="45"/>
      <c r="E842" s="107"/>
      <c r="F842" s="107"/>
      <c r="G842" s="107"/>
      <c r="H842" s="93"/>
      <c r="I842" s="64"/>
      <c r="J842" s="64"/>
      <c r="K842" s="66"/>
      <c r="L842" s="55"/>
      <c r="M842" s="46"/>
      <c r="N842" s="48"/>
      <c r="O842" s="58"/>
      <c r="P842" s="61"/>
      <c r="Q842" s="13"/>
      <c r="R842" s="41"/>
      <c r="S842" s="38"/>
      <c r="U842" s="51"/>
    </row>
    <row r="843" spans="1:21" s="7" customFormat="1" x14ac:dyDescent="0.25">
      <c r="A843" s="90"/>
      <c r="B843" s="45"/>
      <c r="C843" s="45"/>
      <c r="D843" s="45"/>
      <c r="E843" s="107"/>
      <c r="F843" s="107"/>
      <c r="G843" s="107"/>
      <c r="H843" s="93"/>
      <c r="I843" s="64"/>
      <c r="J843" s="64"/>
      <c r="K843" s="66"/>
      <c r="L843" s="55"/>
      <c r="M843" s="46"/>
      <c r="N843" s="48"/>
      <c r="O843" s="58"/>
      <c r="P843" s="61"/>
      <c r="Q843" s="13"/>
      <c r="R843" s="41"/>
      <c r="S843" s="38"/>
      <c r="U843" s="51"/>
    </row>
    <row r="844" spans="1:21" s="7" customFormat="1" x14ac:dyDescent="0.25">
      <c r="A844" s="90"/>
      <c r="B844" s="45"/>
      <c r="C844" s="45"/>
      <c r="D844" s="45"/>
      <c r="E844" s="107"/>
      <c r="F844" s="107"/>
      <c r="G844" s="107"/>
      <c r="H844" s="93"/>
      <c r="I844" s="64"/>
      <c r="J844" s="64"/>
      <c r="K844" s="66"/>
      <c r="L844" s="55"/>
      <c r="M844" s="46"/>
      <c r="N844" s="48"/>
      <c r="O844" s="58"/>
      <c r="P844" s="61"/>
      <c r="Q844" s="13"/>
      <c r="R844" s="41"/>
      <c r="S844" s="38"/>
      <c r="U844" s="51"/>
    </row>
    <row r="845" spans="1:21" s="7" customFormat="1" x14ac:dyDescent="0.25">
      <c r="A845" s="90"/>
      <c r="B845" s="45"/>
      <c r="C845" s="45"/>
      <c r="D845" s="45"/>
      <c r="E845" s="107"/>
      <c r="F845" s="107"/>
      <c r="G845" s="107"/>
      <c r="H845" s="93"/>
      <c r="I845" s="64"/>
      <c r="J845" s="64"/>
      <c r="K845" s="66"/>
      <c r="L845" s="55"/>
      <c r="M845" s="46"/>
      <c r="N845" s="48"/>
      <c r="O845" s="58"/>
      <c r="P845" s="61"/>
      <c r="Q845" s="13"/>
      <c r="R845" s="41"/>
      <c r="S845" s="38"/>
      <c r="U845" s="51"/>
    </row>
    <row r="846" spans="1:21" s="7" customFormat="1" x14ac:dyDescent="0.25">
      <c r="A846" s="90"/>
      <c r="B846" s="45"/>
      <c r="C846" s="45"/>
      <c r="D846" s="45"/>
      <c r="E846" s="107"/>
      <c r="F846" s="107"/>
      <c r="G846" s="107"/>
      <c r="H846" s="93"/>
      <c r="I846" s="64"/>
      <c r="J846" s="64"/>
      <c r="K846" s="66"/>
      <c r="L846" s="55"/>
      <c r="M846" s="46"/>
      <c r="N846" s="48"/>
      <c r="O846" s="58"/>
      <c r="P846" s="61"/>
      <c r="Q846" s="13"/>
      <c r="R846" s="41"/>
      <c r="S846" s="38"/>
      <c r="U846" s="51"/>
    </row>
    <row r="847" spans="1:21" s="7" customFormat="1" x14ac:dyDescent="0.25">
      <c r="A847" s="90"/>
      <c r="B847" s="45"/>
      <c r="C847" s="45"/>
      <c r="D847" s="45"/>
      <c r="E847" s="107"/>
      <c r="F847" s="107"/>
      <c r="G847" s="107"/>
      <c r="H847" s="93"/>
      <c r="I847" s="64"/>
      <c r="J847" s="64"/>
      <c r="K847" s="66"/>
      <c r="L847" s="55"/>
      <c r="M847" s="46"/>
      <c r="N847" s="48"/>
      <c r="O847" s="58"/>
      <c r="P847" s="61"/>
      <c r="Q847" s="13"/>
      <c r="R847" s="41"/>
      <c r="S847" s="38"/>
      <c r="U847" s="51"/>
    </row>
    <row r="848" spans="1:21" s="7" customFormat="1" x14ac:dyDescent="0.25">
      <c r="A848" s="90"/>
      <c r="B848" s="45"/>
      <c r="C848" s="45"/>
      <c r="D848" s="45"/>
      <c r="E848" s="107"/>
      <c r="F848" s="107"/>
      <c r="G848" s="107"/>
      <c r="H848" s="93"/>
      <c r="I848" s="64"/>
      <c r="J848" s="64"/>
      <c r="K848" s="66"/>
      <c r="L848" s="55"/>
      <c r="M848" s="46"/>
      <c r="N848" s="48"/>
      <c r="O848" s="58"/>
      <c r="P848" s="61"/>
      <c r="Q848" s="13"/>
      <c r="R848" s="41"/>
      <c r="S848" s="38"/>
      <c r="U848" s="51"/>
    </row>
    <row r="849" spans="1:21" s="7" customFormat="1" x14ac:dyDescent="0.25">
      <c r="A849" s="88"/>
      <c r="B849" s="39"/>
      <c r="C849" s="45"/>
      <c r="D849" s="39"/>
      <c r="E849" s="108"/>
      <c r="F849" s="108"/>
      <c r="G849" s="108"/>
      <c r="H849" s="94"/>
      <c r="I849" s="65"/>
      <c r="J849" s="65"/>
      <c r="K849" s="67"/>
      <c r="L849" s="55"/>
      <c r="M849" s="46"/>
      <c r="N849" s="48"/>
      <c r="O849" s="58"/>
      <c r="P849" s="61"/>
      <c r="Q849" s="13"/>
      <c r="R849" s="41"/>
      <c r="S849" s="38"/>
      <c r="U849" s="51"/>
    </row>
    <row r="850" spans="1:21" s="7" customFormat="1" x14ac:dyDescent="0.25">
      <c r="A850" s="88"/>
      <c r="B850" s="39"/>
      <c r="C850" s="45"/>
      <c r="D850" s="39"/>
      <c r="E850" s="108"/>
      <c r="F850" s="108"/>
      <c r="G850" s="108"/>
      <c r="H850" s="94"/>
      <c r="I850" s="65"/>
      <c r="J850" s="65"/>
      <c r="K850" s="67"/>
      <c r="L850" s="55"/>
      <c r="M850" s="46"/>
      <c r="N850" s="48"/>
      <c r="O850" s="58"/>
      <c r="P850" s="61"/>
      <c r="Q850" s="13"/>
      <c r="R850" s="41"/>
      <c r="S850" s="38"/>
      <c r="U850" s="51"/>
    </row>
    <row r="851" spans="1:21" s="7" customFormat="1" x14ac:dyDescent="0.25">
      <c r="A851" s="88"/>
      <c r="B851" s="39"/>
      <c r="C851" s="45"/>
      <c r="D851" s="39"/>
      <c r="E851" s="108"/>
      <c r="F851" s="108"/>
      <c r="G851" s="108"/>
      <c r="H851" s="94"/>
      <c r="I851" s="65"/>
      <c r="J851" s="65"/>
      <c r="K851" s="67"/>
      <c r="L851" s="55"/>
      <c r="M851" s="46"/>
      <c r="N851" s="48"/>
      <c r="O851" s="58"/>
      <c r="P851" s="61"/>
      <c r="Q851" s="13"/>
      <c r="R851" s="41"/>
      <c r="S851" s="38"/>
      <c r="U851" s="51"/>
    </row>
    <row r="852" spans="1:21" s="7" customFormat="1" x14ac:dyDescent="0.25">
      <c r="A852" s="88"/>
      <c r="B852" s="39"/>
      <c r="C852" s="45"/>
      <c r="D852" s="39"/>
      <c r="E852" s="108"/>
      <c r="F852" s="108"/>
      <c r="G852" s="108"/>
      <c r="H852" s="94"/>
      <c r="I852" s="65"/>
      <c r="J852" s="65"/>
      <c r="K852" s="67"/>
      <c r="L852" s="55"/>
      <c r="M852" s="46"/>
      <c r="N852" s="48"/>
      <c r="O852" s="58"/>
      <c r="P852" s="61"/>
      <c r="Q852" s="13"/>
      <c r="R852" s="41"/>
      <c r="S852" s="38"/>
      <c r="U852" s="51"/>
    </row>
    <row r="853" spans="1:21" s="7" customFormat="1" x14ac:dyDescent="0.25">
      <c r="A853" s="88"/>
      <c r="B853" s="39"/>
      <c r="C853" s="45"/>
      <c r="D853" s="39"/>
      <c r="E853" s="108"/>
      <c r="F853" s="108"/>
      <c r="G853" s="108"/>
      <c r="H853" s="94"/>
      <c r="I853" s="65"/>
      <c r="J853" s="65"/>
      <c r="K853" s="67"/>
      <c r="L853" s="55"/>
      <c r="M853" s="46"/>
      <c r="N853" s="48"/>
      <c r="O853" s="58"/>
      <c r="P853" s="61"/>
      <c r="Q853" s="13"/>
      <c r="R853" s="41"/>
      <c r="S853" s="38"/>
      <c r="U853" s="51"/>
    </row>
    <row r="854" spans="1:21" s="7" customFormat="1" x14ac:dyDescent="0.25">
      <c r="A854" s="88"/>
      <c r="B854" s="39"/>
      <c r="C854" s="45"/>
      <c r="D854" s="39"/>
      <c r="E854" s="108"/>
      <c r="F854" s="108"/>
      <c r="G854" s="108"/>
      <c r="H854" s="94"/>
      <c r="I854" s="65"/>
      <c r="J854" s="65"/>
      <c r="K854" s="67"/>
      <c r="L854" s="55"/>
      <c r="M854" s="46"/>
      <c r="N854" s="48"/>
      <c r="O854" s="58"/>
      <c r="P854" s="61"/>
      <c r="Q854" s="13"/>
      <c r="R854" s="41"/>
      <c r="S854" s="38"/>
      <c r="U854" s="51"/>
    </row>
    <row r="855" spans="1:21" s="7" customFormat="1" x14ac:dyDescent="0.25">
      <c r="A855" s="88"/>
      <c r="B855" s="39"/>
      <c r="C855" s="45"/>
      <c r="D855" s="39"/>
      <c r="E855" s="108"/>
      <c r="F855" s="108"/>
      <c r="G855" s="108"/>
      <c r="H855" s="94"/>
      <c r="I855" s="65"/>
      <c r="J855" s="65"/>
      <c r="K855" s="67"/>
      <c r="L855" s="55"/>
      <c r="M855" s="46"/>
      <c r="N855" s="48"/>
      <c r="O855" s="58"/>
      <c r="P855" s="61"/>
      <c r="Q855" s="13"/>
      <c r="R855" s="41"/>
      <c r="S855" s="38"/>
      <c r="U855" s="51"/>
    </row>
    <row r="856" spans="1:21" s="7" customFormat="1" x14ac:dyDescent="0.25">
      <c r="A856" s="88"/>
      <c r="B856" s="39"/>
      <c r="C856" s="45"/>
      <c r="D856" s="39"/>
      <c r="E856" s="108"/>
      <c r="F856" s="108"/>
      <c r="G856" s="108"/>
      <c r="H856" s="94"/>
      <c r="I856" s="65"/>
      <c r="J856" s="65"/>
      <c r="K856" s="67"/>
      <c r="L856" s="55"/>
      <c r="M856" s="46"/>
      <c r="N856" s="48"/>
      <c r="O856" s="58"/>
      <c r="P856" s="61"/>
      <c r="Q856" s="13"/>
      <c r="R856" s="41"/>
      <c r="S856" s="38"/>
      <c r="U856" s="51"/>
    </row>
    <row r="857" spans="1:21" s="7" customFormat="1" x14ac:dyDescent="0.25">
      <c r="A857" s="88"/>
      <c r="B857" s="39"/>
      <c r="C857" s="45"/>
      <c r="D857" s="39"/>
      <c r="E857" s="108"/>
      <c r="F857" s="108"/>
      <c r="G857" s="108"/>
      <c r="H857" s="94"/>
      <c r="I857" s="65"/>
      <c r="J857" s="65"/>
      <c r="K857" s="67"/>
      <c r="L857" s="55"/>
      <c r="M857" s="46"/>
      <c r="N857" s="48"/>
      <c r="O857" s="58"/>
      <c r="P857" s="61"/>
      <c r="Q857" s="13"/>
      <c r="R857" s="41"/>
      <c r="S857" s="38"/>
      <c r="U857" s="51"/>
    </row>
    <row r="858" spans="1:21" s="7" customFormat="1" x14ac:dyDescent="0.25">
      <c r="A858" s="88"/>
      <c r="B858" s="39"/>
      <c r="C858" s="45"/>
      <c r="D858" s="39"/>
      <c r="E858" s="108"/>
      <c r="F858" s="108"/>
      <c r="G858" s="108"/>
      <c r="H858" s="94"/>
      <c r="I858" s="65"/>
      <c r="J858" s="65"/>
      <c r="K858" s="67"/>
      <c r="L858" s="55"/>
      <c r="M858" s="46"/>
      <c r="N858" s="48"/>
      <c r="O858" s="58"/>
      <c r="P858" s="61"/>
      <c r="Q858" s="13"/>
      <c r="R858" s="41"/>
      <c r="S858" s="38"/>
      <c r="U858" s="51"/>
    </row>
    <row r="859" spans="1:21" s="7" customFormat="1" x14ac:dyDescent="0.25">
      <c r="A859" s="88"/>
      <c r="B859" s="39"/>
      <c r="C859" s="45"/>
      <c r="D859" s="39"/>
      <c r="E859" s="108"/>
      <c r="F859" s="108"/>
      <c r="G859" s="108"/>
      <c r="H859" s="94"/>
      <c r="I859" s="65"/>
      <c r="J859" s="65"/>
      <c r="K859" s="67"/>
      <c r="L859" s="55"/>
      <c r="M859" s="46"/>
      <c r="N859" s="48"/>
      <c r="O859" s="58"/>
      <c r="P859" s="61"/>
      <c r="Q859" s="13"/>
      <c r="R859" s="41"/>
      <c r="S859" s="38"/>
      <c r="U859" s="51"/>
    </row>
    <row r="860" spans="1:21" s="7" customFormat="1" x14ac:dyDescent="0.25">
      <c r="A860" s="88"/>
      <c r="B860" s="39"/>
      <c r="C860" s="45"/>
      <c r="D860" s="39"/>
      <c r="E860" s="108"/>
      <c r="F860" s="108"/>
      <c r="G860" s="108"/>
      <c r="H860" s="94"/>
      <c r="I860" s="65"/>
      <c r="J860" s="65"/>
      <c r="K860" s="67"/>
      <c r="L860" s="55"/>
      <c r="M860" s="46"/>
      <c r="N860" s="48"/>
      <c r="O860" s="58"/>
      <c r="P860" s="61"/>
      <c r="Q860" s="13"/>
      <c r="R860" s="41"/>
      <c r="S860" s="38"/>
      <c r="U860" s="51"/>
    </row>
    <row r="861" spans="1:21" s="7" customFormat="1" x14ac:dyDescent="0.25">
      <c r="A861" s="88"/>
      <c r="B861" s="39"/>
      <c r="C861" s="45"/>
      <c r="D861" s="39"/>
      <c r="E861" s="108"/>
      <c r="F861" s="108"/>
      <c r="G861" s="108"/>
      <c r="H861" s="94"/>
      <c r="I861" s="65"/>
      <c r="J861" s="65"/>
      <c r="K861" s="67"/>
      <c r="L861" s="55"/>
      <c r="M861" s="46"/>
      <c r="N861" s="48"/>
      <c r="O861" s="58"/>
      <c r="P861" s="61"/>
      <c r="Q861" s="13"/>
      <c r="R861" s="41"/>
      <c r="S861" s="38"/>
      <c r="U861" s="51"/>
    </row>
    <row r="862" spans="1:21" s="7" customFormat="1" x14ac:dyDescent="0.25">
      <c r="A862" s="88"/>
      <c r="B862" s="39"/>
      <c r="C862" s="45"/>
      <c r="D862" s="39"/>
      <c r="E862" s="108"/>
      <c r="F862" s="108"/>
      <c r="G862" s="108"/>
      <c r="H862" s="94"/>
      <c r="I862" s="65"/>
      <c r="J862" s="65"/>
      <c r="K862" s="67"/>
      <c r="L862" s="55"/>
      <c r="M862" s="46"/>
      <c r="N862" s="48"/>
      <c r="O862" s="58"/>
      <c r="P862" s="61"/>
      <c r="Q862" s="13"/>
      <c r="R862" s="41"/>
      <c r="S862" s="38"/>
      <c r="U862" s="51"/>
    </row>
    <row r="863" spans="1:21" s="7" customFormat="1" x14ac:dyDescent="0.25">
      <c r="A863" s="88"/>
      <c r="B863" s="39"/>
      <c r="C863" s="45"/>
      <c r="D863" s="39"/>
      <c r="E863" s="108"/>
      <c r="F863" s="108"/>
      <c r="G863" s="108"/>
      <c r="H863" s="94"/>
      <c r="I863" s="65"/>
      <c r="J863" s="65"/>
      <c r="K863" s="67"/>
      <c r="L863" s="55"/>
      <c r="M863" s="46"/>
      <c r="N863" s="48"/>
      <c r="O863" s="58"/>
      <c r="P863" s="61"/>
      <c r="Q863" s="13"/>
      <c r="R863" s="41"/>
      <c r="S863" s="38"/>
      <c r="U863" s="51"/>
    </row>
    <row r="864" spans="1:21" s="7" customFormat="1" x14ac:dyDescent="0.25">
      <c r="A864" s="90"/>
      <c r="B864" s="45"/>
      <c r="C864" s="45"/>
      <c r="D864" s="45"/>
      <c r="E864" s="107"/>
      <c r="F864" s="107"/>
      <c r="G864" s="107"/>
      <c r="H864" s="93"/>
      <c r="I864" s="64"/>
      <c r="J864" s="64"/>
      <c r="K864" s="66"/>
      <c r="L864" s="55"/>
      <c r="M864" s="46"/>
      <c r="N864" s="48"/>
      <c r="O864" s="58"/>
      <c r="P864" s="61"/>
      <c r="Q864" s="13"/>
      <c r="R864" s="41"/>
      <c r="S864" s="38"/>
      <c r="U864" s="51"/>
    </row>
    <row r="865" spans="1:21" s="7" customFormat="1" x14ac:dyDescent="0.25">
      <c r="A865" s="90"/>
      <c r="B865" s="45"/>
      <c r="C865" s="45"/>
      <c r="D865" s="45"/>
      <c r="E865" s="107"/>
      <c r="F865" s="107"/>
      <c r="G865" s="107"/>
      <c r="H865" s="93"/>
      <c r="I865" s="64"/>
      <c r="J865" s="64"/>
      <c r="K865" s="66"/>
      <c r="L865" s="55"/>
      <c r="M865" s="46"/>
      <c r="N865" s="48"/>
      <c r="O865" s="58"/>
      <c r="P865" s="61"/>
      <c r="Q865" s="13"/>
      <c r="R865" s="41"/>
      <c r="S865" s="38"/>
      <c r="U865" s="51"/>
    </row>
    <row r="866" spans="1:21" s="7" customFormat="1" x14ac:dyDescent="0.25">
      <c r="A866" s="90"/>
      <c r="B866" s="45"/>
      <c r="C866" s="45"/>
      <c r="D866" s="45"/>
      <c r="E866" s="107"/>
      <c r="F866" s="107"/>
      <c r="G866" s="107"/>
      <c r="H866" s="93"/>
      <c r="I866" s="64"/>
      <c r="J866" s="64"/>
      <c r="K866" s="66"/>
      <c r="L866" s="55"/>
      <c r="M866" s="46"/>
      <c r="N866" s="48"/>
      <c r="O866" s="58"/>
      <c r="P866" s="61"/>
      <c r="Q866" s="13"/>
      <c r="R866" s="41"/>
      <c r="S866" s="38"/>
      <c r="U866" s="51"/>
    </row>
    <row r="867" spans="1:21" s="7" customFormat="1" x14ac:dyDescent="0.25">
      <c r="A867" s="90"/>
      <c r="B867" s="45"/>
      <c r="C867" s="45"/>
      <c r="D867" s="45"/>
      <c r="E867" s="107"/>
      <c r="F867" s="107"/>
      <c r="G867" s="107"/>
      <c r="H867" s="93"/>
      <c r="I867" s="64"/>
      <c r="J867" s="64"/>
      <c r="K867" s="66"/>
      <c r="L867" s="55"/>
      <c r="M867" s="46"/>
      <c r="N867" s="48"/>
      <c r="O867" s="58"/>
      <c r="P867" s="61"/>
      <c r="Q867" s="13"/>
      <c r="R867" s="41"/>
      <c r="S867" s="38"/>
      <c r="U867" s="51"/>
    </row>
    <row r="868" spans="1:21" s="7" customFormat="1" x14ac:dyDescent="0.25">
      <c r="A868" s="90"/>
      <c r="B868" s="45"/>
      <c r="C868" s="45"/>
      <c r="D868" s="45"/>
      <c r="E868" s="107"/>
      <c r="F868" s="107"/>
      <c r="G868" s="107"/>
      <c r="H868" s="93"/>
      <c r="I868" s="64"/>
      <c r="J868" s="64"/>
      <c r="K868" s="66"/>
      <c r="L868" s="55"/>
      <c r="M868" s="46"/>
      <c r="N868" s="48"/>
      <c r="O868" s="58"/>
      <c r="P868" s="61"/>
      <c r="Q868" s="13"/>
      <c r="R868" s="41"/>
      <c r="S868" s="38"/>
      <c r="U868" s="51"/>
    </row>
    <row r="869" spans="1:21" s="7" customFormat="1" x14ac:dyDescent="0.25">
      <c r="A869" s="90"/>
      <c r="B869" s="45"/>
      <c r="C869" s="45"/>
      <c r="D869" s="45"/>
      <c r="E869" s="107"/>
      <c r="F869" s="107"/>
      <c r="G869" s="107"/>
      <c r="H869" s="93"/>
      <c r="I869" s="64"/>
      <c r="J869" s="64"/>
      <c r="K869" s="66"/>
      <c r="L869" s="55"/>
      <c r="M869" s="46"/>
      <c r="N869" s="48"/>
      <c r="O869" s="58"/>
      <c r="P869" s="61"/>
      <c r="Q869" s="13"/>
      <c r="R869" s="41"/>
      <c r="S869" s="38"/>
      <c r="U869" s="51"/>
    </row>
    <row r="870" spans="1:21" s="7" customFormat="1" x14ac:dyDescent="0.25">
      <c r="A870" s="90"/>
      <c r="B870" s="45"/>
      <c r="C870" s="45"/>
      <c r="D870" s="45"/>
      <c r="E870" s="107"/>
      <c r="F870" s="107"/>
      <c r="G870" s="107"/>
      <c r="H870" s="93"/>
      <c r="I870" s="64"/>
      <c r="J870" s="64"/>
      <c r="K870" s="66"/>
      <c r="L870" s="55"/>
      <c r="M870" s="46"/>
      <c r="N870" s="48"/>
      <c r="O870" s="58"/>
      <c r="P870" s="61"/>
      <c r="Q870" s="13"/>
      <c r="R870" s="41"/>
      <c r="S870" s="38"/>
      <c r="U870" s="51"/>
    </row>
    <row r="871" spans="1:21" s="7" customFormat="1" x14ac:dyDescent="0.25">
      <c r="A871" s="90"/>
      <c r="B871" s="45"/>
      <c r="C871" s="45"/>
      <c r="D871" s="45"/>
      <c r="E871" s="107"/>
      <c r="F871" s="107"/>
      <c r="G871" s="107"/>
      <c r="H871" s="93"/>
      <c r="I871" s="64"/>
      <c r="J871" s="64"/>
      <c r="K871" s="66"/>
      <c r="L871" s="55"/>
      <c r="M871" s="46"/>
      <c r="N871" s="48"/>
      <c r="O871" s="58"/>
      <c r="P871" s="61"/>
      <c r="Q871" s="13"/>
      <c r="R871" s="41"/>
      <c r="S871" s="38"/>
      <c r="U871" s="51"/>
    </row>
    <row r="872" spans="1:21" s="7" customFormat="1" x14ac:dyDescent="0.25">
      <c r="A872" s="90"/>
      <c r="B872" s="45"/>
      <c r="C872" s="45"/>
      <c r="D872" s="45"/>
      <c r="E872" s="107"/>
      <c r="F872" s="107"/>
      <c r="G872" s="107"/>
      <c r="H872" s="93"/>
      <c r="I872" s="64"/>
      <c r="J872" s="64"/>
      <c r="K872" s="66"/>
      <c r="L872" s="55"/>
      <c r="M872" s="46"/>
      <c r="N872" s="48"/>
      <c r="O872" s="58"/>
      <c r="P872" s="61"/>
      <c r="Q872" s="13"/>
      <c r="R872" s="41"/>
      <c r="S872" s="38"/>
      <c r="U872" s="51"/>
    </row>
    <row r="873" spans="1:21" s="7" customFormat="1" x14ac:dyDescent="0.25">
      <c r="A873" s="88"/>
      <c r="B873" s="39"/>
      <c r="C873" s="45"/>
      <c r="D873" s="39"/>
      <c r="E873" s="108"/>
      <c r="F873" s="108"/>
      <c r="G873" s="108"/>
      <c r="H873" s="94"/>
      <c r="I873" s="65"/>
      <c r="J873" s="65"/>
      <c r="K873" s="67"/>
      <c r="L873" s="55"/>
      <c r="M873" s="46"/>
      <c r="N873" s="48"/>
      <c r="O873" s="58"/>
      <c r="P873" s="61"/>
      <c r="Q873" s="13"/>
      <c r="R873" s="41"/>
      <c r="S873" s="38"/>
      <c r="U873" s="51"/>
    </row>
    <row r="874" spans="1:21" s="7" customFormat="1" x14ac:dyDescent="0.25">
      <c r="A874" s="88"/>
      <c r="B874" s="39"/>
      <c r="C874" s="45"/>
      <c r="D874" s="39"/>
      <c r="E874" s="108"/>
      <c r="F874" s="108"/>
      <c r="G874" s="108"/>
      <c r="H874" s="94"/>
      <c r="I874" s="65"/>
      <c r="J874" s="65"/>
      <c r="K874" s="67"/>
      <c r="L874" s="55"/>
      <c r="M874" s="46"/>
      <c r="N874" s="48"/>
      <c r="O874" s="58"/>
      <c r="P874" s="61"/>
      <c r="Q874" s="13"/>
      <c r="R874" s="41"/>
      <c r="S874" s="38"/>
      <c r="U874" s="51"/>
    </row>
    <row r="875" spans="1:21" s="7" customFormat="1" x14ac:dyDescent="0.25">
      <c r="A875" s="88"/>
      <c r="B875" s="39"/>
      <c r="C875" s="45"/>
      <c r="D875" s="39"/>
      <c r="E875" s="108"/>
      <c r="F875" s="108"/>
      <c r="G875" s="108"/>
      <c r="H875" s="94"/>
      <c r="I875" s="65"/>
      <c r="J875" s="65"/>
      <c r="K875" s="67"/>
      <c r="L875" s="55"/>
      <c r="M875" s="46"/>
      <c r="N875" s="48"/>
      <c r="O875" s="58"/>
      <c r="P875" s="61"/>
      <c r="Q875" s="13"/>
      <c r="R875" s="41"/>
      <c r="S875" s="38"/>
      <c r="U875" s="51"/>
    </row>
    <row r="876" spans="1:21" s="7" customFormat="1" x14ac:dyDescent="0.25">
      <c r="A876" s="88"/>
      <c r="B876" s="39"/>
      <c r="C876" s="45"/>
      <c r="D876" s="39"/>
      <c r="E876" s="108"/>
      <c r="F876" s="108"/>
      <c r="G876" s="108"/>
      <c r="H876" s="94"/>
      <c r="I876" s="65"/>
      <c r="J876" s="65"/>
      <c r="K876" s="67"/>
      <c r="L876" s="55"/>
      <c r="M876" s="46"/>
      <c r="N876" s="48"/>
      <c r="O876" s="58"/>
      <c r="P876" s="61"/>
      <c r="Q876" s="13"/>
      <c r="R876" s="41"/>
      <c r="S876" s="38"/>
      <c r="U876" s="51"/>
    </row>
    <row r="877" spans="1:21" s="7" customFormat="1" x14ac:dyDescent="0.25">
      <c r="A877" s="88"/>
      <c r="B877" s="39"/>
      <c r="C877" s="45"/>
      <c r="D877" s="39"/>
      <c r="E877" s="108"/>
      <c r="F877" s="108"/>
      <c r="G877" s="108"/>
      <c r="H877" s="94"/>
      <c r="I877" s="65"/>
      <c r="J877" s="65"/>
      <c r="K877" s="67"/>
      <c r="L877" s="55"/>
      <c r="M877" s="46"/>
      <c r="N877" s="48"/>
      <c r="O877" s="58"/>
      <c r="P877" s="61"/>
      <c r="Q877" s="13"/>
      <c r="R877" s="41"/>
      <c r="S877" s="38"/>
      <c r="U877" s="51"/>
    </row>
    <row r="878" spans="1:21" s="7" customFormat="1" x14ac:dyDescent="0.25">
      <c r="A878" s="88"/>
      <c r="B878" s="39"/>
      <c r="C878" s="45"/>
      <c r="D878" s="39"/>
      <c r="E878" s="108"/>
      <c r="F878" s="108"/>
      <c r="G878" s="108"/>
      <c r="H878" s="94"/>
      <c r="I878" s="65"/>
      <c r="J878" s="65"/>
      <c r="K878" s="67"/>
      <c r="L878" s="55"/>
      <c r="M878" s="46"/>
      <c r="N878" s="48"/>
      <c r="O878" s="58"/>
      <c r="P878" s="61"/>
      <c r="Q878" s="13"/>
      <c r="R878" s="41"/>
      <c r="S878" s="38"/>
      <c r="U878" s="51"/>
    </row>
    <row r="879" spans="1:21" s="7" customFormat="1" x14ac:dyDescent="0.25">
      <c r="A879" s="88"/>
      <c r="B879" s="39"/>
      <c r="C879" s="45"/>
      <c r="D879" s="39"/>
      <c r="E879" s="108"/>
      <c r="F879" s="108"/>
      <c r="G879" s="108"/>
      <c r="H879" s="94"/>
      <c r="I879" s="65"/>
      <c r="J879" s="65"/>
      <c r="K879" s="67"/>
      <c r="L879" s="55"/>
      <c r="M879" s="46"/>
      <c r="N879" s="48"/>
      <c r="O879" s="58"/>
      <c r="P879" s="61"/>
      <c r="Q879" s="13"/>
      <c r="R879" s="41"/>
      <c r="S879" s="38"/>
      <c r="U879" s="51"/>
    </row>
    <row r="880" spans="1:21" s="7" customFormat="1" x14ac:dyDescent="0.25">
      <c r="A880" s="90"/>
      <c r="B880" s="45"/>
      <c r="C880" s="45"/>
      <c r="D880" s="45"/>
      <c r="E880" s="107"/>
      <c r="F880" s="107"/>
      <c r="G880" s="107"/>
      <c r="H880" s="93"/>
      <c r="I880" s="64"/>
      <c r="J880" s="64"/>
      <c r="K880" s="66"/>
      <c r="L880" s="55"/>
      <c r="M880" s="46"/>
      <c r="N880" s="48"/>
      <c r="O880" s="58"/>
      <c r="P880" s="61"/>
      <c r="Q880" s="13"/>
      <c r="R880" s="41"/>
      <c r="S880" s="38"/>
      <c r="U880" s="51"/>
    </row>
    <row r="881" spans="1:21" s="7" customFormat="1" x14ac:dyDescent="0.25">
      <c r="A881" s="90"/>
      <c r="B881" s="45"/>
      <c r="C881" s="45"/>
      <c r="D881" s="45"/>
      <c r="E881" s="107"/>
      <c r="F881" s="107"/>
      <c r="G881" s="107"/>
      <c r="H881" s="93"/>
      <c r="I881" s="64"/>
      <c r="J881" s="64"/>
      <c r="K881" s="66"/>
      <c r="L881" s="55"/>
      <c r="M881" s="46"/>
      <c r="N881" s="48"/>
      <c r="O881" s="58"/>
      <c r="P881" s="61"/>
      <c r="Q881" s="13"/>
      <c r="R881" s="41"/>
      <c r="S881" s="38"/>
      <c r="U881" s="51"/>
    </row>
    <row r="882" spans="1:21" s="7" customFormat="1" x14ac:dyDescent="0.25">
      <c r="A882" s="90"/>
      <c r="B882" s="45"/>
      <c r="C882" s="45"/>
      <c r="D882" s="45"/>
      <c r="E882" s="107"/>
      <c r="F882" s="107"/>
      <c r="G882" s="107"/>
      <c r="H882" s="93"/>
      <c r="I882" s="64"/>
      <c r="J882" s="64"/>
      <c r="K882" s="66"/>
      <c r="L882" s="55"/>
      <c r="M882" s="46"/>
      <c r="N882" s="48"/>
      <c r="O882" s="58"/>
      <c r="P882" s="61"/>
      <c r="Q882" s="13"/>
      <c r="R882" s="41"/>
      <c r="S882" s="38"/>
      <c r="U882" s="51"/>
    </row>
    <row r="883" spans="1:21" s="7" customFormat="1" x14ac:dyDescent="0.25">
      <c r="A883" s="90"/>
      <c r="B883" s="45"/>
      <c r="C883" s="45"/>
      <c r="D883" s="45"/>
      <c r="E883" s="107"/>
      <c r="F883" s="107"/>
      <c r="G883" s="107"/>
      <c r="H883" s="93"/>
      <c r="I883" s="64"/>
      <c r="J883" s="64"/>
      <c r="K883" s="66"/>
      <c r="L883" s="55"/>
      <c r="M883" s="46"/>
      <c r="N883" s="48"/>
      <c r="O883" s="58"/>
      <c r="P883" s="61"/>
      <c r="Q883" s="13"/>
      <c r="R883" s="41"/>
      <c r="S883" s="38"/>
      <c r="U883" s="51"/>
    </row>
    <row r="884" spans="1:21" s="7" customFormat="1" x14ac:dyDescent="0.25">
      <c r="A884" s="90"/>
      <c r="B884" s="45"/>
      <c r="C884" s="45"/>
      <c r="D884" s="45"/>
      <c r="E884" s="107"/>
      <c r="F884" s="107"/>
      <c r="G884" s="107"/>
      <c r="H884" s="93"/>
      <c r="I884" s="64"/>
      <c r="J884" s="64"/>
      <c r="K884" s="66"/>
      <c r="L884" s="55"/>
      <c r="M884" s="46"/>
      <c r="N884" s="48"/>
      <c r="O884" s="58"/>
      <c r="P884" s="61"/>
      <c r="Q884" s="13"/>
      <c r="R884" s="41"/>
      <c r="S884" s="38"/>
      <c r="U884" s="51"/>
    </row>
    <row r="885" spans="1:21" s="7" customFormat="1" x14ac:dyDescent="0.25">
      <c r="A885" s="90"/>
      <c r="B885" s="45"/>
      <c r="C885" s="45"/>
      <c r="D885" s="39"/>
      <c r="E885" s="107"/>
      <c r="F885" s="107"/>
      <c r="G885" s="107"/>
      <c r="H885" s="93"/>
      <c r="I885" s="64"/>
      <c r="J885" s="64"/>
      <c r="K885" s="66"/>
      <c r="L885" s="55"/>
      <c r="M885" s="46"/>
      <c r="N885" s="48"/>
      <c r="O885" s="58"/>
      <c r="P885" s="61"/>
      <c r="Q885" s="13"/>
      <c r="R885" s="41"/>
      <c r="S885" s="38"/>
      <c r="U885" s="51"/>
    </row>
    <row r="886" spans="1:21" s="7" customFormat="1" x14ac:dyDescent="0.25">
      <c r="A886" s="90"/>
      <c r="B886" s="45"/>
      <c r="C886" s="45"/>
      <c r="D886" s="45"/>
      <c r="E886" s="107"/>
      <c r="F886" s="107"/>
      <c r="G886" s="107"/>
      <c r="H886" s="93"/>
      <c r="I886" s="64"/>
      <c r="J886" s="64"/>
      <c r="K886" s="66"/>
      <c r="L886" s="55"/>
      <c r="M886" s="46"/>
      <c r="N886" s="48"/>
      <c r="O886" s="58"/>
      <c r="P886" s="61"/>
      <c r="Q886" s="13"/>
      <c r="R886" s="41"/>
      <c r="S886" s="38"/>
      <c r="U886" s="51"/>
    </row>
    <row r="887" spans="1:21" s="7" customFormat="1" x14ac:dyDescent="0.25">
      <c r="A887" s="90"/>
      <c r="B887" s="45"/>
      <c r="C887" s="45"/>
      <c r="D887" s="39"/>
      <c r="E887" s="107"/>
      <c r="F887" s="107"/>
      <c r="G887" s="107"/>
      <c r="H887" s="93"/>
      <c r="I887" s="64"/>
      <c r="J887" s="64"/>
      <c r="K887" s="66"/>
      <c r="L887" s="55"/>
      <c r="M887" s="46"/>
      <c r="N887" s="48"/>
      <c r="O887" s="58"/>
      <c r="P887" s="61"/>
      <c r="Q887" s="13"/>
      <c r="R887" s="41"/>
      <c r="S887" s="38"/>
      <c r="U887" s="51"/>
    </row>
    <row r="888" spans="1:21" s="7" customFormat="1" x14ac:dyDescent="0.25">
      <c r="A888" s="90"/>
      <c r="B888" s="45"/>
      <c r="C888" s="45"/>
      <c r="D888" s="45"/>
      <c r="E888" s="107"/>
      <c r="F888" s="107"/>
      <c r="G888" s="107"/>
      <c r="H888" s="93"/>
      <c r="I888" s="64"/>
      <c r="J888" s="64"/>
      <c r="K888" s="66"/>
      <c r="L888" s="55"/>
      <c r="M888" s="46"/>
      <c r="N888" s="48"/>
      <c r="O888" s="58"/>
      <c r="P888" s="61"/>
      <c r="Q888" s="13"/>
      <c r="R888" s="41"/>
      <c r="S888" s="38"/>
      <c r="U888" s="51"/>
    </row>
    <row r="889" spans="1:21" s="7" customFormat="1" x14ac:dyDescent="0.25">
      <c r="A889" s="90"/>
      <c r="B889" s="45"/>
      <c r="C889" s="45"/>
      <c r="D889" s="45"/>
      <c r="E889" s="107"/>
      <c r="F889" s="107"/>
      <c r="G889" s="107"/>
      <c r="H889" s="93"/>
      <c r="I889" s="64"/>
      <c r="J889" s="64"/>
      <c r="K889" s="66"/>
      <c r="L889" s="55"/>
      <c r="M889" s="46"/>
      <c r="N889" s="48"/>
      <c r="O889" s="58"/>
      <c r="P889" s="61"/>
      <c r="Q889" s="13"/>
      <c r="R889" s="41"/>
      <c r="S889" s="38"/>
      <c r="U889" s="51"/>
    </row>
    <row r="890" spans="1:21" s="7" customFormat="1" x14ac:dyDescent="0.25">
      <c r="A890" s="90"/>
      <c r="B890" s="45"/>
      <c r="C890" s="45"/>
      <c r="D890" s="45"/>
      <c r="E890" s="107"/>
      <c r="F890" s="107"/>
      <c r="G890" s="107"/>
      <c r="H890" s="93"/>
      <c r="I890" s="64"/>
      <c r="J890" s="64"/>
      <c r="K890" s="66"/>
      <c r="L890" s="55"/>
      <c r="M890" s="46"/>
      <c r="N890" s="48"/>
      <c r="O890" s="58"/>
      <c r="P890" s="61"/>
      <c r="Q890" s="13"/>
      <c r="R890" s="41"/>
      <c r="S890" s="38"/>
      <c r="U890" s="51"/>
    </row>
    <row r="891" spans="1:21" s="7" customFormat="1" x14ac:dyDescent="0.25">
      <c r="A891" s="90"/>
      <c r="B891" s="45"/>
      <c r="C891" s="45"/>
      <c r="D891" s="45"/>
      <c r="E891" s="107"/>
      <c r="F891" s="107"/>
      <c r="G891" s="107"/>
      <c r="H891" s="93"/>
      <c r="I891" s="64"/>
      <c r="J891" s="64"/>
      <c r="K891" s="66"/>
      <c r="L891" s="55"/>
      <c r="M891" s="46"/>
      <c r="N891" s="48"/>
      <c r="O891" s="58"/>
      <c r="P891" s="61"/>
      <c r="Q891" s="13"/>
      <c r="R891" s="41"/>
      <c r="S891" s="38"/>
      <c r="U891" s="51"/>
    </row>
    <row r="892" spans="1:21" s="7" customFormat="1" x14ac:dyDescent="0.25">
      <c r="A892" s="90"/>
      <c r="B892" s="45"/>
      <c r="C892" s="45"/>
      <c r="D892" s="45"/>
      <c r="E892" s="107"/>
      <c r="F892" s="107"/>
      <c r="G892" s="107"/>
      <c r="H892" s="93"/>
      <c r="I892" s="64"/>
      <c r="J892" s="64"/>
      <c r="K892" s="66"/>
      <c r="L892" s="55"/>
      <c r="M892" s="46"/>
      <c r="N892" s="48"/>
      <c r="O892" s="58"/>
      <c r="P892" s="61"/>
      <c r="Q892" s="13"/>
      <c r="R892" s="41"/>
      <c r="S892" s="38"/>
      <c r="U892" s="51"/>
    </row>
    <row r="893" spans="1:21" s="7" customFormat="1" x14ac:dyDescent="0.25">
      <c r="A893" s="90"/>
      <c r="B893" s="45"/>
      <c r="C893" s="45"/>
      <c r="D893" s="45"/>
      <c r="E893" s="107"/>
      <c r="F893" s="107"/>
      <c r="G893" s="107"/>
      <c r="H893" s="93"/>
      <c r="I893" s="64"/>
      <c r="J893" s="64"/>
      <c r="K893" s="66"/>
      <c r="L893" s="55"/>
      <c r="M893" s="46"/>
      <c r="N893" s="48"/>
      <c r="O893" s="58"/>
      <c r="P893" s="61"/>
      <c r="Q893" s="13"/>
      <c r="R893" s="41"/>
      <c r="S893" s="38"/>
      <c r="U893" s="51"/>
    </row>
    <row r="894" spans="1:21" s="7" customFormat="1" x14ac:dyDescent="0.25">
      <c r="A894" s="90"/>
      <c r="B894" s="45"/>
      <c r="C894" s="45"/>
      <c r="D894" s="45"/>
      <c r="E894" s="107"/>
      <c r="F894" s="107"/>
      <c r="G894" s="107"/>
      <c r="H894" s="93"/>
      <c r="I894" s="64"/>
      <c r="J894" s="64"/>
      <c r="K894" s="66"/>
      <c r="L894" s="55"/>
      <c r="M894" s="46"/>
      <c r="N894" s="48"/>
      <c r="O894" s="58"/>
      <c r="P894" s="61"/>
      <c r="Q894" s="13"/>
      <c r="R894" s="41"/>
      <c r="S894" s="38"/>
      <c r="U894" s="51"/>
    </row>
    <row r="895" spans="1:21" s="7" customFormat="1" x14ac:dyDescent="0.25">
      <c r="A895" s="90"/>
      <c r="B895" s="45"/>
      <c r="C895" s="45"/>
      <c r="D895" s="45"/>
      <c r="E895" s="107"/>
      <c r="F895" s="107"/>
      <c r="G895" s="107"/>
      <c r="H895" s="93"/>
      <c r="I895" s="64"/>
      <c r="J895" s="64"/>
      <c r="K895" s="66"/>
      <c r="L895" s="55"/>
      <c r="M895" s="46"/>
      <c r="N895" s="48"/>
      <c r="O895" s="58"/>
      <c r="P895" s="61"/>
      <c r="Q895" s="13"/>
      <c r="R895" s="41"/>
      <c r="S895" s="38"/>
      <c r="U895" s="51"/>
    </row>
    <row r="896" spans="1:21" s="7" customFormat="1" x14ac:dyDescent="0.25">
      <c r="A896" s="90"/>
      <c r="B896" s="45"/>
      <c r="C896" s="45"/>
      <c r="D896" s="45"/>
      <c r="E896" s="107"/>
      <c r="F896" s="107"/>
      <c r="G896" s="107"/>
      <c r="H896" s="93"/>
      <c r="I896" s="64"/>
      <c r="J896" s="64"/>
      <c r="K896" s="66"/>
      <c r="L896" s="55"/>
      <c r="M896" s="46"/>
      <c r="N896" s="48"/>
      <c r="O896" s="58"/>
      <c r="P896" s="61"/>
      <c r="Q896" s="13"/>
      <c r="R896" s="41"/>
      <c r="S896" s="38"/>
      <c r="U896" s="51"/>
    </row>
    <row r="897" spans="1:21" s="7" customFormat="1" x14ac:dyDescent="0.25">
      <c r="A897" s="90"/>
      <c r="B897" s="45"/>
      <c r="C897" s="45"/>
      <c r="D897" s="45"/>
      <c r="E897" s="107"/>
      <c r="F897" s="107"/>
      <c r="G897" s="107"/>
      <c r="H897" s="93"/>
      <c r="I897" s="64"/>
      <c r="J897" s="64"/>
      <c r="K897" s="66"/>
      <c r="L897" s="55"/>
      <c r="M897" s="46"/>
      <c r="N897" s="48"/>
      <c r="O897" s="58"/>
      <c r="P897" s="61"/>
      <c r="Q897" s="13"/>
      <c r="R897" s="41"/>
      <c r="S897" s="38"/>
      <c r="U897" s="51"/>
    </row>
    <row r="898" spans="1:21" s="7" customFormat="1" x14ac:dyDescent="0.25">
      <c r="A898" s="88"/>
      <c r="B898" s="39"/>
      <c r="C898" s="45"/>
      <c r="D898" s="39"/>
      <c r="E898" s="108"/>
      <c r="F898" s="108"/>
      <c r="G898" s="108"/>
      <c r="H898" s="94"/>
      <c r="I898" s="65"/>
      <c r="J898" s="65"/>
      <c r="K898" s="67"/>
      <c r="L898" s="55"/>
      <c r="M898" s="46"/>
      <c r="N898" s="48"/>
      <c r="O898" s="58"/>
      <c r="P898" s="61"/>
      <c r="Q898" s="13"/>
      <c r="R898" s="41"/>
      <c r="S898" s="38"/>
      <c r="U898" s="51"/>
    </row>
    <row r="899" spans="1:21" s="7" customFormat="1" x14ac:dyDescent="0.25">
      <c r="A899" s="88"/>
      <c r="B899" s="39"/>
      <c r="C899" s="45"/>
      <c r="D899" s="39"/>
      <c r="E899" s="108"/>
      <c r="F899" s="108"/>
      <c r="G899" s="108"/>
      <c r="H899" s="94"/>
      <c r="I899" s="65"/>
      <c r="J899" s="65"/>
      <c r="K899" s="67"/>
      <c r="L899" s="55"/>
      <c r="M899" s="46"/>
      <c r="N899" s="48"/>
      <c r="O899" s="58"/>
      <c r="P899" s="61"/>
      <c r="Q899" s="13"/>
      <c r="R899" s="41"/>
      <c r="S899" s="38"/>
      <c r="U899" s="51"/>
    </row>
    <row r="900" spans="1:21" s="7" customFormat="1" x14ac:dyDescent="0.25">
      <c r="A900" s="88"/>
      <c r="B900" s="39"/>
      <c r="C900" s="45"/>
      <c r="D900" s="39"/>
      <c r="E900" s="108"/>
      <c r="F900" s="108"/>
      <c r="G900" s="108"/>
      <c r="H900" s="94"/>
      <c r="I900" s="65"/>
      <c r="J900" s="65"/>
      <c r="K900" s="67"/>
      <c r="L900" s="55"/>
      <c r="M900" s="46"/>
      <c r="N900" s="48"/>
      <c r="O900" s="58"/>
      <c r="P900" s="61"/>
      <c r="Q900" s="13"/>
      <c r="R900" s="41"/>
      <c r="S900" s="38"/>
      <c r="U900" s="51"/>
    </row>
    <row r="901" spans="1:21" s="7" customFormat="1" x14ac:dyDescent="0.25">
      <c r="A901" s="88"/>
      <c r="B901" s="39"/>
      <c r="C901" s="45"/>
      <c r="D901" s="39"/>
      <c r="E901" s="108"/>
      <c r="F901" s="108"/>
      <c r="G901" s="108"/>
      <c r="H901" s="94"/>
      <c r="I901" s="65"/>
      <c r="J901" s="65"/>
      <c r="K901" s="67"/>
      <c r="L901" s="55"/>
      <c r="M901" s="46"/>
      <c r="N901" s="48"/>
      <c r="O901" s="58"/>
      <c r="P901" s="61"/>
      <c r="Q901" s="13"/>
      <c r="R901" s="41"/>
      <c r="S901" s="38"/>
      <c r="U901" s="51"/>
    </row>
    <row r="902" spans="1:21" s="7" customFormat="1" x14ac:dyDescent="0.25">
      <c r="A902" s="88"/>
      <c r="B902" s="39"/>
      <c r="C902" s="45"/>
      <c r="D902" s="39"/>
      <c r="E902" s="108"/>
      <c r="F902" s="108"/>
      <c r="G902" s="108"/>
      <c r="H902" s="94"/>
      <c r="I902" s="65"/>
      <c r="J902" s="65"/>
      <c r="K902" s="67"/>
      <c r="L902" s="55"/>
      <c r="M902" s="46"/>
      <c r="N902" s="48"/>
      <c r="O902" s="58"/>
      <c r="P902" s="61"/>
      <c r="Q902" s="13"/>
      <c r="R902" s="41"/>
      <c r="S902" s="38"/>
      <c r="U902" s="51"/>
    </row>
    <row r="903" spans="1:21" s="7" customFormat="1" x14ac:dyDescent="0.25">
      <c r="A903" s="88"/>
      <c r="B903" s="39"/>
      <c r="C903" s="45"/>
      <c r="D903" s="39"/>
      <c r="E903" s="108"/>
      <c r="F903" s="108"/>
      <c r="G903" s="108"/>
      <c r="H903" s="94"/>
      <c r="I903" s="65"/>
      <c r="J903" s="65"/>
      <c r="K903" s="67"/>
      <c r="L903" s="55"/>
      <c r="M903" s="46"/>
      <c r="N903" s="48"/>
      <c r="O903" s="58"/>
      <c r="P903" s="61"/>
      <c r="Q903" s="13"/>
      <c r="R903" s="41"/>
      <c r="S903" s="38"/>
      <c r="U903" s="51"/>
    </row>
    <row r="904" spans="1:21" s="7" customFormat="1" x14ac:dyDescent="0.25">
      <c r="A904" s="88"/>
      <c r="B904" s="39"/>
      <c r="C904" s="45"/>
      <c r="D904" s="39"/>
      <c r="E904" s="108"/>
      <c r="F904" s="108"/>
      <c r="G904" s="108"/>
      <c r="H904" s="94"/>
      <c r="I904" s="65"/>
      <c r="J904" s="65"/>
      <c r="K904" s="67"/>
      <c r="L904" s="55"/>
      <c r="M904" s="46"/>
      <c r="N904" s="48"/>
      <c r="O904" s="58"/>
      <c r="P904" s="61"/>
      <c r="Q904" s="13"/>
      <c r="R904" s="41"/>
      <c r="S904" s="38"/>
      <c r="U904" s="51"/>
    </row>
    <row r="905" spans="1:21" s="7" customFormat="1" x14ac:dyDescent="0.25">
      <c r="A905" s="88"/>
      <c r="B905" s="39"/>
      <c r="C905" s="45"/>
      <c r="D905" s="39"/>
      <c r="E905" s="108"/>
      <c r="F905" s="108"/>
      <c r="G905" s="108"/>
      <c r="H905" s="94"/>
      <c r="I905" s="65"/>
      <c r="J905" s="65"/>
      <c r="K905" s="67"/>
      <c r="L905" s="55"/>
      <c r="M905" s="46"/>
      <c r="N905" s="48"/>
      <c r="O905" s="58"/>
      <c r="P905" s="61"/>
      <c r="Q905" s="13"/>
      <c r="R905" s="41"/>
      <c r="S905" s="38"/>
      <c r="U905" s="51"/>
    </row>
    <row r="906" spans="1:21" s="7" customFormat="1" x14ac:dyDescent="0.25">
      <c r="A906" s="88"/>
      <c r="B906" s="39"/>
      <c r="C906" s="45"/>
      <c r="D906" s="39"/>
      <c r="E906" s="108"/>
      <c r="F906" s="108"/>
      <c r="G906" s="108"/>
      <c r="H906" s="94"/>
      <c r="I906" s="65"/>
      <c r="J906" s="65"/>
      <c r="K906" s="67"/>
      <c r="L906" s="55"/>
      <c r="M906" s="46"/>
      <c r="N906" s="48"/>
      <c r="O906" s="58"/>
      <c r="P906" s="61"/>
      <c r="Q906" s="13"/>
      <c r="R906" s="41"/>
      <c r="S906" s="38"/>
      <c r="U906" s="51"/>
    </row>
    <row r="907" spans="1:21" s="7" customFormat="1" x14ac:dyDescent="0.25">
      <c r="A907" s="88"/>
      <c r="B907" s="39"/>
      <c r="C907" s="45"/>
      <c r="D907" s="39"/>
      <c r="E907" s="108"/>
      <c r="F907" s="108"/>
      <c r="G907" s="108"/>
      <c r="H907" s="94"/>
      <c r="I907" s="65"/>
      <c r="J907" s="65"/>
      <c r="K907" s="67"/>
      <c r="L907" s="55"/>
      <c r="M907" s="46"/>
      <c r="N907" s="48"/>
      <c r="O907" s="58"/>
      <c r="P907" s="61"/>
      <c r="Q907" s="13"/>
      <c r="R907" s="41"/>
      <c r="S907" s="38"/>
      <c r="U907" s="51"/>
    </row>
    <row r="908" spans="1:21" s="7" customFormat="1" x14ac:dyDescent="0.25">
      <c r="A908" s="88"/>
      <c r="B908" s="39"/>
      <c r="C908" s="45"/>
      <c r="D908" s="39"/>
      <c r="E908" s="108"/>
      <c r="F908" s="108"/>
      <c r="G908" s="108"/>
      <c r="H908" s="94"/>
      <c r="I908" s="65"/>
      <c r="J908" s="65"/>
      <c r="K908" s="67"/>
      <c r="L908" s="55"/>
      <c r="M908" s="46"/>
      <c r="N908" s="48"/>
      <c r="O908" s="58"/>
      <c r="P908" s="61"/>
      <c r="Q908" s="13"/>
      <c r="R908" s="41"/>
      <c r="S908" s="38"/>
      <c r="U908" s="51"/>
    </row>
    <row r="909" spans="1:21" s="7" customFormat="1" x14ac:dyDescent="0.25">
      <c r="A909" s="88"/>
      <c r="B909" s="39"/>
      <c r="C909" s="45"/>
      <c r="D909" s="39"/>
      <c r="E909" s="108"/>
      <c r="F909" s="108"/>
      <c r="G909" s="108"/>
      <c r="H909" s="94"/>
      <c r="I909" s="65"/>
      <c r="J909" s="65"/>
      <c r="K909" s="67"/>
      <c r="L909" s="55"/>
      <c r="M909" s="46"/>
      <c r="N909" s="48"/>
      <c r="O909" s="58"/>
      <c r="P909" s="61"/>
      <c r="Q909" s="13"/>
      <c r="R909" s="41"/>
      <c r="S909" s="38"/>
      <c r="U909" s="51"/>
    </row>
    <row r="910" spans="1:21" s="7" customFormat="1" x14ac:dyDescent="0.25">
      <c r="A910" s="88"/>
      <c r="B910" s="39"/>
      <c r="C910" s="45"/>
      <c r="D910" s="39"/>
      <c r="E910" s="108"/>
      <c r="F910" s="108"/>
      <c r="G910" s="108"/>
      <c r="H910" s="94"/>
      <c r="I910" s="65"/>
      <c r="J910" s="65"/>
      <c r="K910" s="67"/>
      <c r="L910" s="55"/>
      <c r="M910" s="46"/>
      <c r="N910" s="48"/>
      <c r="O910" s="58"/>
      <c r="P910" s="61"/>
      <c r="Q910" s="13"/>
      <c r="R910" s="41"/>
      <c r="S910" s="38"/>
      <c r="U910" s="51"/>
    </row>
    <row r="911" spans="1:21" s="7" customFormat="1" x14ac:dyDescent="0.25">
      <c r="A911" s="88"/>
      <c r="B911" s="39"/>
      <c r="C911" s="45"/>
      <c r="D911" s="39"/>
      <c r="E911" s="108"/>
      <c r="F911" s="108"/>
      <c r="G911" s="108"/>
      <c r="H911" s="94"/>
      <c r="I911" s="65"/>
      <c r="J911" s="65"/>
      <c r="K911" s="67"/>
      <c r="L911" s="55"/>
      <c r="M911" s="46"/>
      <c r="N911" s="48"/>
      <c r="O911" s="58"/>
      <c r="P911" s="61"/>
      <c r="Q911" s="13"/>
      <c r="R911" s="41"/>
      <c r="S911" s="38"/>
      <c r="U911" s="51"/>
    </row>
    <row r="912" spans="1:21" s="7" customFormat="1" x14ac:dyDescent="0.25">
      <c r="A912" s="88"/>
      <c r="B912" s="39"/>
      <c r="C912" s="45"/>
      <c r="D912" s="45"/>
      <c r="E912" s="108"/>
      <c r="F912" s="108"/>
      <c r="G912" s="108"/>
      <c r="H912" s="94"/>
      <c r="I912" s="65"/>
      <c r="J912" s="65"/>
      <c r="K912" s="67"/>
      <c r="L912" s="55"/>
      <c r="M912" s="46"/>
      <c r="N912" s="48"/>
      <c r="O912" s="58"/>
      <c r="P912" s="61"/>
      <c r="Q912" s="13"/>
      <c r="R912" s="41"/>
      <c r="S912" s="38"/>
      <c r="U912" s="51"/>
    </row>
    <row r="913" spans="1:21" s="7" customFormat="1" x14ac:dyDescent="0.25">
      <c r="A913" s="90"/>
      <c r="B913" s="45"/>
      <c r="C913" s="45"/>
      <c r="D913" s="45"/>
      <c r="E913" s="107"/>
      <c r="F913" s="107"/>
      <c r="G913" s="107"/>
      <c r="H913" s="93"/>
      <c r="I913" s="64"/>
      <c r="J913" s="64"/>
      <c r="K913" s="66"/>
      <c r="L913" s="55"/>
      <c r="M913" s="46"/>
      <c r="N913" s="48"/>
      <c r="O913" s="58"/>
      <c r="P913" s="61"/>
      <c r="Q913" s="13"/>
      <c r="R913" s="41"/>
      <c r="S913" s="38"/>
      <c r="U913" s="51"/>
    </row>
    <row r="914" spans="1:21" s="7" customFormat="1" x14ac:dyDescent="0.25">
      <c r="A914" s="90"/>
      <c r="B914" s="45"/>
      <c r="C914" s="45"/>
      <c r="D914" s="45"/>
      <c r="E914" s="107"/>
      <c r="F914" s="107"/>
      <c r="G914" s="107"/>
      <c r="H914" s="93"/>
      <c r="I914" s="64"/>
      <c r="J914" s="64"/>
      <c r="K914" s="66"/>
      <c r="L914" s="55"/>
      <c r="M914" s="46"/>
      <c r="N914" s="48"/>
      <c r="O914" s="58"/>
      <c r="P914" s="61"/>
      <c r="Q914" s="13"/>
      <c r="R914" s="41"/>
      <c r="S914" s="38"/>
      <c r="U914" s="51"/>
    </row>
    <row r="915" spans="1:21" s="7" customFormat="1" x14ac:dyDescent="0.25">
      <c r="A915" s="90"/>
      <c r="B915" s="45"/>
      <c r="C915" s="45"/>
      <c r="D915" s="45"/>
      <c r="E915" s="107"/>
      <c r="F915" s="107"/>
      <c r="G915" s="107"/>
      <c r="H915" s="93"/>
      <c r="I915" s="64"/>
      <c r="J915" s="64"/>
      <c r="K915" s="66"/>
      <c r="L915" s="55"/>
      <c r="M915" s="46"/>
      <c r="N915" s="48"/>
      <c r="O915" s="58"/>
      <c r="P915" s="61"/>
      <c r="Q915" s="13"/>
      <c r="R915" s="41"/>
      <c r="S915" s="38"/>
      <c r="U915" s="51"/>
    </row>
    <row r="916" spans="1:21" s="7" customFormat="1" x14ac:dyDescent="0.25">
      <c r="A916" s="90"/>
      <c r="B916" s="45"/>
      <c r="C916" s="45"/>
      <c r="D916" s="45"/>
      <c r="E916" s="107"/>
      <c r="F916" s="107"/>
      <c r="G916" s="107"/>
      <c r="H916" s="93"/>
      <c r="I916" s="64"/>
      <c r="J916" s="64"/>
      <c r="K916" s="66"/>
      <c r="L916" s="55"/>
      <c r="M916" s="46"/>
      <c r="N916" s="48"/>
      <c r="O916" s="58"/>
      <c r="P916" s="61"/>
      <c r="Q916" s="13"/>
      <c r="R916" s="41"/>
      <c r="S916" s="38"/>
      <c r="U916" s="51"/>
    </row>
    <row r="917" spans="1:21" s="7" customFormat="1" x14ac:dyDescent="0.25">
      <c r="A917" s="90"/>
      <c r="B917" s="45"/>
      <c r="C917" s="45"/>
      <c r="D917" s="45"/>
      <c r="E917" s="107"/>
      <c r="F917" s="107"/>
      <c r="G917" s="107"/>
      <c r="H917" s="93"/>
      <c r="I917" s="64"/>
      <c r="J917" s="64"/>
      <c r="K917" s="66"/>
      <c r="L917" s="55"/>
      <c r="M917" s="46"/>
      <c r="N917" s="48"/>
      <c r="O917" s="58"/>
      <c r="P917" s="61"/>
      <c r="Q917" s="13"/>
      <c r="R917" s="41"/>
      <c r="S917" s="38"/>
      <c r="U917" s="51"/>
    </row>
    <row r="918" spans="1:21" s="7" customFormat="1" x14ac:dyDescent="0.25">
      <c r="A918" s="90"/>
      <c r="B918" s="45"/>
      <c r="C918" s="45"/>
      <c r="D918" s="45"/>
      <c r="E918" s="107"/>
      <c r="F918" s="107"/>
      <c r="G918" s="107"/>
      <c r="H918" s="93"/>
      <c r="I918" s="64"/>
      <c r="J918" s="64"/>
      <c r="K918" s="66"/>
      <c r="L918" s="55"/>
      <c r="M918" s="46"/>
      <c r="N918" s="48"/>
      <c r="O918" s="58"/>
      <c r="P918" s="61"/>
      <c r="Q918" s="13"/>
      <c r="R918" s="41"/>
      <c r="S918" s="38"/>
      <c r="U918" s="51"/>
    </row>
    <row r="919" spans="1:21" s="7" customFormat="1" x14ac:dyDescent="0.25">
      <c r="A919" s="90"/>
      <c r="B919" s="45"/>
      <c r="C919" s="45"/>
      <c r="D919" s="45"/>
      <c r="E919" s="107"/>
      <c r="F919" s="107"/>
      <c r="G919" s="107"/>
      <c r="H919" s="93"/>
      <c r="I919" s="64"/>
      <c r="J919" s="64"/>
      <c r="K919" s="66"/>
      <c r="L919" s="55"/>
      <c r="M919" s="46"/>
      <c r="N919" s="48"/>
      <c r="O919" s="58"/>
      <c r="P919" s="61"/>
      <c r="Q919" s="13"/>
      <c r="R919" s="41"/>
      <c r="S919" s="38"/>
      <c r="U919" s="51"/>
    </row>
    <row r="920" spans="1:21" s="7" customFormat="1" x14ac:dyDescent="0.25">
      <c r="A920" s="90"/>
      <c r="B920" s="45"/>
      <c r="C920" s="45"/>
      <c r="D920" s="45"/>
      <c r="E920" s="107"/>
      <c r="F920" s="107"/>
      <c r="G920" s="107"/>
      <c r="H920" s="93"/>
      <c r="I920" s="64"/>
      <c r="J920" s="64"/>
      <c r="K920" s="66"/>
      <c r="L920" s="55"/>
      <c r="M920" s="46"/>
      <c r="N920" s="48"/>
      <c r="O920" s="58"/>
      <c r="P920" s="61"/>
      <c r="Q920" s="13"/>
      <c r="R920" s="41"/>
      <c r="S920" s="38"/>
      <c r="U920" s="51"/>
    </row>
    <row r="921" spans="1:21" s="7" customFormat="1" x14ac:dyDescent="0.25">
      <c r="A921" s="90"/>
      <c r="B921" s="45"/>
      <c r="C921" s="45"/>
      <c r="D921" s="45"/>
      <c r="E921" s="107"/>
      <c r="F921" s="107"/>
      <c r="G921" s="107"/>
      <c r="H921" s="93"/>
      <c r="I921" s="64"/>
      <c r="J921" s="64"/>
      <c r="K921" s="66"/>
      <c r="L921" s="55"/>
      <c r="M921" s="46"/>
      <c r="N921" s="48"/>
      <c r="O921" s="58"/>
      <c r="P921" s="61"/>
      <c r="Q921" s="13"/>
      <c r="R921" s="41"/>
      <c r="S921" s="38"/>
      <c r="U921" s="51"/>
    </row>
    <row r="922" spans="1:21" s="7" customFormat="1" x14ac:dyDescent="0.25">
      <c r="A922" s="90"/>
      <c r="B922" s="45"/>
      <c r="C922" s="45"/>
      <c r="D922" s="45"/>
      <c r="E922" s="107"/>
      <c r="F922" s="107"/>
      <c r="G922" s="107"/>
      <c r="H922" s="93"/>
      <c r="I922" s="64"/>
      <c r="J922" s="64"/>
      <c r="K922" s="66"/>
      <c r="L922" s="55"/>
      <c r="M922" s="46"/>
      <c r="N922" s="48"/>
      <c r="O922" s="58"/>
      <c r="P922" s="61"/>
      <c r="Q922" s="13"/>
      <c r="R922" s="41"/>
      <c r="S922" s="38"/>
      <c r="U922" s="51"/>
    </row>
    <row r="923" spans="1:21" s="7" customFormat="1" x14ac:dyDescent="0.25">
      <c r="A923" s="90"/>
      <c r="B923" s="45"/>
      <c r="C923" s="45"/>
      <c r="D923" s="45"/>
      <c r="E923" s="107"/>
      <c r="F923" s="107"/>
      <c r="G923" s="107"/>
      <c r="H923" s="93"/>
      <c r="I923" s="64"/>
      <c r="J923" s="64"/>
      <c r="K923" s="66"/>
      <c r="L923" s="55"/>
      <c r="M923" s="46"/>
      <c r="N923" s="48"/>
      <c r="O923" s="58"/>
      <c r="P923" s="61"/>
      <c r="Q923" s="13"/>
      <c r="R923" s="41"/>
      <c r="S923" s="38"/>
      <c r="U923" s="51"/>
    </row>
    <row r="924" spans="1:21" s="7" customFormat="1" x14ac:dyDescent="0.25">
      <c r="A924" s="90"/>
      <c r="B924" s="45"/>
      <c r="C924" s="45"/>
      <c r="D924" s="45"/>
      <c r="E924" s="107"/>
      <c r="F924" s="107"/>
      <c r="G924" s="107"/>
      <c r="H924" s="93"/>
      <c r="I924" s="64"/>
      <c r="J924" s="64"/>
      <c r="K924" s="66"/>
      <c r="L924" s="55"/>
      <c r="M924" s="46"/>
      <c r="N924" s="48"/>
      <c r="O924" s="58"/>
      <c r="P924" s="61"/>
      <c r="Q924" s="13"/>
      <c r="R924" s="41"/>
      <c r="S924" s="38"/>
      <c r="U924" s="51"/>
    </row>
    <row r="925" spans="1:21" s="7" customFormat="1" x14ac:dyDescent="0.25">
      <c r="A925" s="90"/>
      <c r="B925" s="45"/>
      <c r="C925" s="45"/>
      <c r="D925" s="45"/>
      <c r="E925" s="107"/>
      <c r="F925" s="107"/>
      <c r="G925" s="107"/>
      <c r="H925" s="93"/>
      <c r="I925" s="64"/>
      <c r="J925" s="64"/>
      <c r="K925" s="66"/>
      <c r="L925" s="55"/>
      <c r="M925" s="46"/>
      <c r="N925" s="48"/>
      <c r="O925" s="58"/>
      <c r="P925" s="61"/>
      <c r="Q925" s="13"/>
      <c r="R925" s="41"/>
      <c r="S925" s="38"/>
      <c r="U925" s="51"/>
    </row>
    <row r="926" spans="1:21" s="7" customFormat="1" x14ac:dyDescent="0.25">
      <c r="A926" s="90"/>
      <c r="B926" s="45"/>
      <c r="C926" s="45"/>
      <c r="D926" s="45"/>
      <c r="E926" s="107"/>
      <c r="F926" s="107"/>
      <c r="G926" s="107"/>
      <c r="H926" s="93"/>
      <c r="I926" s="64"/>
      <c r="J926" s="64"/>
      <c r="K926" s="66"/>
      <c r="L926" s="55"/>
      <c r="M926" s="46"/>
      <c r="N926" s="48"/>
      <c r="O926" s="58"/>
      <c r="P926" s="61"/>
      <c r="Q926" s="13"/>
      <c r="R926" s="41"/>
      <c r="S926" s="38"/>
      <c r="U926" s="51"/>
    </row>
    <row r="927" spans="1:21" s="7" customFormat="1" x14ac:dyDescent="0.25">
      <c r="A927" s="90"/>
      <c r="B927" s="45"/>
      <c r="C927" s="45"/>
      <c r="D927" s="45"/>
      <c r="E927" s="107"/>
      <c r="F927" s="107"/>
      <c r="G927" s="107"/>
      <c r="H927" s="93"/>
      <c r="I927" s="64"/>
      <c r="J927" s="64"/>
      <c r="K927" s="66"/>
      <c r="L927" s="55"/>
      <c r="M927" s="46"/>
      <c r="N927" s="48"/>
      <c r="O927" s="58"/>
      <c r="P927" s="61"/>
      <c r="Q927" s="13"/>
      <c r="R927" s="41"/>
      <c r="S927" s="38"/>
      <c r="U927" s="51"/>
    </row>
    <row r="928" spans="1:21" s="7" customFormat="1" x14ac:dyDescent="0.25">
      <c r="A928" s="90"/>
      <c r="B928" s="45"/>
      <c r="C928" s="45"/>
      <c r="D928" s="45"/>
      <c r="E928" s="107"/>
      <c r="F928" s="107"/>
      <c r="G928" s="107"/>
      <c r="H928" s="93"/>
      <c r="I928" s="64"/>
      <c r="J928" s="64"/>
      <c r="K928" s="66"/>
      <c r="L928" s="55"/>
      <c r="M928" s="46"/>
      <c r="N928" s="48"/>
      <c r="O928" s="58"/>
      <c r="P928" s="61"/>
      <c r="Q928" s="13"/>
      <c r="R928" s="41"/>
      <c r="S928" s="38"/>
      <c r="U928" s="51"/>
    </row>
    <row r="929" spans="1:21" s="7" customFormat="1" x14ac:dyDescent="0.25">
      <c r="A929" s="90"/>
      <c r="B929" s="45"/>
      <c r="C929" s="45"/>
      <c r="D929" s="45"/>
      <c r="E929" s="107"/>
      <c r="F929" s="107"/>
      <c r="G929" s="107"/>
      <c r="H929" s="93"/>
      <c r="I929" s="64"/>
      <c r="J929" s="64"/>
      <c r="K929" s="66"/>
      <c r="L929" s="55"/>
      <c r="M929" s="46"/>
      <c r="N929" s="48"/>
      <c r="O929" s="58"/>
      <c r="P929" s="61"/>
      <c r="Q929" s="13"/>
      <c r="R929" s="41"/>
      <c r="S929" s="38"/>
      <c r="U929" s="51"/>
    </row>
    <row r="930" spans="1:21" s="7" customFormat="1" x14ac:dyDescent="0.25">
      <c r="A930" s="90"/>
      <c r="B930" s="45"/>
      <c r="C930" s="45"/>
      <c r="D930" s="45"/>
      <c r="E930" s="107"/>
      <c r="F930" s="107"/>
      <c r="G930" s="107"/>
      <c r="H930" s="93"/>
      <c r="I930" s="64"/>
      <c r="J930" s="64"/>
      <c r="K930" s="66"/>
      <c r="L930" s="55"/>
      <c r="M930" s="46"/>
      <c r="N930" s="48"/>
      <c r="O930" s="58"/>
      <c r="P930" s="61"/>
      <c r="Q930" s="13"/>
      <c r="R930" s="41"/>
      <c r="S930" s="38"/>
      <c r="U930" s="51"/>
    </row>
    <row r="931" spans="1:21" s="7" customFormat="1" x14ac:dyDescent="0.25">
      <c r="A931" s="90"/>
      <c r="B931" s="45"/>
      <c r="C931" s="45"/>
      <c r="D931" s="45"/>
      <c r="E931" s="107"/>
      <c r="F931" s="107"/>
      <c r="G931" s="107"/>
      <c r="H931" s="93"/>
      <c r="I931" s="64"/>
      <c r="J931" s="64"/>
      <c r="K931" s="66"/>
      <c r="L931" s="55"/>
      <c r="M931" s="46"/>
      <c r="N931" s="48"/>
      <c r="O931" s="58"/>
      <c r="P931" s="61"/>
      <c r="Q931" s="13"/>
      <c r="R931" s="41"/>
      <c r="S931" s="38"/>
      <c r="U931" s="51"/>
    </row>
    <row r="932" spans="1:21" s="7" customFormat="1" x14ac:dyDescent="0.25">
      <c r="A932" s="90"/>
      <c r="B932" s="45"/>
      <c r="C932" s="45"/>
      <c r="D932" s="45"/>
      <c r="E932" s="107"/>
      <c r="F932" s="107"/>
      <c r="G932" s="107"/>
      <c r="H932" s="93"/>
      <c r="I932" s="64"/>
      <c r="J932" s="64"/>
      <c r="K932" s="66"/>
      <c r="L932" s="55"/>
      <c r="M932" s="46"/>
      <c r="N932" s="48"/>
      <c r="O932" s="58"/>
      <c r="P932" s="61"/>
      <c r="Q932" s="13"/>
      <c r="R932" s="41"/>
      <c r="S932" s="38"/>
      <c r="U932" s="51"/>
    </row>
    <row r="933" spans="1:21" s="7" customFormat="1" x14ac:dyDescent="0.25">
      <c r="A933" s="90"/>
      <c r="B933" s="45"/>
      <c r="C933" s="45"/>
      <c r="D933" s="45"/>
      <c r="E933" s="107"/>
      <c r="F933" s="107"/>
      <c r="G933" s="107"/>
      <c r="H933" s="93"/>
      <c r="I933" s="64"/>
      <c r="J933" s="64"/>
      <c r="K933" s="66"/>
      <c r="L933" s="55"/>
      <c r="M933" s="46"/>
      <c r="N933" s="48"/>
      <c r="O933" s="58"/>
      <c r="P933" s="61"/>
      <c r="Q933" s="13"/>
      <c r="R933" s="41"/>
      <c r="S933" s="38"/>
      <c r="U933" s="51"/>
    </row>
    <row r="934" spans="1:21" s="7" customFormat="1" x14ac:dyDescent="0.25">
      <c r="A934" s="90"/>
      <c r="B934" s="45"/>
      <c r="C934" s="45"/>
      <c r="D934" s="45"/>
      <c r="E934" s="107"/>
      <c r="F934" s="107"/>
      <c r="G934" s="107"/>
      <c r="H934" s="93"/>
      <c r="I934" s="64"/>
      <c r="J934" s="64"/>
      <c r="K934" s="66"/>
      <c r="L934" s="55"/>
      <c r="M934" s="46"/>
      <c r="N934" s="48"/>
      <c r="O934" s="58"/>
      <c r="P934" s="61"/>
      <c r="Q934" s="13"/>
      <c r="R934" s="41"/>
      <c r="S934" s="38"/>
      <c r="U934" s="51"/>
    </row>
    <row r="935" spans="1:21" s="7" customFormat="1" x14ac:dyDescent="0.25">
      <c r="A935" s="90"/>
      <c r="B935" s="45"/>
      <c r="C935" s="45"/>
      <c r="D935" s="45"/>
      <c r="E935" s="107"/>
      <c r="F935" s="107"/>
      <c r="G935" s="107"/>
      <c r="H935" s="93"/>
      <c r="I935" s="64"/>
      <c r="J935" s="64"/>
      <c r="K935" s="66"/>
      <c r="L935" s="55"/>
      <c r="M935" s="46"/>
      <c r="N935" s="48"/>
      <c r="O935" s="58"/>
      <c r="P935" s="61"/>
      <c r="Q935" s="13"/>
      <c r="R935" s="41"/>
      <c r="S935" s="38"/>
      <c r="U935" s="51"/>
    </row>
    <row r="936" spans="1:21" s="7" customFormat="1" x14ac:dyDescent="0.25">
      <c r="A936" s="90"/>
      <c r="B936" s="45"/>
      <c r="C936" s="45"/>
      <c r="D936" s="45"/>
      <c r="E936" s="107"/>
      <c r="F936" s="107"/>
      <c r="G936" s="107"/>
      <c r="H936" s="93"/>
      <c r="I936" s="64"/>
      <c r="J936" s="64"/>
      <c r="K936" s="66"/>
      <c r="L936" s="55"/>
      <c r="M936" s="46"/>
      <c r="N936" s="48"/>
      <c r="O936" s="58"/>
      <c r="P936" s="61"/>
      <c r="Q936" s="13"/>
      <c r="R936" s="41"/>
      <c r="S936" s="38"/>
      <c r="U936" s="51"/>
    </row>
    <row r="937" spans="1:21" s="7" customFormat="1" x14ac:dyDescent="0.25">
      <c r="A937" s="90"/>
      <c r="B937" s="45"/>
      <c r="C937" s="45"/>
      <c r="D937" s="45"/>
      <c r="E937" s="107"/>
      <c r="F937" s="107"/>
      <c r="G937" s="107"/>
      <c r="H937" s="93"/>
      <c r="I937" s="64"/>
      <c r="J937" s="64"/>
      <c r="K937" s="66"/>
      <c r="L937" s="55"/>
      <c r="M937" s="46"/>
      <c r="N937" s="48"/>
      <c r="O937" s="58"/>
      <c r="P937" s="61"/>
      <c r="Q937" s="13"/>
      <c r="R937" s="41"/>
      <c r="S937" s="38"/>
      <c r="U937" s="51"/>
    </row>
    <row r="938" spans="1:21" s="7" customFormat="1" x14ac:dyDescent="0.25">
      <c r="A938" s="90"/>
      <c r="B938" s="45"/>
      <c r="C938" s="45"/>
      <c r="D938" s="45"/>
      <c r="E938" s="107"/>
      <c r="F938" s="107"/>
      <c r="G938" s="107"/>
      <c r="H938" s="93"/>
      <c r="I938" s="64"/>
      <c r="J938" s="64"/>
      <c r="K938" s="66"/>
      <c r="L938" s="55"/>
      <c r="M938" s="46"/>
      <c r="N938" s="48"/>
      <c r="O938" s="58"/>
      <c r="P938" s="61"/>
      <c r="Q938" s="13"/>
      <c r="R938" s="41"/>
      <c r="S938" s="38"/>
      <c r="U938" s="51"/>
    </row>
    <row r="939" spans="1:21" s="7" customFormat="1" x14ac:dyDescent="0.25">
      <c r="A939" s="90"/>
      <c r="B939" s="45"/>
      <c r="C939" s="45"/>
      <c r="D939" s="45"/>
      <c r="E939" s="107"/>
      <c r="F939" s="107"/>
      <c r="G939" s="107"/>
      <c r="H939" s="93"/>
      <c r="I939" s="64"/>
      <c r="J939" s="64"/>
      <c r="K939" s="66"/>
      <c r="L939" s="55"/>
      <c r="M939" s="46"/>
      <c r="N939" s="48"/>
      <c r="O939" s="58"/>
      <c r="P939" s="61"/>
      <c r="Q939" s="13"/>
      <c r="R939" s="41"/>
      <c r="S939" s="38"/>
      <c r="U939" s="51"/>
    </row>
    <row r="940" spans="1:21" s="7" customFormat="1" x14ac:dyDescent="0.25">
      <c r="A940" s="90"/>
      <c r="B940" s="45"/>
      <c r="C940" s="45"/>
      <c r="D940" s="45"/>
      <c r="E940" s="107"/>
      <c r="F940" s="107"/>
      <c r="G940" s="107"/>
      <c r="H940" s="93"/>
      <c r="I940" s="64"/>
      <c r="J940" s="64"/>
      <c r="K940" s="66"/>
      <c r="L940" s="55"/>
      <c r="M940" s="46"/>
      <c r="N940" s="48"/>
      <c r="O940" s="58"/>
      <c r="P940" s="61"/>
      <c r="Q940" s="13"/>
      <c r="R940" s="41"/>
      <c r="S940" s="38"/>
      <c r="U940" s="51"/>
    </row>
    <row r="941" spans="1:21" s="7" customFormat="1" x14ac:dyDescent="0.25">
      <c r="A941" s="90"/>
      <c r="B941" s="45"/>
      <c r="C941" s="45"/>
      <c r="D941" s="45"/>
      <c r="E941" s="107"/>
      <c r="F941" s="107"/>
      <c r="G941" s="107"/>
      <c r="H941" s="93"/>
      <c r="I941" s="64"/>
      <c r="J941" s="64"/>
      <c r="K941" s="66"/>
      <c r="L941" s="55"/>
      <c r="M941" s="46"/>
      <c r="N941" s="48"/>
      <c r="O941" s="58"/>
      <c r="P941" s="61"/>
      <c r="Q941" s="13"/>
      <c r="R941" s="41"/>
      <c r="S941" s="38"/>
      <c r="U941" s="51"/>
    </row>
    <row r="942" spans="1:21" s="7" customFormat="1" x14ac:dyDescent="0.25">
      <c r="A942" s="90"/>
      <c r="B942" s="45"/>
      <c r="C942" s="45"/>
      <c r="D942" s="45"/>
      <c r="E942" s="107"/>
      <c r="F942" s="107"/>
      <c r="G942" s="107"/>
      <c r="H942" s="93"/>
      <c r="I942" s="64"/>
      <c r="J942" s="64"/>
      <c r="K942" s="66"/>
      <c r="L942" s="55"/>
      <c r="M942" s="46"/>
      <c r="N942" s="48"/>
      <c r="O942" s="58"/>
      <c r="P942" s="61"/>
      <c r="Q942" s="13"/>
      <c r="R942" s="41"/>
      <c r="S942" s="38"/>
      <c r="U942" s="51"/>
    </row>
    <row r="943" spans="1:21" s="7" customFormat="1" x14ac:dyDescent="0.25">
      <c r="A943" s="90"/>
      <c r="B943" s="45"/>
      <c r="C943" s="45"/>
      <c r="D943" s="45"/>
      <c r="E943" s="107"/>
      <c r="F943" s="107"/>
      <c r="G943" s="107"/>
      <c r="H943" s="93"/>
      <c r="I943" s="64"/>
      <c r="J943" s="64"/>
      <c r="K943" s="66"/>
      <c r="L943" s="55"/>
      <c r="M943" s="46"/>
      <c r="N943" s="48"/>
      <c r="O943" s="58"/>
      <c r="P943" s="61"/>
      <c r="Q943" s="13"/>
      <c r="R943" s="41"/>
      <c r="S943" s="38"/>
      <c r="U943" s="51"/>
    </row>
    <row r="944" spans="1:21" s="7" customFormat="1" x14ac:dyDescent="0.25">
      <c r="A944" s="90"/>
      <c r="B944" s="45"/>
      <c r="C944" s="45"/>
      <c r="D944" s="45"/>
      <c r="E944" s="107"/>
      <c r="F944" s="107"/>
      <c r="G944" s="107"/>
      <c r="H944" s="93"/>
      <c r="I944" s="64"/>
      <c r="J944" s="64"/>
      <c r="K944" s="66"/>
      <c r="L944" s="55"/>
      <c r="M944" s="46"/>
      <c r="N944" s="48"/>
      <c r="O944" s="58"/>
      <c r="P944" s="61"/>
      <c r="Q944" s="13"/>
      <c r="R944" s="41"/>
      <c r="S944" s="38"/>
      <c r="U944" s="51"/>
    </row>
    <row r="945" spans="1:21" s="7" customFormat="1" x14ac:dyDescent="0.25">
      <c r="A945" s="90"/>
      <c r="B945" s="45"/>
      <c r="C945" s="45"/>
      <c r="D945" s="45"/>
      <c r="E945" s="107"/>
      <c r="F945" s="107"/>
      <c r="G945" s="107"/>
      <c r="H945" s="93"/>
      <c r="I945" s="64"/>
      <c r="J945" s="64"/>
      <c r="K945" s="66"/>
      <c r="L945" s="55"/>
      <c r="M945" s="46"/>
      <c r="N945" s="48"/>
      <c r="O945" s="58"/>
      <c r="P945" s="61"/>
      <c r="Q945" s="13"/>
      <c r="R945" s="41"/>
      <c r="S945" s="38"/>
      <c r="U945" s="51"/>
    </row>
    <row r="946" spans="1:21" s="7" customFormat="1" x14ac:dyDescent="0.25">
      <c r="A946" s="90"/>
      <c r="B946" s="45"/>
      <c r="C946" s="45"/>
      <c r="D946" s="45"/>
      <c r="E946" s="107"/>
      <c r="F946" s="107"/>
      <c r="G946" s="107"/>
      <c r="H946" s="93"/>
      <c r="I946" s="64"/>
      <c r="J946" s="64"/>
      <c r="K946" s="66"/>
      <c r="L946" s="55"/>
      <c r="M946" s="46"/>
      <c r="N946" s="48"/>
      <c r="O946" s="58"/>
      <c r="P946" s="61"/>
      <c r="Q946" s="13"/>
      <c r="R946" s="41"/>
      <c r="S946" s="38"/>
      <c r="U946" s="51"/>
    </row>
    <row r="947" spans="1:21" s="7" customFormat="1" x14ac:dyDescent="0.25">
      <c r="A947" s="90"/>
      <c r="B947" s="45"/>
      <c r="C947" s="45"/>
      <c r="D947" s="45"/>
      <c r="E947" s="107"/>
      <c r="F947" s="107"/>
      <c r="G947" s="107"/>
      <c r="H947" s="93"/>
      <c r="I947" s="64"/>
      <c r="J947" s="64"/>
      <c r="K947" s="66"/>
      <c r="L947" s="55"/>
      <c r="M947" s="46"/>
      <c r="N947" s="48"/>
      <c r="O947" s="58"/>
      <c r="P947" s="61"/>
      <c r="Q947" s="13"/>
      <c r="R947" s="41"/>
      <c r="S947" s="38"/>
      <c r="U947" s="51"/>
    </row>
    <row r="948" spans="1:21" s="7" customFormat="1" x14ac:dyDescent="0.25">
      <c r="A948" s="90"/>
      <c r="B948" s="45"/>
      <c r="C948" s="45"/>
      <c r="D948" s="45"/>
      <c r="E948" s="107"/>
      <c r="F948" s="107"/>
      <c r="G948" s="107"/>
      <c r="H948" s="93"/>
      <c r="I948" s="64"/>
      <c r="J948" s="64"/>
      <c r="K948" s="66"/>
      <c r="L948" s="55"/>
      <c r="M948" s="46"/>
      <c r="N948" s="48"/>
      <c r="O948" s="58"/>
      <c r="P948" s="61"/>
      <c r="Q948" s="13"/>
      <c r="R948" s="41"/>
      <c r="S948" s="38"/>
      <c r="U948" s="51"/>
    </row>
    <row r="949" spans="1:21" s="7" customFormat="1" x14ac:dyDescent="0.25">
      <c r="A949" s="90"/>
      <c r="B949" s="45"/>
      <c r="C949" s="45"/>
      <c r="D949" s="45"/>
      <c r="E949" s="107"/>
      <c r="F949" s="107"/>
      <c r="G949" s="107"/>
      <c r="H949" s="93"/>
      <c r="I949" s="64"/>
      <c r="J949" s="64"/>
      <c r="K949" s="66"/>
      <c r="L949" s="55"/>
      <c r="M949" s="46"/>
      <c r="N949" s="48"/>
      <c r="O949" s="58"/>
      <c r="P949" s="61"/>
      <c r="Q949" s="13"/>
      <c r="R949" s="41"/>
      <c r="S949" s="38"/>
      <c r="U949" s="51"/>
    </row>
    <row r="950" spans="1:21" s="7" customFormat="1" x14ac:dyDescent="0.25">
      <c r="A950" s="90"/>
      <c r="B950" s="45"/>
      <c r="C950" s="45"/>
      <c r="D950" s="45"/>
      <c r="E950" s="107"/>
      <c r="F950" s="107"/>
      <c r="G950" s="107"/>
      <c r="H950" s="93"/>
      <c r="I950" s="64"/>
      <c r="J950" s="64"/>
      <c r="K950" s="66"/>
      <c r="L950" s="55"/>
      <c r="M950" s="46"/>
      <c r="N950" s="48"/>
      <c r="O950" s="58"/>
      <c r="P950" s="61"/>
      <c r="Q950" s="13"/>
      <c r="R950" s="41"/>
      <c r="S950" s="38"/>
      <c r="U950" s="51"/>
    </row>
    <row r="951" spans="1:21" s="7" customFormat="1" x14ac:dyDescent="0.25">
      <c r="A951" s="90"/>
      <c r="B951" s="45"/>
      <c r="C951" s="45"/>
      <c r="D951" s="45"/>
      <c r="E951" s="107"/>
      <c r="F951" s="107"/>
      <c r="G951" s="107"/>
      <c r="H951" s="93"/>
      <c r="I951" s="64"/>
      <c r="J951" s="64"/>
      <c r="K951" s="66"/>
      <c r="L951" s="55"/>
      <c r="M951" s="46"/>
      <c r="N951" s="48"/>
      <c r="O951" s="58"/>
      <c r="P951" s="61"/>
      <c r="Q951" s="13"/>
      <c r="R951" s="41"/>
      <c r="S951" s="38"/>
      <c r="U951" s="51"/>
    </row>
    <row r="952" spans="1:21" s="7" customFormat="1" x14ac:dyDescent="0.25">
      <c r="A952" s="90"/>
      <c r="B952" s="45"/>
      <c r="C952" s="45"/>
      <c r="D952" s="45"/>
      <c r="E952" s="107"/>
      <c r="F952" s="107"/>
      <c r="G952" s="107"/>
      <c r="H952" s="93"/>
      <c r="I952" s="64"/>
      <c r="J952" s="64"/>
      <c r="K952" s="66"/>
      <c r="L952" s="55"/>
      <c r="M952" s="46"/>
      <c r="N952" s="48"/>
      <c r="O952" s="58"/>
      <c r="P952" s="61"/>
      <c r="Q952" s="13"/>
      <c r="R952" s="41"/>
      <c r="S952" s="38"/>
      <c r="U952" s="51"/>
    </row>
    <row r="953" spans="1:21" s="7" customFormat="1" x14ac:dyDescent="0.25">
      <c r="A953" s="90"/>
      <c r="B953" s="45"/>
      <c r="C953" s="45"/>
      <c r="D953" s="45"/>
      <c r="E953" s="107"/>
      <c r="F953" s="107"/>
      <c r="G953" s="107"/>
      <c r="H953" s="93"/>
      <c r="I953" s="64"/>
      <c r="J953" s="64"/>
      <c r="K953" s="66"/>
      <c r="L953" s="55"/>
      <c r="M953" s="46"/>
      <c r="N953" s="48"/>
      <c r="O953" s="58"/>
      <c r="P953" s="61"/>
      <c r="Q953" s="13"/>
      <c r="R953" s="41"/>
      <c r="S953" s="38"/>
      <c r="U953" s="51"/>
    </row>
    <row r="954" spans="1:21" s="7" customFormat="1" x14ac:dyDescent="0.25">
      <c r="A954" s="90"/>
      <c r="B954" s="45"/>
      <c r="C954" s="45"/>
      <c r="D954" s="45"/>
      <c r="E954" s="107"/>
      <c r="F954" s="107"/>
      <c r="G954" s="107"/>
      <c r="H954" s="93"/>
      <c r="I954" s="64"/>
      <c r="J954" s="64"/>
      <c r="K954" s="66"/>
      <c r="L954" s="55"/>
      <c r="M954" s="46"/>
      <c r="N954" s="48"/>
      <c r="O954" s="58"/>
      <c r="P954" s="61"/>
      <c r="Q954" s="13"/>
      <c r="R954" s="41"/>
      <c r="S954" s="38"/>
      <c r="U954" s="51"/>
    </row>
    <row r="955" spans="1:21" s="7" customFormat="1" x14ac:dyDescent="0.25">
      <c r="A955" s="90"/>
      <c r="B955" s="45"/>
      <c r="C955" s="45"/>
      <c r="D955" s="45"/>
      <c r="E955" s="107"/>
      <c r="F955" s="107"/>
      <c r="G955" s="107"/>
      <c r="H955" s="93"/>
      <c r="I955" s="64"/>
      <c r="J955" s="64"/>
      <c r="K955" s="66"/>
      <c r="L955" s="55"/>
      <c r="M955" s="46"/>
      <c r="N955" s="48"/>
      <c r="O955" s="58"/>
      <c r="P955" s="61"/>
      <c r="Q955" s="13"/>
      <c r="R955" s="41"/>
      <c r="S955" s="38"/>
      <c r="U955" s="51"/>
    </row>
    <row r="956" spans="1:21" s="7" customFormat="1" x14ac:dyDescent="0.25">
      <c r="A956" s="90"/>
      <c r="B956" s="45"/>
      <c r="C956" s="45"/>
      <c r="D956" s="45"/>
      <c r="E956" s="107"/>
      <c r="F956" s="107"/>
      <c r="G956" s="107"/>
      <c r="H956" s="93"/>
      <c r="I956" s="64"/>
      <c r="J956" s="64"/>
      <c r="K956" s="66"/>
      <c r="L956" s="55"/>
      <c r="M956" s="46"/>
      <c r="N956" s="48"/>
      <c r="O956" s="58"/>
      <c r="P956" s="61"/>
      <c r="Q956" s="13"/>
      <c r="R956" s="41"/>
      <c r="S956" s="38"/>
      <c r="U956" s="51"/>
    </row>
    <row r="957" spans="1:21" s="7" customFormat="1" x14ac:dyDescent="0.25">
      <c r="A957" s="90"/>
      <c r="B957" s="45"/>
      <c r="C957" s="45"/>
      <c r="D957" s="45"/>
      <c r="E957" s="107"/>
      <c r="F957" s="107"/>
      <c r="G957" s="107"/>
      <c r="H957" s="93"/>
      <c r="I957" s="64"/>
      <c r="J957" s="64"/>
      <c r="K957" s="66"/>
      <c r="L957" s="55"/>
      <c r="M957" s="46"/>
      <c r="N957" s="48"/>
      <c r="O957" s="58"/>
      <c r="P957" s="61"/>
      <c r="Q957" s="13"/>
      <c r="R957" s="41"/>
      <c r="S957" s="38"/>
      <c r="U957" s="51"/>
    </row>
    <row r="958" spans="1:21" s="7" customFormat="1" x14ac:dyDescent="0.25">
      <c r="A958" s="90"/>
      <c r="B958" s="45"/>
      <c r="C958" s="45"/>
      <c r="D958" s="45"/>
      <c r="E958" s="107"/>
      <c r="F958" s="107"/>
      <c r="G958" s="107"/>
      <c r="H958" s="93"/>
      <c r="I958" s="64"/>
      <c r="J958" s="64"/>
      <c r="K958" s="66"/>
      <c r="L958" s="55"/>
      <c r="M958" s="46"/>
      <c r="N958" s="48"/>
      <c r="O958" s="58"/>
      <c r="P958" s="61"/>
      <c r="Q958" s="13"/>
      <c r="R958" s="41"/>
      <c r="S958" s="38"/>
      <c r="U958" s="51"/>
    </row>
    <row r="959" spans="1:21" s="7" customFormat="1" x14ac:dyDescent="0.25">
      <c r="A959" s="90"/>
      <c r="B959" s="45"/>
      <c r="C959" s="45"/>
      <c r="D959" s="45"/>
      <c r="E959" s="107"/>
      <c r="F959" s="107"/>
      <c r="G959" s="107"/>
      <c r="H959" s="93"/>
      <c r="I959" s="64"/>
      <c r="J959" s="64"/>
      <c r="K959" s="66"/>
      <c r="L959" s="55"/>
      <c r="M959" s="46"/>
      <c r="N959" s="48"/>
      <c r="O959" s="58"/>
      <c r="P959" s="61"/>
      <c r="Q959" s="13"/>
      <c r="R959" s="41"/>
      <c r="S959" s="38"/>
      <c r="U959" s="51"/>
    </row>
    <row r="960" spans="1:21" s="7" customFormat="1" x14ac:dyDescent="0.25">
      <c r="A960" s="90"/>
      <c r="B960" s="45"/>
      <c r="C960" s="45"/>
      <c r="D960" s="45"/>
      <c r="E960" s="107"/>
      <c r="F960" s="107"/>
      <c r="G960" s="107"/>
      <c r="H960" s="93"/>
      <c r="I960" s="64"/>
      <c r="J960" s="64"/>
      <c r="K960" s="66"/>
      <c r="L960" s="55"/>
      <c r="M960" s="46"/>
      <c r="N960" s="48"/>
      <c r="O960" s="58"/>
      <c r="P960" s="61"/>
      <c r="Q960" s="13"/>
      <c r="R960" s="41"/>
      <c r="S960" s="38"/>
      <c r="U960" s="51"/>
    </row>
    <row r="961" spans="1:21" s="7" customFormat="1" x14ac:dyDescent="0.25">
      <c r="A961" s="90"/>
      <c r="B961" s="45"/>
      <c r="C961" s="45"/>
      <c r="D961" s="45"/>
      <c r="E961" s="107"/>
      <c r="F961" s="107"/>
      <c r="G961" s="107"/>
      <c r="H961" s="93"/>
      <c r="I961" s="64"/>
      <c r="J961" s="64"/>
      <c r="K961" s="66"/>
      <c r="L961" s="55"/>
      <c r="M961" s="46"/>
      <c r="N961" s="48"/>
      <c r="O961" s="58"/>
      <c r="P961" s="61"/>
      <c r="Q961" s="13"/>
      <c r="R961" s="41"/>
      <c r="S961" s="38"/>
      <c r="U961" s="51"/>
    </row>
    <row r="962" spans="1:21" s="7" customFormat="1" x14ac:dyDescent="0.25">
      <c r="A962" s="90"/>
      <c r="B962" s="45"/>
      <c r="C962" s="45"/>
      <c r="D962" s="45"/>
      <c r="E962" s="107"/>
      <c r="F962" s="107"/>
      <c r="G962" s="107"/>
      <c r="H962" s="93"/>
      <c r="I962" s="64"/>
      <c r="J962" s="64"/>
      <c r="K962" s="66"/>
      <c r="L962" s="55"/>
      <c r="M962" s="46"/>
      <c r="N962" s="48"/>
      <c r="O962" s="58"/>
      <c r="P962" s="61"/>
      <c r="Q962" s="13"/>
      <c r="R962" s="41"/>
      <c r="S962" s="38"/>
      <c r="U962" s="51"/>
    </row>
    <row r="963" spans="1:21" s="7" customFormat="1" x14ac:dyDescent="0.25">
      <c r="A963" s="90"/>
      <c r="B963" s="45"/>
      <c r="C963" s="45"/>
      <c r="D963" s="45"/>
      <c r="E963" s="107"/>
      <c r="F963" s="107"/>
      <c r="G963" s="107"/>
      <c r="H963" s="93"/>
      <c r="I963" s="64"/>
      <c r="J963" s="64"/>
      <c r="K963" s="66"/>
      <c r="L963" s="55"/>
      <c r="M963" s="46"/>
      <c r="N963" s="48"/>
      <c r="O963" s="58"/>
      <c r="P963" s="61"/>
      <c r="Q963" s="13"/>
      <c r="R963" s="41"/>
      <c r="S963" s="38"/>
      <c r="U963" s="51"/>
    </row>
    <row r="964" spans="1:21" s="7" customFormat="1" x14ac:dyDescent="0.25">
      <c r="A964" s="90"/>
      <c r="B964" s="45"/>
      <c r="C964" s="45"/>
      <c r="D964" s="45"/>
      <c r="E964" s="107"/>
      <c r="F964" s="107"/>
      <c r="G964" s="107"/>
      <c r="H964" s="93"/>
      <c r="I964" s="64"/>
      <c r="J964" s="64"/>
      <c r="K964" s="66"/>
      <c r="L964" s="55"/>
      <c r="M964" s="46"/>
      <c r="N964" s="48"/>
      <c r="O964" s="58"/>
      <c r="P964" s="61"/>
      <c r="Q964" s="13"/>
      <c r="R964" s="41"/>
      <c r="S964" s="38"/>
      <c r="U964" s="51"/>
    </row>
    <row r="965" spans="1:21" s="7" customFormat="1" x14ac:dyDescent="0.25">
      <c r="A965" s="90"/>
      <c r="B965" s="45"/>
      <c r="C965" s="45"/>
      <c r="D965" s="45"/>
      <c r="E965" s="107"/>
      <c r="F965" s="107"/>
      <c r="G965" s="107"/>
      <c r="H965" s="93"/>
      <c r="I965" s="64"/>
      <c r="J965" s="64"/>
      <c r="K965" s="66"/>
      <c r="L965" s="55"/>
      <c r="M965" s="46"/>
      <c r="N965" s="48"/>
      <c r="O965" s="58"/>
      <c r="P965" s="61"/>
      <c r="Q965" s="13"/>
      <c r="R965" s="41"/>
      <c r="S965" s="38"/>
      <c r="U965" s="51"/>
    </row>
    <row r="966" spans="1:21" s="7" customFormat="1" x14ac:dyDescent="0.25">
      <c r="A966" s="90"/>
      <c r="B966" s="45"/>
      <c r="C966" s="45"/>
      <c r="D966" s="45"/>
      <c r="E966" s="107"/>
      <c r="F966" s="107"/>
      <c r="G966" s="107"/>
      <c r="H966" s="93"/>
      <c r="I966" s="64"/>
      <c r="J966" s="64"/>
      <c r="K966" s="66"/>
      <c r="L966" s="55"/>
      <c r="M966" s="46"/>
      <c r="N966" s="48"/>
      <c r="O966" s="58"/>
      <c r="P966" s="61"/>
      <c r="Q966" s="13"/>
      <c r="R966" s="41"/>
      <c r="S966" s="38"/>
      <c r="U966" s="51"/>
    </row>
    <row r="967" spans="1:21" s="7" customFormat="1" x14ac:dyDescent="0.25">
      <c r="A967" s="90"/>
      <c r="B967" s="45"/>
      <c r="C967" s="45"/>
      <c r="D967" s="45"/>
      <c r="E967" s="107"/>
      <c r="F967" s="107"/>
      <c r="G967" s="107"/>
      <c r="H967" s="93"/>
      <c r="I967" s="64"/>
      <c r="J967" s="64"/>
      <c r="K967" s="66"/>
      <c r="L967" s="55"/>
      <c r="M967" s="46"/>
      <c r="N967" s="48"/>
      <c r="O967" s="58"/>
      <c r="P967" s="61"/>
      <c r="Q967" s="13"/>
      <c r="R967" s="41"/>
      <c r="S967" s="38"/>
      <c r="U967" s="51"/>
    </row>
    <row r="968" spans="1:21" s="7" customFormat="1" x14ac:dyDescent="0.25">
      <c r="A968" s="90"/>
      <c r="B968" s="45"/>
      <c r="C968" s="45"/>
      <c r="D968" s="45"/>
      <c r="E968" s="107"/>
      <c r="F968" s="107"/>
      <c r="G968" s="107"/>
      <c r="H968" s="93"/>
      <c r="I968" s="64"/>
      <c r="J968" s="64"/>
      <c r="K968" s="66"/>
      <c r="L968" s="55"/>
      <c r="M968" s="46"/>
      <c r="N968" s="48"/>
      <c r="O968" s="58"/>
      <c r="P968" s="61"/>
      <c r="Q968" s="13"/>
      <c r="R968" s="41"/>
      <c r="S968" s="38"/>
      <c r="U968" s="51"/>
    </row>
    <row r="969" spans="1:21" s="7" customFormat="1" x14ac:dyDescent="0.25">
      <c r="A969" s="90"/>
      <c r="B969" s="45"/>
      <c r="C969" s="45"/>
      <c r="D969" s="45"/>
      <c r="E969" s="107"/>
      <c r="F969" s="107"/>
      <c r="G969" s="107"/>
      <c r="H969" s="93"/>
      <c r="I969" s="64"/>
      <c r="J969" s="64"/>
      <c r="K969" s="66"/>
      <c r="L969" s="55"/>
      <c r="M969" s="46"/>
      <c r="N969" s="48"/>
      <c r="O969" s="58"/>
      <c r="P969" s="61"/>
      <c r="Q969" s="13"/>
      <c r="R969" s="41"/>
      <c r="S969" s="38"/>
      <c r="U969" s="51"/>
    </row>
    <row r="970" spans="1:21" s="7" customFormat="1" x14ac:dyDescent="0.25">
      <c r="A970" s="90"/>
      <c r="B970" s="45"/>
      <c r="C970" s="45"/>
      <c r="D970" s="45"/>
      <c r="E970" s="107"/>
      <c r="F970" s="107"/>
      <c r="G970" s="107"/>
      <c r="H970" s="93"/>
      <c r="I970" s="64"/>
      <c r="J970" s="64"/>
      <c r="K970" s="66"/>
      <c r="L970" s="55"/>
      <c r="M970" s="46"/>
      <c r="N970" s="48"/>
      <c r="O970" s="58"/>
      <c r="P970" s="61"/>
      <c r="Q970" s="13"/>
      <c r="R970" s="41"/>
      <c r="S970" s="38"/>
      <c r="U970" s="51"/>
    </row>
    <row r="971" spans="1:21" s="7" customFormat="1" x14ac:dyDescent="0.25">
      <c r="A971" s="90"/>
      <c r="B971" s="45"/>
      <c r="C971" s="45"/>
      <c r="D971" s="45"/>
      <c r="E971" s="107"/>
      <c r="F971" s="107"/>
      <c r="G971" s="107"/>
      <c r="H971" s="93"/>
      <c r="I971" s="64"/>
      <c r="J971" s="64"/>
      <c r="K971" s="66"/>
      <c r="L971" s="55"/>
      <c r="M971" s="46"/>
      <c r="N971" s="48"/>
      <c r="O971" s="58"/>
      <c r="P971" s="61"/>
      <c r="Q971" s="13"/>
      <c r="R971" s="41"/>
      <c r="S971" s="38"/>
      <c r="U971" s="51"/>
    </row>
    <row r="972" spans="1:21" s="7" customFormat="1" x14ac:dyDescent="0.25">
      <c r="A972" s="88"/>
      <c r="B972" s="39"/>
      <c r="C972" s="45"/>
      <c r="D972" s="39"/>
      <c r="E972" s="108"/>
      <c r="F972" s="108"/>
      <c r="G972" s="108"/>
      <c r="H972" s="94"/>
      <c r="I972" s="65"/>
      <c r="J972" s="65"/>
      <c r="K972" s="67"/>
      <c r="L972" s="55"/>
      <c r="M972" s="46"/>
      <c r="N972" s="48"/>
      <c r="O972" s="58"/>
      <c r="P972" s="61"/>
      <c r="Q972" s="13"/>
      <c r="R972" s="41"/>
      <c r="S972" s="38"/>
      <c r="U972" s="51"/>
    </row>
    <row r="973" spans="1:21" s="7" customFormat="1" x14ac:dyDescent="0.25">
      <c r="A973" s="88"/>
      <c r="B973" s="39"/>
      <c r="C973" s="45"/>
      <c r="D973" s="39"/>
      <c r="E973" s="108"/>
      <c r="F973" s="108"/>
      <c r="G973" s="108"/>
      <c r="H973" s="94"/>
      <c r="I973" s="65"/>
      <c r="J973" s="65"/>
      <c r="K973" s="67"/>
      <c r="L973" s="55"/>
      <c r="M973" s="46"/>
      <c r="N973" s="48"/>
      <c r="O973" s="58"/>
      <c r="P973" s="61"/>
      <c r="Q973" s="13"/>
      <c r="R973" s="41"/>
      <c r="S973" s="38"/>
      <c r="U973" s="51"/>
    </row>
    <row r="974" spans="1:21" s="7" customFormat="1" x14ac:dyDescent="0.25">
      <c r="A974" s="88"/>
      <c r="B974" s="39"/>
      <c r="C974" s="45"/>
      <c r="D974" s="39"/>
      <c r="E974" s="108"/>
      <c r="F974" s="108"/>
      <c r="G974" s="108"/>
      <c r="H974" s="94"/>
      <c r="I974" s="65"/>
      <c r="J974" s="65"/>
      <c r="K974" s="67"/>
      <c r="L974" s="55"/>
      <c r="M974" s="46"/>
      <c r="N974" s="48"/>
      <c r="O974" s="58"/>
      <c r="P974" s="61"/>
      <c r="Q974" s="13"/>
      <c r="R974" s="41"/>
      <c r="S974" s="38"/>
      <c r="U974" s="51"/>
    </row>
    <row r="975" spans="1:21" s="7" customFormat="1" x14ac:dyDescent="0.25">
      <c r="A975" s="88"/>
      <c r="B975" s="39"/>
      <c r="C975" s="45"/>
      <c r="D975" s="39"/>
      <c r="E975" s="108"/>
      <c r="F975" s="108"/>
      <c r="G975" s="108"/>
      <c r="H975" s="94"/>
      <c r="I975" s="65"/>
      <c r="J975" s="65"/>
      <c r="K975" s="67"/>
      <c r="L975" s="55"/>
      <c r="M975" s="46"/>
      <c r="N975" s="48"/>
      <c r="O975" s="58"/>
      <c r="P975" s="61"/>
      <c r="Q975" s="13"/>
      <c r="R975" s="41"/>
      <c r="S975" s="38"/>
      <c r="U975" s="51"/>
    </row>
    <row r="976" spans="1:21" s="7" customFormat="1" x14ac:dyDescent="0.25">
      <c r="A976" s="88"/>
      <c r="B976" s="39"/>
      <c r="C976" s="45"/>
      <c r="D976" s="39"/>
      <c r="E976" s="108"/>
      <c r="F976" s="108"/>
      <c r="G976" s="108"/>
      <c r="H976" s="94"/>
      <c r="I976" s="65"/>
      <c r="J976" s="65"/>
      <c r="K976" s="67"/>
      <c r="L976" s="55"/>
      <c r="M976" s="46"/>
      <c r="N976" s="48"/>
      <c r="O976" s="58"/>
      <c r="P976" s="61"/>
      <c r="Q976" s="13"/>
      <c r="R976" s="41"/>
      <c r="S976" s="38"/>
      <c r="U976" s="51"/>
    </row>
    <row r="977" spans="1:21" s="7" customFormat="1" x14ac:dyDescent="0.25">
      <c r="A977" s="90"/>
      <c r="B977" s="45"/>
      <c r="C977" s="45"/>
      <c r="D977" s="45"/>
      <c r="E977" s="107"/>
      <c r="F977" s="107"/>
      <c r="G977" s="107"/>
      <c r="H977" s="93"/>
      <c r="I977" s="64"/>
      <c r="J977" s="64"/>
      <c r="K977" s="66"/>
      <c r="L977" s="55"/>
      <c r="M977" s="46"/>
      <c r="N977" s="48"/>
      <c r="O977" s="58"/>
      <c r="P977" s="61"/>
      <c r="Q977" s="13"/>
      <c r="R977" s="41"/>
      <c r="S977" s="38"/>
      <c r="U977" s="51"/>
    </row>
    <row r="978" spans="1:21" s="7" customFormat="1" x14ac:dyDescent="0.25">
      <c r="A978" s="90"/>
      <c r="B978" s="45"/>
      <c r="C978" s="45"/>
      <c r="D978" s="45"/>
      <c r="E978" s="107"/>
      <c r="F978" s="107"/>
      <c r="G978" s="107"/>
      <c r="H978" s="93"/>
      <c r="I978" s="64"/>
      <c r="J978" s="64"/>
      <c r="K978" s="66"/>
      <c r="L978" s="55"/>
      <c r="M978" s="46"/>
      <c r="N978" s="48"/>
      <c r="O978" s="58"/>
      <c r="P978" s="61"/>
      <c r="Q978" s="13"/>
      <c r="R978" s="41"/>
      <c r="S978" s="38"/>
      <c r="U978" s="51"/>
    </row>
    <row r="979" spans="1:21" s="7" customFormat="1" x14ac:dyDescent="0.25">
      <c r="A979" s="90"/>
      <c r="B979" s="45"/>
      <c r="C979" s="45"/>
      <c r="D979" s="45"/>
      <c r="E979" s="107"/>
      <c r="F979" s="107"/>
      <c r="G979" s="107"/>
      <c r="H979" s="93"/>
      <c r="I979" s="64"/>
      <c r="J979" s="64"/>
      <c r="K979" s="66"/>
      <c r="L979" s="55"/>
      <c r="M979" s="46"/>
      <c r="N979" s="48"/>
      <c r="O979" s="58"/>
      <c r="P979" s="61"/>
      <c r="Q979" s="13"/>
      <c r="R979" s="41"/>
      <c r="S979" s="38"/>
      <c r="U979" s="51"/>
    </row>
    <row r="980" spans="1:21" s="7" customFormat="1" x14ac:dyDescent="0.25">
      <c r="A980" s="90"/>
      <c r="B980" s="45"/>
      <c r="C980" s="45"/>
      <c r="D980" s="45"/>
      <c r="E980" s="107"/>
      <c r="F980" s="107"/>
      <c r="G980" s="107"/>
      <c r="H980" s="93"/>
      <c r="I980" s="64"/>
      <c r="J980" s="64"/>
      <c r="K980" s="66"/>
      <c r="L980" s="55"/>
      <c r="M980" s="46"/>
      <c r="N980" s="48"/>
      <c r="O980" s="58"/>
      <c r="P980" s="61"/>
      <c r="Q980" s="13"/>
      <c r="R980" s="41"/>
      <c r="S980" s="38"/>
      <c r="U980" s="51"/>
    </row>
    <row r="981" spans="1:21" s="7" customFormat="1" x14ac:dyDescent="0.25">
      <c r="A981" s="90"/>
      <c r="B981" s="45"/>
      <c r="C981" s="45"/>
      <c r="D981" s="45"/>
      <c r="E981" s="107"/>
      <c r="F981" s="107"/>
      <c r="G981" s="107"/>
      <c r="H981" s="93"/>
      <c r="I981" s="64"/>
      <c r="J981" s="64"/>
      <c r="K981" s="66"/>
      <c r="L981" s="55"/>
      <c r="M981" s="46"/>
      <c r="N981" s="48"/>
      <c r="O981" s="58"/>
      <c r="P981" s="61"/>
      <c r="Q981" s="13"/>
      <c r="R981" s="41"/>
      <c r="S981" s="38"/>
      <c r="U981" s="51"/>
    </row>
    <row r="982" spans="1:21" s="7" customFormat="1" x14ac:dyDescent="0.25">
      <c r="A982" s="90"/>
      <c r="B982" s="45"/>
      <c r="C982" s="45"/>
      <c r="D982" s="45"/>
      <c r="E982" s="107"/>
      <c r="F982" s="107"/>
      <c r="G982" s="107"/>
      <c r="H982" s="93"/>
      <c r="I982" s="64"/>
      <c r="J982" s="64"/>
      <c r="K982" s="66"/>
      <c r="L982" s="55"/>
      <c r="M982" s="46"/>
      <c r="N982" s="48"/>
      <c r="O982" s="58"/>
      <c r="P982" s="61"/>
      <c r="Q982" s="13"/>
      <c r="R982" s="41"/>
      <c r="S982" s="38"/>
      <c r="U982" s="51"/>
    </row>
    <row r="983" spans="1:21" s="7" customFormat="1" x14ac:dyDescent="0.25">
      <c r="A983" s="90"/>
      <c r="B983" s="45"/>
      <c r="C983" s="45"/>
      <c r="D983" s="45"/>
      <c r="E983" s="107"/>
      <c r="F983" s="107"/>
      <c r="G983" s="107"/>
      <c r="H983" s="93"/>
      <c r="I983" s="64"/>
      <c r="J983" s="64"/>
      <c r="K983" s="66"/>
      <c r="L983" s="55"/>
      <c r="M983" s="46"/>
      <c r="N983" s="48"/>
      <c r="O983" s="58"/>
      <c r="P983" s="61"/>
      <c r="Q983" s="13"/>
      <c r="R983" s="41"/>
      <c r="S983" s="38"/>
      <c r="U983" s="51"/>
    </row>
    <row r="984" spans="1:21" s="7" customFormat="1" x14ac:dyDescent="0.25">
      <c r="A984" s="90"/>
      <c r="B984" s="45"/>
      <c r="C984" s="45"/>
      <c r="D984" s="45"/>
      <c r="E984" s="107"/>
      <c r="F984" s="107"/>
      <c r="G984" s="107"/>
      <c r="H984" s="93"/>
      <c r="I984" s="64"/>
      <c r="J984" s="64"/>
      <c r="K984" s="66"/>
      <c r="L984" s="55"/>
      <c r="M984" s="46"/>
      <c r="N984" s="48"/>
      <c r="O984" s="58"/>
      <c r="P984" s="61"/>
      <c r="Q984" s="13"/>
      <c r="R984" s="41"/>
      <c r="S984" s="38"/>
      <c r="U984" s="51"/>
    </row>
    <row r="985" spans="1:21" s="7" customFormat="1" x14ac:dyDescent="0.25">
      <c r="A985" s="90"/>
      <c r="B985" s="45"/>
      <c r="C985" s="45"/>
      <c r="D985" s="39"/>
      <c r="E985" s="107"/>
      <c r="F985" s="107"/>
      <c r="G985" s="107"/>
      <c r="H985" s="93"/>
      <c r="I985" s="64"/>
      <c r="J985" s="64"/>
      <c r="K985" s="66"/>
      <c r="L985" s="55"/>
      <c r="M985" s="46"/>
      <c r="N985" s="48"/>
      <c r="O985" s="58"/>
      <c r="P985" s="61"/>
      <c r="Q985" s="13"/>
      <c r="R985" s="41"/>
      <c r="S985" s="38"/>
      <c r="U985" s="51"/>
    </row>
    <row r="986" spans="1:21" s="7" customFormat="1" x14ac:dyDescent="0.25">
      <c r="A986" s="88"/>
      <c r="B986" s="39"/>
      <c r="C986" s="45"/>
      <c r="D986" s="39"/>
      <c r="E986" s="108"/>
      <c r="F986" s="108"/>
      <c r="G986" s="108"/>
      <c r="H986" s="94"/>
      <c r="I986" s="65"/>
      <c r="J986" s="65"/>
      <c r="K986" s="67"/>
      <c r="L986" s="55"/>
      <c r="M986" s="46"/>
      <c r="N986" s="48"/>
      <c r="O986" s="58"/>
      <c r="P986" s="61"/>
      <c r="Q986" s="13"/>
      <c r="R986" s="41"/>
      <c r="S986" s="38"/>
      <c r="U986" s="51"/>
    </row>
    <row r="987" spans="1:21" s="7" customFormat="1" x14ac:dyDescent="0.25">
      <c r="A987" s="88"/>
      <c r="B987" s="39"/>
      <c r="C987" s="45"/>
      <c r="D987" s="39"/>
      <c r="E987" s="108"/>
      <c r="F987" s="108"/>
      <c r="G987" s="108"/>
      <c r="H987" s="94"/>
      <c r="I987" s="65"/>
      <c r="J987" s="65"/>
      <c r="K987" s="67"/>
      <c r="L987" s="55"/>
      <c r="M987" s="46"/>
      <c r="N987" s="48"/>
      <c r="O987" s="58"/>
      <c r="P987" s="61"/>
      <c r="Q987" s="13"/>
      <c r="R987" s="41"/>
      <c r="S987" s="38"/>
      <c r="U987" s="51"/>
    </row>
    <row r="988" spans="1:21" s="7" customFormat="1" x14ac:dyDescent="0.25">
      <c r="A988" s="88"/>
      <c r="B988" s="39"/>
      <c r="C988" s="45"/>
      <c r="D988" s="39"/>
      <c r="E988" s="108"/>
      <c r="F988" s="108"/>
      <c r="G988" s="108"/>
      <c r="H988" s="94"/>
      <c r="I988" s="65"/>
      <c r="J988" s="65"/>
      <c r="K988" s="67"/>
      <c r="L988" s="55"/>
      <c r="M988" s="46"/>
      <c r="N988" s="48"/>
      <c r="O988" s="58"/>
      <c r="P988" s="61"/>
      <c r="Q988" s="13"/>
      <c r="R988" s="41"/>
      <c r="S988" s="38"/>
      <c r="U988" s="51"/>
    </row>
    <row r="989" spans="1:21" s="7" customFormat="1" x14ac:dyDescent="0.25">
      <c r="A989" s="90"/>
      <c r="B989" s="45"/>
      <c r="C989" s="45"/>
      <c r="D989" s="45"/>
      <c r="E989" s="107"/>
      <c r="F989" s="107"/>
      <c r="G989" s="107"/>
      <c r="H989" s="93"/>
      <c r="I989" s="64"/>
      <c r="J989" s="64"/>
      <c r="K989" s="66"/>
      <c r="L989" s="55"/>
      <c r="M989" s="46"/>
      <c r="N989" s="48"/>
      <c r="O989" s="58"/>
      <c r="P989" s="61"/>
      <c r="Q989" s="13"/>
      <c r="R989" s="41"/>
      <c r="S989" s="38"/>
      <c r="U989" s="51"/>
    </row>
    <row r="990" spans="1:21" s="7" customFormat="1" x14ac:dyDescent="0.25">
      <c r="A990" s="90"/>
      <c r="B990" s="45"/>
      <c r="C990" s="45"/>
      <c r="D990" s="45"/>
      <c r="E990" s="107"/>
      <c r="F990" s="107"/>
      <c r="G990" s="107"/>
      <c r="H990" s="93"/>
      <c r="I990" s="64"/>
      <c r="J990" s="64"/>
      <c r="K990" s="66"/>
      <c r="L990" s="55"/>
      <c r="M990" s="46"/>
      <c r="N990" s="48"/>
      <c r="O990" s="58"/>
      <c r="P990" s="61"/>
      <c r="Q990" s="13"/>
      <c r="R990" s="41"/>
      <c r="S990" s="38"/>
      <c r="U990" s="51"/>
    </row>
    <row r="991" spans="1:21" s="7" customFormat="1" x14ac:dyDescent="0.25">
      <c r="A991" s="90"/>
      <c r="B991" s="45"/>
      <c r="C991" s="45"/>
      <c r="D991" s="45"/>
      <c r="E991" s="107"/>
      <c r="F991" s="107"/>
      <c r="G991" s="107"/>
      <c r="H991" s="93"/>
      <c r="I991" s="64"/>
      <c r="J991" s="64"/>
      <c r="K991" s="66"/>
      <c r="L991" s="55"/>
      <c r="M991" s="46"/>
      <c r="N991" s="48"/>
      <c r="O991" s="58"/>
      <c r="P991" s="61"/>
      <c r="Q991" s="13"/>
      <c r="R991" s="41"/>
      <c r="S991" s="38"/>
      <c r="U991" s="51"/>
    </row>
    <row r="992" spans="1:21" s="7" customFormat="1" x14ac:dyDescent="0.25">
      <c r="A992" s="90"/>
      <c r="B992" s="45"/>
      <c r="C992" s="45"/>
      <c r="D992" s="45"/>
      <c r="E992" s="107"/>
      <c r="F992" s="107"/>
      <c r="G992" s="107"/>
      <c r="H992" s="93"/>
      <c r="I992" s="64"/>
      <c r="J992" s="64"/>
      <c r="K992" s="66"/>
      <c r="L992" s="55"/>
      <c r="M992" s="46"/>
      <c r="N992" s="48"/>
      <c r="O992" s="58"/>
      <c r="P992" s="61"/>
      <c r="Q992" s="13"/>
      <c r="R992" s="41"/>
      <c r="S992" s="38"/>
      <c r="U992" s="51"/>
    </row>
    <row r="993" spans="1:21" s="7" customFormat="1" x14ac:dyDescent="0.25">
      <c r="A993" s="90"/>
      <c r="B993" s="45"/>
      <c r="C993" s="45"/>
      <c r="D993" s="45"/>
      <c r="E993" s="107"/>
      <c r="F993" s="107"/>
      <c r="G993" s="107"/>
      <c r="H993" s="93"/>
      <c r="I993" s="64"/>
      <c r="J993" s="64"/>
      <c r="K993" s="66"/>
      <c r="L993" s="55"/>
      <c r="M993" s="46"/>
      <c r="N993" s="48"/>
      <c r="O993" s="58"/>
      <c r="P993" s="61"/>
      <c r="Q993" s="13"/>
      <c r="R993" s="41"/>
      <c r="S993" s="38"/>
      <c r="U993" s="51"/>
    </row>
    <row r="994" spans="1:21" s="7" customFormat="1" x14ac:dyDescent="0.25">
      <c r="A994" s="90"/>
      <c r="B994" s="45"/>
      <c r="C994" s="45"/>
      <c r="D994" s="45"/>
      <c r="E994" s="107"/>
      <c r="F994" s="107"/>
      <c r="G994" s="107"/>
      <c r="H994" s="93"/>
      <c r="I994" s="64"/>
      <c r="J994" s="64"/>
      <c r="K994" s="66"/>
      <c r="L994" s="55"/>
      <c r="M994" s="46"/>
      <c r="N994" s="48"/>
      <c r="O994" s="58"/>
      <c r="P994" s="61"/>
      <c r="Q994" s="13"/>
      <c r="R994" s="41"/>
      <c r="S994" s="38"/>
      <c r="U994" s="51"/>
    </row>
    <row r="995" spans="1:21" s="7" customFormat="1" x14ac:dyDescent="0.25">
      <c r="A995" s="90"/>
      <c r="B995" s="45"/>
      <c r="C995" s="45"/>
      <c r="D995" s="45"/>
      <c r="E995" s="107"/>
      <c r="F995" s="107"/>
      <c r="G995" s="107"/>
      <c r="H995" s="93"/>
      <c r="I995" s="64"/>
      <c r="J995" s="64"/>
      <c r="K995" s="66"/>
      <c r="L995" s="55"/>
      <c r="M995" s="46"/>
      <c r="N995" s="48"/>
      <c r="O995" s="58"/>
      <c r="P995" s="61"/>
      <c r="Q995" s="13"/>
      <c r="R995" s="41"/>
      <c r="S995" s="38"/>
      <c r="U995" s="51"/>
    </row>
    <row r="996" spans="1:21" s="7" customFormat="1" x14ac:dyDescent="0.25">
      <c r="A996" s="90"/>
      <c r="B996" s="45"/>
      <c r="C996" s="45"/>
      <c r="D996" s="45"/>
      <c r="E996" s="107"/>
      <c r="F996" s="107"/>
      <c r="G996" s="107"/>
      <c r="H996" s="93"/>
      <c r="I996" s="64"/>
      <c r="J996" s="64"/>
      <c r="K996" s="66"/>
      <c r="L996" s="55"/>
      <c r="M996" s="46"/>
      <c r="N996" s="48"/>
      <c r="O996" s="58"/>
      <c r="P996" s="61"/>
      <c r="Q996" s="13"/>
      <c r="R996" s="41"/>
      <c r="S996" s="38"/>
      <c r="U996" s="51"/>
    </row>
    <row r="997" spans="1:21" s="7" customFormat="1" x14ac:dyDescent="0.25">
      <c r="A997" s="88"/>
      <c r="B997" s="39"/>
      <c r="C997" s="45"/>
      <c r="D997" s="39"/>
      <c r="E997" s="108"/>
      <c r="F997" s="108"/>
      <c r="G997" s="108"/>
      <c r="H997" s="94"/>
      <c r="I997" s="65"/>
      <c r="J997" s="65"/>
      <c r="K997" s="67"/>
      <c r="L997" s="55"/>
      <c r="M997" s="46"/>
      <c r="N997" s="48"/>
      <c r="O997" s="58"/>
      <c r="P997" s="61"/>
      <c r="Q997" s="13"/>
      <c r="R997" s="41"/>
      <c r="S997" s="38"/>
      <c r="U997" s="51"/>
    </row>
    <row r="998" spans="1:21" s="7" customFormat="1" x14ac:dyDescent="0.25">
      <c r="A998" s="88"/>
      <c r="B998" s="39"/>
      <c r="C998" s="45"/>
      <c r="D998" s="39"/>
      <c r="E998" s="108"/>
      <c r="F998" s="108"/>
      <c r="G998" s="108"/>
      <c r="H998" s="94"/>
      <c r="I998" s="65"/>
      <c r="J998" s="65"/>
      <c r="K998" s="67"/>
      <c r="L998" s="55"/>
      <c r="M998" s="46"/>
      <c r="N998" s="48"/>
      <c r="O998" s="58"/>
      <c r="P998" s="61"/>
      <c r="Q998" s="13"/>
      <c r="R998" s="41"/>
      <c r="S998" s="38"/>
      <c r="U998" s="51"/>
    </row>
    <row r="999" spans="1:21" s="7" customFormat="1" x14ac:dyDescent="0.25">
      <c r="A999" s="88"/>
      <c r="B999" s="39"/>
      <c r="C999" s="45"/>
      <c r="D999" s="39"/>
      <c r="E999" s="108"/>
      <c r="F999" s="108"/>
      <c r="G999" s="108"/>
      <c r="H999" s="94"/>
      <c r="I999" s="65"/>
      <c r="J999" s="65"/>
      <c r="K999" s="67"/>
      <c r="L999" s="55"/>
      <c r="M999" s="46"/>
      <c r="N999" s="48"/>
      <c r="O999" s="58"/>
      <c r="P999" s="61"/>
      <c r="Q999" s="13"/>
      <c r="R999" s="41"/>
      <c r="S999" s="38"/>
      <c r="U999" s="51"/>
    </row>
    <row r="1000" spans="1:21" s="7" customFormat="1" x14ac:dyDescent="0.25">
      <c r="A1000" s="88"/>
      <c r="B1000" s="39"/>
      <c r="C1000" s="45"/>
      <c r="D1000" s="39"/>
      <c r="E1000" s="108"/>
      <c r="F1000" s="108"/>
      <c r="G1000" s="108"/>
      <c r="H1000" s="94"/>
      <c r="I1000" s="65"/>
      <c r="J1000" s="65"/>
      <c r="K1000" s="67"/>
      <c r="L1000" s="55"/>
      <c r="M1000" s="46"/>
      <c r="N1000" s="48"/>
      <c r="O1000" s="58"/>
      <c r="P1000" s="61"/>
      <c r="Q1000" s="13"/>
      <c r="R1000" s="41"/>
      <c r="S1000" s="38"/>
      <c r="U1000" s="51"/>
    </row>
    <row r="1001" spans="1:21" s="7" customFormat="1" x14ac:dyDescent="0.25">
      <c r="A1001" s="88"/>
      <c r="B1001" s="39"/>
      <c r="C1001" s="45"/>
      <c r="D1001" s="39"/>
      <c r="E1001" s="108"/>
      <c r="F1001" s="108"/>
      <c r="G1001" s="108"/>
      <c r="H1001" s="94"/>
      <c r="I1001" s="65"/>
      <c r="J1001" s="65"/>
      <c r="K1001" s="67"/>
      <c r="L1001" s="55"/>
      <c r="M1001" s="46"/>
      <c r="N1001" s="48"/>
      <c r="O1001" s="58"/>
      <c r="P1001" s="61"/>
      <c r="Q1001" s="13"/>
      <c r="R1001" s="41"/>
      <c r="S1001" s="38"/>
      <c r="U1001" s="51"/>
    </row>
    <row r="1002" spans="1:21" s="7" customFormat="1" x14ac:dyDescent="0.25">
      <c r="A1002" s="88"/>
      <c r="B1002" s="39"/>
      <c r="C1002" s="45"/>
      <c r="D1002" s="39"/>
      <c r="E1002" s="108"/>
      <c r="F1002" s="108"/>
      <c r="G1002" s="108"/>
      <c r="H1002" s="94"/>
      <c r="I1002" s="65"/>
      <c r="J1002" s="65"/>
      <c r="K1002" s="67"/>
      <c r="L1002" s="55"/>
      <c r="M1002" s="46"/>
      <c r="N1002" s="48"/>
      <c r="O1002" s="58"/>
      <c r="P1002" s="61"/>
      <c r="Q1002" s="13"/>
      <c r="R1002" s="41"/>
      <c r="S1002" s="38"/>
      <c r="U1002" s="51"/>
    </row>
    <row r="1003" spans="1:21" x14ac:dyDescent="0.25">
      <c r="A1003" s="90"/>
      <c r="B1003" s="45"/>
      <c r="C1003" s="45"/>
      <c r="D1003" s="45"/>
      <c r="E1003" s="107"/>
      <c r="F1003" s="107"/>
      <c r="G1003" s="107"/>
      <c r="H1003" s="93"/>
      <c r="I1003" s="64"/>
      <c r="J1003" s="64"/>
      <c r="K1003" s="66"/>
      <c r="L1003" s="55"/>
      <c r="M1003" s="46"/>
      <c r="N1003" s="48"/>
      <c r="O1003" s="58"/>
      <c r="P1003" s="61"/>
      <c r="S1003" s="38"/>
    </row>
    <row r="1004" spans="1:21" x14ac:dyDescent="0.25">
      <c r="C1004" s="45"/>
      <c r="J1004" s="65"/>
      <c r="L1004" s="55"/>
      <c r="M1004" s="46"/>
      <c r="N1004" s="48"/>
      <c r="O1004" s="58"/>
      <c r="P1004" s="61"/>
      <c r="S1004" s="38"/>
    </row>
    <row r="1005" spans="1:21" x14ac:dyDescent="0.25">
      <c r="C1005" s="45"/>
      <c r="J1005" s="65"/>
      <c r="L1005" s="55"/>
      <c r="M1005" s="46"/>
      <c r="N1005" s="48"/>
      <c r="O1005" s="58"/>
      <c r="P1005" s="61"/>
      <c r="S1005" s="38"/>
    </row>
    <row r="1006" spans="1:21" x14ac:dyDescent="0.25">
      <c r="C1006" s="45"/>
      <c r="J1006" s="65"/>
      <c r="L1006" s="55"/>
      <c r="M1006" s="46"/>
      <c r="N1006" s="48"/>
      <c r="O1006" s="58"/>
      <c r="P1006" s="61"/>
      <c r="S1006" s="38"/>
    </row>
    <row r="1007" spans="1:21" x14ac:dyDescent="0.25">
      <c r="C1007" s="45"/>
      <c r="J1007" s="65"/>
      <c r="L1007" s="55"/>
      <c r="M1007" s="46"/>
      <c r="N1007" s="48"/>
      <c r="O1007" s="58"/>
      <c r="P1007" s="61"/>
      <c r="S1007" s="38"/>
    </row>
    <row r="1008" spans="1:21" x14ac:dyDescent="0.25">
      <c r="C1008" s="45"/>
      <c r="J1008" s="65"/>
      <c r="L1008" s="55"/>
      <c r="M1008" s="46"/>
      <c r="N1008" s="48"/>
      <c r="O1008" s="58"/>
      <c r="P1008" s="61"/>
      <c r="S1008" s="38"/>
    </row>
    <row r="1009" spans="1:19" x14ac:dyDescent="0.25">
      <c r="A1009" s="90"/>
      <c r="B1009" s="45"/>
      <c r="C1009" s="45"/>
      <c r="D1009" s="45"/>
      <c r="E1009" s="107"/>
      <c r="F1009" s="107"/>
      <c r="G1009" s="107"/>
      <c r="H1009" s="93"/>
      <c r="I1009" s="64"/>
      <c r="J1009" s="64"/>
      <c r="K1009" s="66"/>
      <c r="L1009" s="55"/>
      <c r="M1009" s="46"/>
      <c r="N1009" s="48"/>
      <c r="O1009" s="58"/>
      <c r="P1009" s="61"/>
      <c r="S1009" s="38"/>
    </row>
    <row r="1010" spans="1:19" x14ac:dyDescent="0.25">
      <c r="A1010" s="90"/>
      <c r="B1010" s="45"/>
      <c r="C1010" s="45"/>
      <c r="D1010" s="45"/>
      <c r="E1010" s="107"/>
      <c r="F1010" s="107"/>
      <c r="G1010" s="107"/>
      <c r="H1010" s="93"/>
      <c r="I1010" s="64"/>
      <c r="J1010" s="64"/>
      <c r="K1010" s="66"/>
      <c r="L1010" s="55"/>
      <c r="M1010" s="46"/>
      <c r="N1010" s="48"/>
      <c r="O1010" s="58"/>
      <c r="P1010" s="61"/>
      <c r="S1010" s="38"/>
    </row>
    <row r="1011" spans="1:19" x14ac:dyDescent="0.25">
      <c r="A1011" s="90"/>
      <c r="B1011" s="45"/>
      <c r="C1011" s="45"/>
      <c r="D1011" s="45"/>
      <c r="E1011" s="107"/>
      <c r="F1011" s="107"/>
      <c r="G1011" s="107"/>
      <c r="H1011" s="93"/>
      <c r="I1011" s="64"/>
      <c r="J1011" s="64"/>
      <c r="K1011" s="66"/>
      <c r="L1011" s="55"/>
      <c r="M1011" s="46"/>
      <c r="N1011" s="48"/>
      <c r="O1011" s="58"/>
      <c r="P1011" s="61"/>
      <c r="S1011" s="38"/>
    </row>
    <row r="1012" spans="1:19" x14ac:dyDescent="0.25">
      <c r="A1012" s="90"/>
      <c r="B1012" s="45"/>
      <c r="C1012" s="45"/>
      <c r="D1012" s="45"/>
      <c r="E1012" s="107"/>
      <c r="F1012" s="107"/>
      <c r="G1012" s="107"/>
      <c r="H1012" s="93"/>
      <c r="I1012" s="64"/>
      <c r="J1012" s="64"/>
      <c r="K1012" s="66"/>
      <c r="L1012" s="55"/>
      <c r="M1012" s="46"/>
      <c r="N1012" s="48"/>
      <c r="O1012" s="58"/>
      <c r="P1012" s="61"/>
      <c r="S1012" s="38"/>
    </row>
    <row r="1013" spans="1:19" x14ac:dyDescent="0.25">
      <c r="A1013" s="90"/>
      <c r="B1013" s="45"/>
      <c r="C1013" s="45"/>
      <c r="D1013" s="45"/>
      <c r="E1013" s="107"/>
      <c r="F1013" s="107"/>
      <c r="G1013" s="107"/>
      <c r="H1013" s="93"/>
      <c r="I1013" s="64"/>
      <c r="J1013" s="64"/>
      <c r="K1013" s="66"/>
      <c r="L1013" s="55"/>
      <c r="M1013" s="46"/>
      <c r="N1013" s="48"/>
      <c r="O1013" s="58"/>
      <c r="P1013" s="61"/>
      <c r="S1013" s="38"/>
    </row>
    <row r="1014" spans="1:19" x14ac:dyDescent="0.25">
      <c r="A1014" s="90"/>
      <c r="B1014" s="45"/>
      <c r="C1014" s="45"/>
      <c r="D1014" s="45"/>
      <c r="E1014" s="107"/>
      <c r="F1014" s="107"/>
      <c r="G1014" s="107"/>
      <c r="H1014" s="93"/>
      <c r="I1014" s="64"/>
      <c r="J1014" s="64"/>
      <c r="K1014" s="66"/>
      <c r="L1014" s="55"/>
      <c r="M1014" s="46"/>
      <c r="N1014" s="48"/>
      <c r="O1014" s="58"/>
      <c r="P1014" s="61"/>
      <c r="S1014" s="38"/>
    </row>
    <row r="1015" spans="1:19" x14ac:dyDescent="0.25">
      <c r="A1015" s="90"/>
      <c r="B1015" s="45"/>
      <c r="C1015" s="45"/>
      <c r="D1015" s="45"/>
      <c r="E1015" s="107"/>
      <c r="F1015" s="107"/>
      <c r="G1015" s="107"/>
      <c r="H1015" s="93"/>
      <c r="I1015" s="64"/>
      <c r="J1015" s="64"/>
      <c r="K1015" s="66"/>
      <c r="L1015" s="55"/>
      <c r="M1015" s="46"/>
      <c r="N1015" s="48"/>
      <c r="O1015" s="58"/>
      <c r="P1015" s="61"/>
      <c r="S1015" s="38"/>
    </row>
    <row r="1016" spans="1:19" x14ac:dyDescent="0.25">
      <c r="A1016" s="90"/>
      <c r="B1016" s="45"/>
      <c r="C1016" s="45"/>
      <c r="D1016" s="45"/>
      <c r="E1016" s="107"/>
      <c r="F1016" s="107"/>
      <c r="G1016" s="107"/>
      <c r="H1016" s="93"/>
      <c r="I1016" s="64"/>
      <c r="J1016" s="64"/>
      <c r="K1016" s="66"/>
      <c r="L1016" s="55"/>
      <c r="M1016" s="46"/>
      <c r="N1016" s="48"/>
      <c r="O1016" s="58"/>
      <c r="P1016" s="61"/>
      <c r="S1016" s="38"/>
    </row>
    <row r="1017" spans="1:19" x14ac:dyDescent="0.25">
      <c r="A1017" s="90"/>
      <c r="B1017" s="45"/>
      <c r="C1017" s="45"/>
      <c r="D1017" s="45"/>
      <c r="E1017" s="107"/>
      <c r="F1017" s="107"/>
      <c r="G1017" s="107"/>
      <c r="H1017" s="93"/>
      <c r="I1017" s="64"/>
      <c r="J1017" s="64"/>
      <c r="K1017" s="66"/>
      <c r="L1017" s="55"/>
      <c r="M1017" s="46"/>
      <c r="N1017" s="48"/>
      <c r="O1017" s="58"/>
      <c r="P1017" s="61"/>
      <c r="S1017" s="38"/>
    </row>
    <row r="1018" spans="1:19" x14ac:dyDescent="0.25">
      <c r="A1018" s="90"/>
      <c r="B1018" s="45"/>
      <c r="C1018" s="45"/>
      <c r="D1018" s="45"/>
      <c r="E1018" s="107"/>
      <c r="F1018" s="107"/>
      <c r="G1018" s="107"/>
      <c r="H1018" s="93"/>
      <c r="I1018" s="64"/>
      <c r="J1018" s="64"/>
      <c r="K1018" s="66"/>
      <c r="L1018" s="55"/>
      <c r="M1018" s="46"/>
      <c r="N1018" s="48"/>
      <c r="O1018" s="58"/>
      <c r="P1018" s="61"/>
      <c r="S1018" s="38"/>
    </row>
    <row r="1019" spans="1:19" x14ac:dyDescent="0.25">
      <c r="A1019" s="90"/>
      <c r="B1019" s="45"/>
      <c r="C1019" s="45"/>
      <c r="D1019" s="45"/>
      <c r="E1019" s="107"/>
      <c r="F1019" s="107"/>
      <c r="G1019" s="107"/>
      <c r="H1019" s="93"/>
      <c r="I1019" s="64"/>
      <c r="J1019" s="64"/>
      <c r="K1019" s="66"/>
      <c r="L1019" s="55"/>
      <c r="M1019" s="46"/>
      <c r="N1019" s="48"/>
      <c r="O1019" s="58"/>
      <c r="P1019" s="61"/>
      <c r="S1019" s="38"/>
    </row>
    <row r="1020" spans="1:19" x14ac:dyDescent="0.25">
      <c r="C1020" s="45"/>
      <c r="J1020" s="65"/>
      <c r="L1020" s="55"/>
      <c r="M1020" s="46"/>
      <c r="N1020" s="48"/>
      <c r="O1020" s="58"/>
      <c r="P1020" s="61"/>
      <c r="S1020" s="38"/>
    </row>
    <row r="1021" spans="1:19" x14ac:dyDescent="0.25">
      <c r="C1021" s="45"/>
      <c r="J1021" s="65"/>
      <c r="L1021" s="55"/>
      <c r="M1021" s="46"/>
      <c r="N1021" s="48"/>
      <c r="O1021" s="58"/>
      <c r="P1021" s="61"/>
      <c r="S1021" s="38"/>
    </row>
    <row r="1022" spans="1:19" x14ac:dyDescent="0.25">
      <c r="C1022" s="45"/>
      <c r="J1022" s="65"/>
      <c r="L1022" s="55"/>
      <c r="M1022" s="46"/>
      <c r="N1022" s="48"/>
      <c r="O1022" s="58"/>
      <c r="P1022" s="61"/>
      <c r="S1022" s="38"/>
    </row>
    <row r="1023" spans="1:19" x14ac:dyDescent="0.25">
      <c r="C1023" s="45"/>
      <c r="J1023" s="65"/>
      <c r="L1023" s="55"/>
      <c r="M1023" s="46"/>
      <c r="N1023" s="48"/>
      <c r="O1023" s="58"/>
      <c r="P1023" s="61"/>
      <c r="S1023" s="38"/>
    </row>
    <row r="1024" spans="1:19" x14ac:dyDescent="0.25">
      <c r="A1024" s="90"/>
      <c r="B1024" s="45"/>
      <c r="C1024" s="45"/>
      <c r="D1024" s="45"/>
      <c r="E1024" s="107"/>
      <c r="F1024" s="107"/>
      <c r="G1024" s="107"/>
      <c r="H1024" s="93"/>
      <c r="I1024" s="64"/>
      <c r="J1024" s="64"/>
      <c r="K1024" s="66"/>
      <c r="L1024" s="55"/>
      <c r="M1024" s="46"/>
      <c r="N1024" s="48"/>
      <c r="O1024" s="58"/>
      <c r="P1024" s="61"/>
      <c r="S1024" s="38"/>
    </row>
    <row r="1025" spans="1:19" x14ac:dyDescent="0.25">
      <c r="A1025" s="90"/>
      <c r="B1025" s="45"/>
      <c r="C1025" s="45"/>
      <c r="D1025" s="45"/>
      <c r="E1025" s="107"/>
      <c r="F1025" s="107"/>
      <c r="G1025" s="107"/>
      <c r="H1025" s="93"/>
      <c r="I1025" s="64"/>
      <c r="J1025" s="64"/>
      <c r="K1025" s="66"/>
      <c r="L1025" s="55"/>
      <c r="M1025" s="46"/>
      <c r="N1025" s="48"/>
      <c r="O1025" s="58"/>
      <c r="P1025" s="61"/>
      <c r="S1025" s="38"/>
    </row>
    <row r="1026" spans="1:19" x14ac:dyDescent="0.25">
      <c r="A1026" s="90"/>
      <c r="B1026" s="45"/>
      <c r="C1026" s="45"/>
      <c r="D1026" s="45"/>
      <c r="E1026" s="107"/>
      <c r="F1026" s="107"/>
      <c r="G1026" s="107"/>
      <c r="H1026" s="93"/>
      <c r="I1026" s="64"/>
      <c r="J1026" s="64"/>
      <c r="K1026" s="66"/>
      <c r="L1026" s="55"/>
      <c r="M1026" s="46"/>
      <c r="N1026" s="48"/>
      <c r="O1026" s="58"/>
      <c r="P1026" s="61"/>
      <c r="S1026" s="38"/>
    </row>
    <row r="1027" spans="1:19" x14ac:dyDescent="0.25">
      <c r="A1027" s="90"/>
      <c r="B1027" s="45"/>
      <c r="C1027" s="45"/>
      <c r="D1027" s="45"/>
      <c r="E1027" s="107"/>
      <c r="F1027" s="107"/>
      <c r="G1027" s="107"/>
      <c r="H1027" s="93"/>
      <c r="I1027" s="64"/>
      <c r="J1027" s="64"/>
      <c r="K1027" s="66"/>
      <c r="L1027" s="55"/>
      <c r="M1027" s="46"/>
      <c r="N1027" s="48"/>
      <c r="O1027" s="58"/>
      <c r="P1027" s="61"/>
      <c r="S1027" s="38"/>
    </row>
    <row r="1028" spans="1:19" x14ac:dyDescent="0.25">
      <c r="A1028" s="90"/>
      <c r="B1028" s="45"/>
      <c r="C1028" s="45"/>
      <c r="D1028" s="45"/>
      <c r="E1028" s="107"/>
      <c r="F1028" s="107"/>
      <c r="G1028" s="107"/>
      <c r="H1028" s="93"/>
      <c r="I1028" s="64"/>
      <c r="J1028" s="64"/>
      <c r="K1028" s="66"/>
      <c r="L1028" s="55"/>
      <c r="M1028" s="46"/>
      <c r="N1028" s="48"/>
      <c r="O1028" s="58"/>
      <c r="P1028" s="61"/>
      <c r="S1028" s="38"/>
    </row>
    <row r="1029" spans="1:19" x14ac:dyDescent="0.25">
      <c r="A1029" s="90"/>
      <c r="B1029" s="45"/>
      <c r="C1029" s="45"/>
      <c r="D1029" s="45"/>
      <c r="E1029" s="107"/>
      <c r="F1029" s="107"/>
      <c r="G1029" s="107"/>
      <c r="H1029" s="93"/>
      <c r="I1029" s="64"/>
      <c r="J1029" s="64"/>
      <c r="K1029" s="66"/>
      <c r="L1029" s="55"/>
      <c r="M1029" s="46"/>
      <c r="N1029" s="48"/>
      <c r="O1029" s="58"/>
      <c r="P1029" s="61"/>
      <c r="S1029" s="38"/>
    </row>
    <row r="1030" spans="1:19" x14ac:dyDescent="0.25">
      <c r="A1030" s="90"/>
      <c r="B1030" s="45"/>
      <c r="C1030" s="45"/>
      <c r="D1030" s="45"/>
      <c r="E1030" s="107"/>
      <c r="F1030" s="107"/>
      <c r="G1030" s="107"/>
      <c r="H1030" s="93"/>
      <c r="I1030" s="64"/>
      <c r="J1030" s="64"/>
      <c r="K1030" s="66"/>
      <c r="L1030" s="55"/>
      <c r="M1030" s="46"/>
      <c r="N1030" s="48"/>
      <c r="O1030" s="58"/>
      <c r="P1030" s="61"/>
      <c r="S1030" s="38"/>
    </row>
    <row r="1031" spans="1:19" x14ac:dyDescent="0.25">
      <c r="A1031" s="90"/>
      <c r="B1031" s="45"/>
      <c r="C1031" s="45"/>
      <c r="D1031" s="45"/>
      <c r="E1031" s="107"/>
      <c r="F1031" s="107"/>
      <c r="G1031" s="107"/>
      <c r="H1031" s="93"/>
      <c r="I1031" s="64"/>
      <c r="J1031" s="64"/>
      <c r="K1031" s="66"/>
      <c r="L1031" s="55"/>
      <c r="M1031" s="46"/>
      <c r="N1031" s="48"/>
      <c r="O1031" s="58"/>
      <c r="P1031" s="61"/>
      <c r="S1031" s="38"/>
    </row>
    <row r="1032" spans="1:19" x14ac:dyDescent="0.25">
      <c r="A1032" s="90"/>
      <c r="B1032" s="45"/>
      <c r="C1032" s="45"/>
      <c r="D1032" s="45"/>
      <c r="E1032" s="107"/>
      <c r="F1032" s="107"/>
      <c r="G1032" s="107"/>
      <c r="H1032" s="93"/>
      <c r="I1032" s="64"/>
      <c r="J1032" s="64"/>
      <c r="K1032" s="66"/>
      <c r="L1032" s="55"/>
      <c r="M1032" s="46"/>
      <c r="N1032" s="48"/>
      <c r="O1032" s="58"/>
      <c r="P1032" s="61"/>
      <c r="S1032" s="38"/>
    </row>
    <row r="1033" spans="1:19" x14ac:dyDescent="0.25">
      <c r="A1033" s="90"/>
      <c r="B1033" s="45"/>
      <c r="C1033" s="45"/>
      <c r="D1033" s="45"/>
      <c r="E1033" s="107"/>
      <c r="F1033" s="107"/>
      <c r="G1033" s="107"/>
      <c r="H1033" s="93"/>
      <c r="I1033" s="64"/>
      <c r="J1033" s="64"/>
      <c r="K1033" s="66"/>
      <c r="L1033" s="55"/>
      <c r="M1033" s="46"/>
      <c r="N1033" s="48"/>
      <c r="O1033" s="58"/>
      <c r="P1033" s="61"/>
      <c r="S1033" s="38"/>
    </row>
    <row r="1034" spans="1:19" x14ac:dyDescent="0.25">
      <c r="A1034" s="90"/>
      <c r="B1034" s="45"/>
      <c r="C1034" s="45"/>
      <c r="D1034" s="45"/>
      <c r="E1034" s="107"/>
      <c r="F1034" s="107"/>
      <c r="G1034" s="107"/>
      <c r="H1034" s="93"/>
      <c r="I1034" s="64"/>
      <c r="J1034" s="64"/>
      <c r="K1034" s="66"/>
      <c r="L1034" s="55"/>
      <c r="M1034" s="46"/>
      <c r="N1034" s="48"/>
      <c r="O1034" s="58"/>
      <c r="P1034" s="61"/>
      <c r="S1034" s="38"/>
    </row>
    <row r="1035" spans="1:19" x14ac:dyDescent="0.25">
      <c r="A1035" s="90"/>
      <c r="B1035" s="45"/>
      <c r="C1035" s="45"/>
      <c r="D1035" s="45"/>
      <c r="E1035" s="107"/>
      <c r="F1035" s="107"/>
      <c r="G1035" s="107"/>
      <c r="H1035" s="93"/>
      <c r="I1035" s="64"/>
      <c r="J1035" s="64"/>
      <c r="K1035" s="66"/>
      <c r="L1035" s="55"/>
      <c r="M1035" s="46"/>
      <c r="N1035" s="48"/>
      <c r="O1035" s="58"/>
      <c r="P1035" s="61"/>
      <c r="S1035" s="38"/>
    </row>
    <row r="1036" spans="1:19" x14ac:dyDescent="0.25">
      <c r="A1036" s="90"/>
      <c r="B1036" s="45"/>
      <c r="C1036" s="45"/>
      <c r="D1036" s="45"/>
      <c r="E1036" s="107"/>
      <c r="F1036" s="107"/>
      <c r="G1036" s="107"/>
      <c r="H1036" s="93"/>
      <c r="I1036" s="64"/>
      <c r="J1036" s="64"/>
      <c r="K1036" s="66"/>
      <c r="L1036" s="55"/>
      <c r="M1036" s="46"/>
      <c r="N1036" s="48"/>
      <c r="O1036" s="58"/>
      <c r="P1036" s="61"/>
      <c r="S1036" s="38"/>
    </row>
    <row r="1037" spans="1:19" x14ac:dyDescent="0.25">
      <c r="A1037" s="90"/>
      <c r="B1037" s="45"/>
      <c r="C1037" s="45"/>
      <c r="D1037" s="45"/>
      <c r="E1037" s="107"/>
      <c r="F1037" s="107"/>
      <c r="G1037" s="107"/>
      <c r="H1037" s="93"/>
      <c r="I1037" s="64"/>
      <c r="J1037" s="64"/>
      <c r="K1037" s="66"/>
      <c r="L1037" s="55"/>
      <c r="M1037" s="46"/>
      <c r="N1037" s="48"/>
      <c r="O1037" s="58"/>
      <c r="P1037" s="61"/>
      <c r="S1037" s="38"/>
    </row>
    <row r="1038" spans="1:19" x14ac:dyDescent="0.25">
      <c r="A1038" s="90"/>
      <c r="B1038" s="45"/>
      <c r="C1038" s="45"/>
      <c r="D1038" s="45"/>
      <c r="E1038" s="107"/>
      <c r="F1038" s="107"/>
      <c r="G1038" s="107"/>
      <c r="H1038" s="93"/>
      <c r="I1038" s="64"/>
      <c r="J1038" s="64"/>
      <c r="K1038" s="66"/>
      <c r="L1038" s="55"/>
      <c r="M1038" s="46"/>
      <c r="N1038" s="48"/>
      <c r="O1038" s="58"/>
      <c r="P1038" s="61"/>
      <c r="S1038" s="38"/>
    </row>
    <row r="1039" spans="1:19" x14ac:dyDescent="0.25">
      <c r="A1039" s="90"/>
      <c r="B1039" s="45"/>
      <c r="C1039" s="45"/>
      <c r="D1039" s="45"/>
      <c r="E1039" s="107"/>
      <c r="F1039" s="107"/>
      <c r="G1039" s="107"/>
      <c r="H1039" s="93"/>
      <c r="I1039" s="64"/>
      <c r="J1039" s="64"/>
      <c r="K1039" s="66"/>
      <c r="L1039" s="55"/>
      <c r="M1039" s="46"/>
      <c r="N1039" s="48"/>
      <c r="O1039" s="58"/>
      <c r="P1039" s="61"/>
      <c r="S1039" s="38"/>
    </row>
    <row r="1040" spans="1:19" x14ac:dyDescent="0.25">
      <c r="A1040" s="90"/>
      <c r="B1040" s="45"/>
      <c r="C1040" s="45"/>
      <c r="D1040" s="45"/>
      <c r="E1040" s="107"/>
      <c r="F1040" s="107"/>
      <c r="G1040" s="107"/>
      <c r="H1040" s="93"/>
      <c r="I1040" s="64"/>
      <c r="J1040" s="64"/>
      <c r="K1040" s="66"/>
      <c r="L1040" s="55"/>
      <c r="M1040" s="46"/>
      <c r="N1040" s="48"/>
      <c r="O1040" s="58"/>
      <c r="P1040" s="61"/>
      <c r="S1040" s="38"/>
    </row>
    <row r="1041" spans="1:19" x14ac:dyDescent="0.25">
      <c r="A1041" s="90"/>
      <c r="B1041" s="45"/>
      <c r="C1041" s="45"/>
      <c r="D1041" s="45"/>
      <c r="E1041" s="107"/>
      <c r="F1041" s="107"/>
      <c r="G1041" s="107"/>
      <c r="H1041" s="93"/>
      <c r="I1041" s="64"/>
      <c r="J1041" s="64"/>
      <c r="K1041" s="66"/>
      <c r="L1041" s="55"/>
      <c r="M1041" s="46"/>
      <c r="N1041" s="48"/>
      <c r="O1041" s="58"/>
      <c r="P1041" s="61"/>
      <c r="S1041" s="38"/>
    </row>
    <row r="1042" spans="1:19" x14ac:dyDescent="0.25">
      <c r="A1042" s="90"/>
      <c r="B1042" s="45"/>
      <c r="C1042" s="45"/>
      <c r="D1042" s="45"/>
      <c r="E1042" s="107"/>
      <c r="F1042" s="107"/>
      <c r="G1042" s="107"/>
      <c r="H1042" s="93"/>
      <c r="I1042" s="64"/>
      <c r="J1042" s="64"/>
      <c r="K1042" s="66"/>
      <c r="L1042" s="55"/>
      <c r="M1042" s="46"/>
      <c r="N1042" s="48"/>
      <c r="O1042" s="58"/>
      <c r="P1042" s="61"/>
      <c r="S1042" s="38"/>
    </row>
    <row r="1043" spans="1:19" x14ac:dyDescent="0.25">
      <c r="A1043" s="90"/>
      <c r="B1043" s="45"/>
      <c r="C1043" s="45"/>
      <c r="D1043" s="45"/>
      <c r="E1043" s="107"/>
      <c r="F1043" s="107"/>
      <c r="G1043" s="107"/>
      <c r="H1043" s="93"/>
      <c r="I1043" s="64"/>
      <c r="J1043" s="64"/>
      <c r="K1043" s="66"/>
      <c r="L1043" s="55"/>
      <c r="M1043" s="46"/>
      <c r="N1043" s="48"/>
      <c r="O1043" s="58"/>
      <c r="P1043" s="61"/>
      <c r="S1043" s="38"/>
    </row>
    <row r="1044" spans="1:19" x14ac:dyDescent="0.25">
      <c r="A1044" s="90"/>
      <c r="B1044" s="45"/>
      <c r="C1044" s="45"/>
      <c r="D1044" s="45"/>
      <c r="E1044" s="107"/>
      <c r="F1044" s="107"/>
      <c r="G1044" s="107"/>
      <c r="H1044" s="93"/>
      <c r="I1044" s="64"/>
      <c r="J1044" s="64"/>
      <c r="K1044" s="66"/>
      <c r="L1044" s="55"/>
      <c r="M1044" s="46"/>
      <c r="N1044" s="48"/>
      <c r="O1044" s="58"/>
      <c r="P1044" s="61"/>
      <c r="S1044" s="38"/>
    </row>
    <row r="1045" spans="1:19" x14ac:dyDescent="0.25">
      <c r="A1045" s="90"/>
      <c r="B1045" s="45"/>
      <c r="C1045" s="45"/>
      <c r="D1045" s="45"/>
      <c r="E1045" s="107"/>
      <c r="F1045" s="107"/>
      <c r="G1045" s="107"/>
      <c r="H1045" s="93"/>
      <c r="I1045" s="64"/>
      <c r="J1045" s="64"/>
      <c r="K1045" s="66"/>
      <c r="L1045" s="55"/>
      <c r="M1045" s="46"/>
      <c r="N1045" s="48"/>
      <c r="O1045" s="58"/>
      <c r="P1045" s="61"/>
      <c r="S1045" s="38"/>
    </row>
    <row r="1046" spans="1:19" x14ac:dyDescent="0.25">
      <c r="A1046" s="90"/>
      <c r="B1046" s="45"/>
      <c r="C1046" s="45"/>
      <c r="D1046" s="45"/>
      <c r="E1046" s="107"/>
      <c r="F1046" s="107"/>
      <c r="G1046" s="107"/>
      <c r="H1046" s="93"/>
      <c r="I1046" s="64"/>
      <c r="J1046" s="64"/>
      <c r="K1046" s="66"/>
      <c r="L1046" s="55"/>
      <c r="M1046" s="46"/>
      <c r="N1046" s="48"/>
      <c r="O1046" s="58"/>
      <c r="P1046" s="61"/>
      <c r="S1046" s="38"/>
    </row>
    <row r="1047" spans="1:19" x14ac:dyDescent="0.25">
      <c r="A1047" s="90"/>
      <c r="B1047" s="45"/>
      <c r="C1047" s="45"/>
      <c r="D1047" s="45"/>
      <c r="E1047" s="107"/>
      <c r="F1047" s="107"/>
      <c r="G1047" s="107"/>
      <c r="H1047" s="93"/>
      <c r="I1047" s="64"/>
      <c r="J1047" s="64"/>
      <c r="K1047" s="66"/>
      <c r="L1047" s="55"/>
      <c r="M1047" s="46"/>
      <c r="N1047" s="48"/>
      <c r="O1047" s="58"/>
      <c r="P1047" s="61"/>
      <c r="S1047" s="38"/>
    </row>
    <row r="1048" spans="1:19" x14ac:dyDescent="0.25">
      <c r="A1048" s="90"/>
      <c r="B1048" s="45"/>
      <c r="C1048" s="45"/>
      <c r="D1048" s="45"/>
      <c r="E1048" s="107"/>
      <c r="F1048" s="107"/>
      <c r="G1048" s="107"/>
      <c r="H1048" s="93"/>
      <c r="I1048" s="64"/>
      <c r="J1048" s="64"/>
      <c r="K1048" s="66"/>
      <c r="L1048" s="55"/>
      <c r="M1048" s="46"/>
      <c r="N1048" s="48"/>
      <c r="O1048" s="58"/>
      <c r="P1048" s="61"/>
      <c r="S1048" s="38"/>
    </row>
    <row r="1049" spans="1:19" x14ac:dyDescent="0.25">
      <c r="A1049" s="90"/>
      <c r="B1049" s="45"/>
      <c r="C1049" s="45"/>
      <c r="D1049" s="45"/>
      <c r="E1049" s="107"/>
      <c r="F1049" s="107"/>
      <c r="G1049" s="107"/>
      <c r="H1049" s="93"/>
      <c r="I1049" s="64"/>
      <c r="J1049" s="64"/>
      <c r="K1049" s="66"/>
      <c r="L1049" s="55"/>
      <c r="M1049" s="46"/>
      <c r="N1049" s="48"/>
      <c r="O1049" s="58"/>
      <c r="P1049" s="61"/>
      <c r="S1049" s="38"/>
    </row>
    <row r="1050" spans="1:19" x14ac:dyDescent="0.25">
      <c r="A1050" s="90"/>
      <c r="B1050" s="45"/>
      <c r="C1050" s="45"/>
      <c r="D1050" s="45"/>
      <c r="E1050" s="107"/>
      <c r="F1050" s="107"/>
      <c r="G1050" s="107"/>
      <c r="H1050" s="93"/>
      <c r="I1050" s="64"/>
      <c r="J1050" s="64"/>
      <c r="K1050" s="66"/>
      <c r="L1050" s="55"/>
      <c r="M1050" s="46"/>
      <c r="N1050" s="48"/>
      <c r="O1050" s="58"/>
      <c r="P1050" s="61"/>
      <c r="S1050" s="38"/>
    </row>
    <row r="1051" spans="1:19" x14ac:dyDescent="0.25">
      <c r="A1051" s="90"/>
      <c r="B1051" s="45"/>
      <c r="C1051" s="45"/>
      <c r="D1051" s="45"/>
      <c r="E1051" s="107"/>
      <c r="F1051" s="107"/>
      <c r="G1051" s="107"/>
      <c r="H1051" s="93"/>
      <c r="I1051" s="64"/>
      <c r="J1051" s="64"/>
      <c r="K1051" s="66"/>
      <c r="L1051" s="55"/>
      <c r="M1051" s="46"/>
      <c r="N1051" s="48"/>
      <c r="O1051" s="58"/>
      <c r="P1051" s="61"/>
      <c r="S1051" s="38"/>
    </row>
    <row r="1052" spans="1:19" x14ac:dyDescent="0.25">
      <c r="A1052" s="90"/>
      <c r="B1052" s="45"/>
      <c r="C1052" s="45"/>
      <c r="D1052" s="45"/>
      <c r="E1052" s="107"/>
      <c r="F1052" s="107"/>
      <c r="G1052" s="107"/>
      <c r="H1052" s="93"/>
      <c r="I1052" s="64"/>
      <c r="J1052" s="64"/>
      <c r="K1052" s="66"/>
      <c r="L1052" s="55"/>
      <c r="M1052" s="46"/>
      <c r="N1052" s="48"/>
      <c r="O1052" s="58"/>
      <c r="P1052" s="61"/>
      <c r="S1052" s="38"/>
    </row>
    <row r="1053" spans="1:19" x14ac:dyDescent="0.25">
      <c r="A1053" s="90"/>
      <c r="B1053" s="45"/>
      <c r="C1053" s="45"/>
      <c r="D1053" s="45"/>
      <c r="E1053" s="107"/>
      <c r="F1053" s="107"/>
      <c r="G1053" s="107"/>
      <c r="H1053" s="93"/>
      <c r="I1053" s="64"/>
      <c r="J1053" s="64"/>
      <c r="K1053" s="66"/>
      <c r="L1053" s="55"/>
      <c r="M1053" s="46"/>
      <c r="N1053" s="48"/>
      <c r="O1053" s="58"/>
      <c r="P1053" s="61"/>
      <c r="S1053" s="38"/>
    </row>
    <row r="1054" spans="1:19" x14ac:dyDescent="0.25">
      <c r="A1054" s="90"/>
      <c r="B1054" s="45"/>
      <c r="C1054" s="45"/>
      <c r="D1054" s="45"/>
      <c r="E1054" s="107"/>
      <c r="F1054" s="107"/>
      <c r="G1054" s="107"/>
      <c r="H1054" s="93"/>
      <c r="I1054" s="64"/>
      <c r="J1054" s="64"/>
      <c r="K1054" s="66"/>
      <c r="L1054" s="55"/>
      <c r="M1054" s="46"/>
      <c r="N1054" s="48"/>
      <c r="O1054" s="58"/>
      <c r="P1054" s="61"/>
      <c r="S1054" s="38"/>
    </row>
    <row r="1055" spans="1:19" x14ac:dyDescent="0.25">
      <c r="A1055" s="90"/>
      <c r="B1055" s="45"/>
      <c r="C1055" s="45"/>
      <c r="D1055" s="45"/>
      <c r="E1055" s="107"/>
      <c r="F1055" s="107"/>
      <c r="G1055" s="107"/>
      <c r="H1055" s="93"/>
      <c r="I1055" s="64"/>
      <c r="J1055" s="64"/>
      <c r="K1055" s="66"/>
      <c r="L1055" s="55"/>
      <c r="M1055" s="46"/>
      <c r="N1055" s="48"/>
      <c r="O1055" s="58"/>
      <c r="P1055" s="61"/>
      <c r="S1055" s="38"/>
    </row>
    <row r="1056" spans="1:19" x14ac:dyDescent="0.25">
      <c r="C1056" s="45"/>
      <c r="J1056" s="65"/>
      <c r="L1056" s="55"/>
      <c r="M1056" s="46"/>
      <c r="N1056" s="48"/>
      <c r="O1056" s="58"/>
      <c r="P1056" s="61"/>
      <c r="S1056" s="38"/>
    </row>
    <row r="1057" spans="1:19" x14ac:dyDescent="0.25">
      <c r="C1057" s="45"/>
      <c r="J1057" s="65"/>
      <c r="L1057" s="55"/>
      <c r="M1057" s="46"/>
      <c r="N1057" s="48"/>
      <c r="O1057" s="58"/>
      <c r="P1057" s="61"/>
      <c r="S1057" s="38"/>
    </row>
    <row r="1058" spans="1:19" x14ac:dyDescent="0.25">
      <c r="C1058" s="45"/>
      <c r="J1058" s="65"/>
      <c r="L1058" s="55"/>
      <c r="M1058" s="46"/>
      <c r="N1058" s="48"/>
      <c r="O1058" s="58"/>
      <c r="P1058" s="61"/>
      <c r="S1058" s="38"/>
    </row>
    <row r="1059" spans="1:19" x14ac:dyDescent="0.25">
      <c r="C1059" s="45"/>
      <c r="J1059" s="65"/>
      <c r="L1059" s="55"/>
      <c r="M1059" s="46"/>
      <c r="N1059" s="48"/>
      <c r="O1059" s="58"/>
      <c r="P1059" s="61"/>
      <c r="S1059" s="38"/>
    </row>
    <row r="1060" spans="1:19" x14ac:dyDescent="0.25">
      <c r="A1060" s="90"/>
      <c r="B1060" s="45"/>
      <c r="C1060" s="45"/>
      <c r="D1060" s="45"/>
      <c r="E1060" s="107"/>
      <c r="F1060" s="107"/>
      <c r="G1060" s="107"/>
      <c r="H1060" s="93"/>
      <c r="I1060" s="64"/>
      <c r="J1060" s="64"/>
      <c r="K1060" s="66"/>
      <c r="L1060" s="55"/>
      <c r="M1060" s="46"/>
      <c r="N1060" s="48"/>
      <c r="O1060" s="58"/>
      <c r="P1060" s="61"/>
      <c r="S1060" s="38"/>
    </row>
    <row r="1061" spans="1:19" x14ac:dyDescent="0.25">
      <c r="A1061" s="90"/>
      <c r="B1061" s="45"/>
      <c r="C1061" s="45"/>
      <c r="D1061" s="45"/>
      <c r="E1061" s="107"/>
      <c r="F1061" s="107"/>
      <c r="G1061" s="107"/>
      <c r="H1061" s="93"/>
      <c r="I1061" s="64"/>
      <c r="J1061" s="64"/>
      <c r="K1061" s="66"/>
      <c r="L1061" s="55"/>
      <c r="M1061" s="46"/>
      <c r="N1061" s="48"/>
      <c r="O1061" s="58"/>
      <c r="P1061" s="61"/>
      <c r="S1061" s="38"/>
    </row>
    <row r="1062" spans="1:19" x14ac:dyDescent="0.25">
      <c r="A1062" s="90"/>
      <c r="B1062" s="45"/>
      <c r="C1062" s="45"/>
      <c r="D1062" s="45"/>
      <c r="E1062" s="107"/>
      <c r="F1062" s="107"/>
      <c r="G1062" s="107"/>
      <c r="H1062" s="93"/>
      <c r="I1062" s="64"/>
      <c r="J1062" s="64"/>
      <c r="K1062" s="66"/>
      <c r="L1062" s="55"/>
      <c r="M1062" s="46"/>
      <c r="N1062" s="48"/>
      <c r="O1062" s="58"/>
      <c r="P1062" s="61"/>
      <c r="S1062" s="38"/>
    </row>
    <row r="1063" spans="1:19" x14ac:dyDescent="0.25">
      <c r="A1063" s="90"/>
      <c r="B1063" s="45"/>
      <c r="C1063" s="45"/>
      <c r="D1063" s="45"/>
      <c r="E1063" s="107"/>
      <c r="F1063" s="107"/>
      <c r="G1063" s="107"/>
      <c r="H1063" s="93"/>
      <c r="I1063" s="64"/>
      <c r="J1063" s="64"/>
      <c r="K1063" s="66"/>
      <c r="L1063" s="55"/>
      <c r="M1063" s="46"/>
      <c r="N1063" s="48"/>
      <c r="O1063" s="58"/>
      <c r="P1063" s="61"/>
      <c r="S1063" s="38"/>
    </row>
    <row r="1064" spans="1:19" x14ac:dyDescent="0.25">
      <c r="C1064" s="45"/>
      <c r="J1064" s="65"/>
      <c r="L1064" s="55"/>
      <c r="M1064" s="46"/>
      <c r="N1064" s="48"/>
      <c r="O1064" s="58"/>
      <c r="P1064" s="61"/>
      <c r="S1064" s="38"/>
    </row>
    <row r="1065" spans="1:19" x14ac:dyDescent="0.25">
      <c r="C1065" s="45"/>
      <c r="J1065" s="65"/>
      <c r="L1065" s="55"/>
      <c r="M1065" s="46"/>
      <c r="N1065" s="48"/>
      <c r="O1065" s="58"/>
      <c r="P1065" s="61"/>
      <c r="S1065" s="38"/>
    </row>
    <row r="1066" spans="1:19" x14ac:dyDescent="0.25">
      <c r="C1066" s="45"/>
      <c r="J1066" s="65"/>
      <c r="L1066" s="55"/>
      <c r="M1066" s="46"/>
      <c r="N1066" s="48"/>
      <c r="O1066" s="58"/>
      <c r="P1066" s="61"/>
      <c r="S1066" s="38"/>
    </row>
    <row r="1067" spans="1:19" x14ac:dyDescent="0.25">
      <c r="C1067" s="45"/>
      <c r="J1067" s="65"/>
      <c r="L1067" s="55"/>
      <c r="M1067" s="46"/>
      <c r="N1067" s="48"/>
      <c r="O1067" s="58"/>
      <c r="P1067" s="61"/>
      <c r="S1067" s="38"/>
    </row>
    <row r="1068" spans="1:19" x14ac:dyDescent="0.25">
      <c r="C1068" s="45"/>
      <c r="J1068" s="65"/>
      <c r="L1068" s="55"/>
      <c r="M1068" s="46"/>
      <c r="N1068" s="48"/>
      <c r="O1068" s="58"/>
      <c r="P1068" s="61"/>
      <c r="S1068" s="38"/>
    </row>
    <row r="1069" spans="1:19" x14ac:dyDescent="0.25">
      <c r="C1069" s="45"/>
      <c r="J1069" s="65"/>
      <c r="L1069" s="55"/>
      <c r="M1069" s="46"/>
      <c r="N1069" s="48"/>
      <c r="O1069" s="58"/>
      <c r="P1069" s="61"/>
      <c r="S1069" s="38"/>
    </row>
    <row r="1070" spans="1:19" x14ac:dyDescent="0.25">
      <c r="A1070" s="90"/>
      <c r="B1070" s="45"/>
      <c r="C1070" s="45"/>
      <c r="D1070" s="45"/>
      <c r="E1070" s="107"/>
      <c r="F1070" s="107"/>
      <c r="G1070" s="107"/>
      <c r="H1070" s="93"/>
      <c r="I1070" s="64"/>
      <c r="J1070" s="64"/>
      <c r="K1070" s="66"/>
      <c r="L1070" s="55"/>
      <c r="M1070" s="46"/>
      <c r="N1070" s="48"/>
      <c r="O1070" s="58"/>
      <c r="P1070" s="61"/>
      <c r="S1070" s="38"/>
    </row>
    <row r="1071" spans="1:19" x14ac:dyDescent="0.25">
      <c r="A1071" s="90"/>
      <c r="B1071" s="45"/>
      <c r="C1071" s="45"/>
      <c r="D1071" s="45"/>
      <c r="E1071" s="107"/>
      <c r="F1071" s="107"/>
      <c r="G1071" s="107"/>
      <c r="H1071" s="93"/>
      <c r="I1071" s="64"/>
      <c r="J1071" s="64"/>
      <c r="K1071" s="66"/>
      <c r="L1071" s="55"/>
      <c r="M1071" s="46"/>
      <c r="N1071" s="48"/>
      <c r="O1071" s="58"/>
      <c r="P1071" s="61"/>
      <c r="S1071" s="38"/>
    </row>
    <row r="1072" spans="1:19" x14ac:dyDescent="0.25">
      <c r="A1072" s="90"/>
      <c r="B1072" s="45"/>
      <c r="C1072" s="45"/>
      <c r="D1072" s="45"/>
      <c r="E1072" s="107"/>
      <c r="F1072" s="107"/>
      <c r="G1072" s="107"/>
      <c r="H1072" s="93"/>
      <c r="I1072" s="64"/>
      <c r="J1072" s="64"/>
      <c r="K1072" s="66"/>
      <c r="L1072" s="55"/>
      <c r="M1072" s="46"/>
      <c r="N1072" s="48"/>
      <c r="O1072" s="58"/>
      <c r="P1072" s="61"/>
      <c r="S1072" s="38"/>
    </row>
    <row r="1073" spans="1:19" x14ac:dyDescent="0.25">
      <c r="A1073" s="90"/>
      <c r="B1073" s="45"/>
      <c r="C1073" s="45"/>
      <c r="D1073" s="45"/>
      <c r="E1073" s="107"/>
      <c r="F1073" s="107"/>
      <c r="G1073" s="107"/>
      <c r="H1073" s="93"/>
      <c r="I1073" s="64"/>
      <c r="J1073" s="64"/>
      <c r="K1073" s="66"/>
      <c r="L1073" s="55"/>
      <c r="M1073" s="46"/>
      <c r="N1073" s="48"/>
      <c r="O1073" s="58"/>
      <c r="P1073" s="61"/>
      <c r="S1073" s="38"/>
    </row>
    <row r="1074" spans="1:19" x14ac:dyDescent="0.25">
      <c r="A1074" s="90"/>
      <c r="B1074" s="45"/>
      <c r="C1074" s="45"/>
      <c r="D1074" s="45"/>
      <c r="E1074" s="107"/>
      <c r="F1074" s="107"/>
      <c r="G1074" s="107"/>
      <c r="H1074" s="93"/>
      <c r="I1074" s="64"/>
      <c r="J1074" s="64"/>
      <c r="K1074" s="66"/>
      <c r="L1074" s="55"/>
      <c r="M1074" s="46"/>
      <c r="N1074" s="48"/>
      <c r="O1074" s="58"/>
      <c r="P1074" s="61"/>
      <c r="S1074" s="38"/>
    </row>
    <row r="1075" spans="1:19" x14ac:dyDescent="0.25">
      <c r="A1075" s="90"/>
      <c r="B1075" s="45"/>
      <c r="C1075" s="45"/>
      <c r="D1075" s="45"/>
      <c r="E1075" s="107"/>
      <c r="F1075" s="107"/>
      <c r="G1075" s="107"/>
      <c r="H1075" s="93"/>
      <c r="I1075" s="64"/>
      <c r="J1075" s="64"/>
      <c r="K1075" s="66"/>
      <c r="L1075" s="55"/>
      <c r="M1075" s="46"/>
      <c r="N1075" s="48"/>
      <c r="O1075" s="58"/>
      <c r="P1075" s="61"/>
      <c r="S1075" s="38"/>
    </row>
    <row r="1076" spans="1:19" x14ac:dyDescent="0.25">
      <c r="C1076" s="45"/>
      <c r="J1076" s="65"/>
      <c r="L1076" s="55"/>
      <c r="M1076" s="46"/>
      <c r="N1076" s="48"/>
      <c r="O1076" s="58"/>
      <c r="P1076" s="61"/>
      <c r="S1076" s="38"/>
    </row>
    <row r="1077" spans="1:19" x14ac:dyDescent="0.25">
      <c r="C1077" s="45"/>
      <c r="J1077" s="65"/>
      <c r="L1077" s="55"/>
      <c r="M1077" s="46"/>
      <c r="N1077" s="48"/>
      <c r="O1077" s="58"/>
      <c r="P1077" s="61"/>
      <c r="S1077" s="38"/>
    </row>
    <row r="1078" spans="1:19" x14ac:dyDescent="0.25">
      <c r="C1078" s="45"/>
      <c r="J1078" s="65"/>
      <c r="L1078" s="55"/>
      <c r="M1078" s="46"/>
      <c r="N1078" s="48"/>
      <c r="O1078" s="58"/>
      <c r="P1078" s="61"/>
      <c r="S1078" s="38"/>
    </row>
    <row r="1079" spans="1:19" x14ac:dyDescent="0.25">
      <c r="C1079" s="45"/>
      <c r="J1079" s="65"/>
      <c r="L1079" s="55"/>
      <c r="M1079" s="46"/>
      <c r="N1079" s="48"/>
      <c r="O1079" s="58"/>
      <c r="P1079" s="61"/>
      <c r="S1079" s="38"/>
    </row>
    <row r="1080" spans="1:19" x14ac:dyDescent="0.25">
      <c r="C1080" s="45"/>
      <c r="D1080" s="45"/>
      <c r="J1080" s="65"/>
      <c r="L1080" s="55"/>
      <c r="M1080" s="46"/>
      <c r="N1080" s="48"/>
      <c r="O1080" s="58"/>
      <c r="P1080" s="61"/>
      <c r="S1080" s="38"/>
    </row>
    <row r="1081" spans="1:19" x14ac:dyDescent="0.25">
      <c r="A1081" s="90"/>
      <c r="B1081" s="45"/>
      <c r="C1081" s="45"/>
      <c r="D1081" s="45"/>
      <c r="E1081" s="107"/>
      <c r="F1081" s="107"/>
      <c r="G1081" s="107"/>
      <c r="H1081" s="93"/>
      <c r="I1081" s="64"/>
      <c r="J1081" s="64"/>
      <c r="K1081" s="66"/>
      <c r="L1081" s="55"/>
      <c r="M1081" s="46"/>
      <c r="N1081" s="48"/>
      <c r="O1081" s="58"/>
      <c r="P1081" s="61"/>
      <c r="S1081" s="38"/>
    </row>
    <row r="1082" spans="1:19" x14ac:dyDescent="0.25">
      <c r="A1082" s="90"/>
      <c r="B1082" s="45"/>
      <c r="C1082" s="45"/>
      <c r="D1082" s="45"/>
      <c r="E1082" s="107"/>
      <c r="F1082" s="107"/>
      <c r="G1082" s="107"/>
      <c r="H1082" s="93"/>
      <c r="I1082" s="64"/>
      <c r="J1082" s="64"/>
      <c r="K1082" s="66"/>
      <c r="L1082" s="55"/>
      <c r="M1082" s="46"/>
      <c r="N1082" s="48"/>
      <c r="O1082" s="58"/>
      <c r="P1082" s="61"/>
      <c r="S1082" s="38"/>
    </row>
    <row r="1083" spans="1:19" x14ac:dyDescent="0.25">
      <c r="A1083" s="90"/>
      <c r="B1083" s="45"/>
      <c r="C1083" s="45"/>
      <c r="D1083" s="45"/>
      <c r="E1083" s="107"/>
      <c r="F1083" s="107"/>
      <c r="G1083" s="107"/>
      <c r="H1083" s="93"/>
      <c r="I1083" s="64"/>
      <c r="J1083" s="64"/>
      <c r="K1083" s="66"/>
      <c r="L1083" s="55"/>
      <c r="M1083" s="46"/>
      <c r="N1083" s="48"/>
      <c r="O1083" s="58"/>
      <c r="P1083" s="61"/>
      <c r="S1083" s="38"/>
    </row>
    <row r="1084" spans="1:19" x14ac:dyDescent="0.25">
      <c r="A1084" s="90"/>
      <c r="B1084" s="45"/>
      <c r="C1084" s="45"/>
      <c r="D1084" s="45"/>
      <c r="E1084" s="107"/>
      <c r="F1084" s="107"/>
      <c r="G1084" s="107"/>
      <c r="H1084" s="93"/>
      <c r="I1084" s="64"/>
      <c r="J1084" s="64"/>
      <c r="K1084" s="66"/>
      <c r="L1084" s="55"/>
      <c r="M1084" s="46"/>
      <c r="N1084" s="48"/>
      <c r="O1084" s="58"/>
      <c r="P1084" s="61"/>
      <c r="S1084" s="38"/>
    </row>
    <row r="1085" spans="1:19" x14ac:dyDescent="0.25">
      <c r="A1085" s="90"/>
      <c r="B1085" s="45"/>
      <c r="C1085" s="45"/>
      <c r="D1085" s="45"/>
      <c r="E1085" s="107"/>
      <c r="F1085" s="107"/>
      <c r="G1085" s="107"/>
      <c r="H1085" s="93"/>
      <c r="I1085" s="64"/>
      <c r="J1085" s="64"/>
      <c r="K1085" s="66"/>
      <c r="L1085" s="55"/>
      <c r="M1085" s="46"/>
      <c r="N1085" s="48"/>
      <c r="O1085" s="58"/>
      <c r="P1085" s="61"/>
      <c r="S1085" s="38"/>
    </row>
    <row r="1086" spans="1:19" x14ac:dyDescent="0.25">
      <c r="A1086" s="90"/>
      <c r="B1086" s="45"/>
      <c r="C1086" s="45"/>
      <c r="D1086" s="45"/>
      <c r="E1086" s="107"/>
      <c r="F1086" s="107"/>
      <c r="G1086" s="107"/>
      <c r="H1086" s="93"/>
      <c r="I1086" s="64"/>
      <c r="J1086" s="64"/>
      <c r="K1086" s="66"/>
      <c r="L1086" s="55"/>
      <c r="M1086" s="46"/>
      <c r="N1086" s="48"/>
      <c r="O1086" s="58"/>
      <c r="P1086" s="61"/>
      <c r="S1086" s="38"/>
    </row>
    <row r="1087" spans="1:19" x14ac:dyDescent="0.25">
      <c r="A1087" s="90"/>
      <c r="B1087" s="45"/>
      <c r="C1087" s="45"/>
      <c r="D1087" s="45"/>
      <c r="E1087" s="107"/>
      <c r="F1087" s="107"/>
      <c r="G1087" s="107"/>
      <c r="H1087" s="93"/>
      <c r="I1087" s="64"/>
      <c r="J1087" s="64"/>
      <c r="K1087" s="66"/>
      <c r="L1087" s="55"/>
      <c r="M1087" s="46"/>
      <c r="N1087" s="48"/>
      <c r="O1087" s="58"/>
      <c r="P1087" s="61"/>
      <c r="S1087" s="38"/>
    </row>
    <row r="1088" spans="1:19" x14ac:dyDescent="0.25">
      <c r="A1088" s="90"/>
      <c r="B1088" s="45"/>
      <c r="C1088" s="45"/>
      <c r="D1088" s="45"/>
      <c r="E1088" s="107"/>
      <c r="F1088" s="107"/>
      <c r="G1088" s="107"/>
      <c r="H1088" s="93"/>
      <c r="I1088" s="64"/>
      <c r="J1088" s="64"/>
      <c r="K1088" s="66"/>
      <c r="L1088" s="55"/>
      <c r="M1088" s="46"/>
      <c r="N1088" s="48"/>
      <c r="O1088" s="58"/>
      <c r="P1088" s="61"/>
      <c r="S1088" s="38"/>
    </row>
    <row r="1089" spans="1:19" x14ac:dyDescent="0.25">
      <c r="A1089" s="90"/>
      <c r="B1089" s="45"/>
      <c r="C1089" s="45"/>
      <c r="D1089" s="45"/>
      <c r="E1089" s="107"/>
      <c r="F1089" s="107"/>
      <c r="G1089" s="107"/>
      <c r="H1089" s="93"/>
      <c r="I1089" s="64"/>
      <c r="J1089" s="64"/>
      <c r="K1089" s="66"/>
      <c r="L1089" s="55"/>
      <c r="M1089" s="46"/>
      <c r="N1089" s="48"/>
      <c r="O1089" s="58"/>
      <c r="P1089" s="61"/>
      <c r="S1089" s="38"/>
    </row>
    <row r="1090" spans="1:19" x14ac:dyDescent="0.25">
      <c r="C1090" s="45"/>
      <c r="J1090" s="65"/>
      <c r="L1090" s="55"/>
      <c r="M1090" s="46"/>
      <c r="N1090" s="48"/>
      <c r="O1090" s="58"/>
      <c r="P1090" s="61"/>
      <c r="S1090" s="38"/>
    </row>
    <row r="1091" spans="1:19" x14ac:dyDescent="0.25">
      <c r="C1091" s="45"/>
      <c r="J1091" s="65"/>
      <c r="L1091" s="55"/>
      <c r="M1091" s="46"/>
      <c r="N1091" s="48"/>
      <c r="O1091" s="58"/>
      <c r="P1091" s="61"/>
      <c r="S1091" s="38"/>
    </row>
    <row r="1092" spans="1:19" x14ac:dyDescent="0.25">
      <c r="C1092" s="45"/>
      <c r="J1092" s="65"/>
      <c r="L1092" s="55"/>
      <c r="M1092" s="46"/>
      <c r="N1092" s="48"/>
      <c r="O1092" s="58"/>
      <c r="P1092" s="61"/>
      <c r="S1092" s="38"/>
    </row>
    <row r="1093" spans="1:19" x14ac:dyDescent="0.25">
      <c r="C1093" s="45"/>
      <c r="D1093" s="45"/>
      <c r="J1093" s="65"/>
      <c r="L1093" s="55"/>
      <c r="M1093" s="46"/>
      <c r="N1093" s="48"/>
      <c r="O1093" s="58"/>
      <c r="P1093" s="61"/>
      <c r="S1093" s="38"/>
    </row>
    <row r="1094" spans="1:19" x14ac:dyDescent="0.25">
      <c r="A1094" s="90"/>
      <c r="B1094" s="45"/>
      <c r="C1094" s="45"/>
      <c r="D1094" s="45"/>
      <c r="E1094" s="107"/>
      <c r="F1094" s="107"/>
      <c r="G1094" s="107"/>
      <c r="H1094" s="93"/>
      <c r="I1094" s="64"/>
      <c r="J1094" s="64"/>
      <c r="K1094" s="66"/>
      <c r="L1094" s="55"/>
      <c r="M1094" s="46"/>
      <c r="N1094" s="48"/>
      <c r="O1094" s="58"/>
      <c r="P1094" s="61"/>
      <c r="S1094" s="38"/>
    </row>
    <row r="1095" spans="1:19" x14ac:dyDescent="0.25">
      <c r="A1095" s="90"/>
      <c r="B1095" s="45"/>
      <c r="C1095" s="45"/>
      <c r="D1095" s="45"/>
      <c r="E1095" s="107"/>
      <c r="F1095" s="107"/>
      <c r="G1095" s="107"/>
      <c r="H1095" s="93"/>
      <c r="I1095" s="64"/>
      <c r="J1095" s="64"/>
      <c r="K1095" s="66"/>
      <c r="L1095" s="55"/>
      <c r="M1095" s="46"/>
      <c r="N1095" s="48"/>
      <c r="O1095" s="58"/>
      <c r="P1095" s="61"/>
      <c r="S1095" s="38"/>
    </row>
    <row r="1096" spans="1:19" x14ac:dyDescent="0.25">
      <c r="A1096" s="90"/>
      <c r="B1096" s="45"/>
      <c r="C1096" s="45"/>
      <c r="D1096" s="45"/>
      <c r="E1096" s="107"/>
      <c r="F1096" s="107"/>
      <c r="G1096" s="107"/>
      <c r="H1096" s="93"/>
      <c r="I1096" s="64"/>
      <c r="J1096" s="64"/>
      <c r="K1096" s="66"/>
      <c r="L1096" s="55"/>
      <c r="M1096" s="46"/>
      <c r="N1096" s="48"/>
      <c r="O1096" s="58"/>
      <c r="P1096" s="61"/>
      <c r="S1096" s="38"/>
    </row>
    <row r="1097" spans="1:19" x14ac:dyDescent="0.25">
      <c r="A1097" s="90"/>
      <c r="B1097" s="45"/>
      <c r="C1097" s="45"/>
      <c r="D1097" s="45"/>
      <c r="E1097" s="107"/>
      <c r="F1097" s="107"/>
      <c r="G1097" s="107"/>
      <c r="H1097" s="93"/>
      <c r="I1097" s="64"/>
      <c r="J1097" s="64"/>
      <c r="K1097" s="66"/>
      <c r="L1097" s="55"/>
      <c r="M1097" s="46"/>
      <c r="N1097" s="48"/>
      <c r="O1097" s="58"/>
      <c r="P1097" s="61"/>
      <c r="S1097" s="38"/>
    </row>
    <row r="1098" spans="1:19" x14ac:dyDescent="0.25">
      <c r="A1098" s="90"/>
      <c r="B1098" s="45"/>
      <c r="C1098" s="45"/>
      <c r="D1098" s="45"/>
      <c r="E1098" s="107"/>
      <c r="F1098" s="107"/>
      <c r="G1098" s="107"/>
      <c r="H1098" s="93"/>
      <c r="I1098" s="64"/>
      <c r="J1098" s="64"/>
      <c r="K1098" s="66"/>
      <c r="L1098" s="55"/>
      <c r="M1098" s="46"/>
      <c r="N1098" s="48"/>
      <c r="O1098" s="58"/>
      <c r="P1098" s="61"/>
      <c r="S1098" s="38"/>
    </row>
    <row r="1099" spans="1:19" x14ac:dyDescent="0.25">
      <c r="A1099" s="90"/>
      <c r="B1099" s="45"/>
      <c r="C1099" s="45"/>
      <c r="D1099" s="45"/>
      <c r="E1099" s="107"/>
      <c r="F1099" s="107"/>
      <c r="G1099" s="107"/>
      <c r="H1099" s="93"/>
      <c r="I1099" s="64"/>
      <c r="J1099" s="64"/>
      <c r="K1099" s="66"/>
      <c r="L1099" s="55"/>
      <c r="M1099" s="46"/>
      <c r="N1099" s="48"/>
      <c r="O1099" s="58"/>
      <c r="P1099" s="61"/>
      <c r="S1099" s="38"/>
    </row>
    <row r="1100" spans="1:19" x14ac:dyDescent="0.25">
      <c r="A1100" s="90"/>
      <c r="B1100" s="45"/>
      <c r="C1100" s="45"/>
      <c r="D1100" s="45"/>
      <c r="E1100" s="107"/>
      <c r="F1100" s="107"/>
      <c r="G1100" s="107"/>
      <c r="H1100" s="93"/>
      <c r="I1100" s="64"/>
      <c r="J1100" s="64"/>
      <c r="K1100" s="66"/>
      <c r="L1100" s="55"/>
      <c r="M1100" s="46"/>
      <c r="N1100" s="48"/>
      <c r="O1100" s="58"/>
      <c r="P1100" s="61"/>
      <c r="S1100" s="38"/>
    </row>
    <row r="1101" spans="1:19" x14ac:dyDescent="0.25">
      <c r="A1101" s="90"/>
      <c r="B1101" s="45"/>
      <c r="C1101" s="45"/>
      <c r="D1101" s="45"/>
      <c r="E1101" s="107"/>
      <c r="F1101" s="107"/>
      <c r="G1101" s="107"/>
      <c r="H1101" s="93"/>
      <c r="I1101" s="64"/>
      <c r="J1101" s="64"/>
      <c r="K1101" s="66"/>
      <c r="L1101" s="55"/>
      <c r="M1101" s="46"/>
      <c r="N1101" s="48"/>
      <c r="O1101" s="58"/>
      <c r="P1101" s="61"/>
      <c r="S1101" s="38"/>
    </row>
    <row r="1102" spans="1:19" x14ac:dyDescent="0.25">
      <c r="A1102" s="90"/>
      <c r="B1102" s="45"/>
      <c r="C1102" s="45"/>
      <c r="D1102" s="45"/>
      <c r="E1102" s="107"/>
      <c r="F1102" s="107"/>
      <c r="G1102" s="107"/>
      <c r="H1102" s="93"/>
      <c r="I1102" s="64"/>
      <c r="J1102" s="64"/>
      <c r="K1102" s="66"/>
      <c r="L1102" s="55"/>
      <c r="M1102" s="46"/>
      <c r="N1102" s="48"/>
      <c r="O1102" s="58"/>
      <c r="P1102" s="61"/>
      <c r="S1102" s="38"/>
    </row>
    <row r="1103" spans="1:19" x14ac:dyDescent="0.25">
      <c r="C1103" s="45"/>
      <c r="J1103" s="65"/>
      <c r="L1103" s="55"/>
      <c r="M1103" s="46"/>
      <c r="N1103" s="48"/>
      <c r="O1103" s="58"/>
      <c r="P1103" s="61"/>
      <c r="S1103" s="38"/>
    </row>
    <row r="1104" spans="1:19" x14ac:dyDescent="0.25">
      <c r="C1104" s="45"/>
      <c r="J1104" s="65"/>
      <c r="L1104" s="55"/>
      <c r="M1104" s="46"/>
      <c r="N1104" s="48"/>
      <c r="O1104" s="58"/>
      <c r="P1104" s="61"/>
      <c r="S1104" s="38"/>
    </row>
    <row r="1105" spans="1:19" x14ac:dyDescent="0.25">
      <c r="C1105" s="45"/>
      <c r="J1105" s="65"/>
      <c r="L1105" s="55"/>
      <c r="M1105" s="46"/>
      <c r="N1105" s="48"/>
      <c r="O1105" s="58"/>
      <c r="P1105" s="61"/>
      <c r="S1105" s="38"/>
    </row>
    <row r="1106" spans="1:19" x14ac:dyDescent="0.25">
      <c r="C1106" s="45"/>
      <c r="D1106" s="45"/>
      <c r="J1106" s="65"/>
      <c r="L1106" s="55"/>
      <c r="M1106" s="46"/>
      <c r="N1106" s="48"/>
      <c r="O1106" s="58"/>
      <c r="P1106" s="61"/>
      <c r="S1106" s="38"/>
    </row>
    <row r="1107" spans="1:19" x14ac:dyDescent="0.25">
      <c r="A1107" s="90"/>
      <c r="B1107" s="45"/>
      <c r="C1107" s="45"/>
      <c r="D1107" s="45"/>
      <c r="E1107" s="107"/>
      <c r="F1107" s="107"/>
      <c r="G1107" s="107"/>
      <c r="H1107" s="93"/>
      <c r="I1107" s="64"/>
      <c r="J1107" s="64"/>
      <c r="K1107" s="66"/>
      <c r="L1107" s="55"/>
      <c r="M1107" s="46"/>
      <c r="N1107" s="48"/>
      <c r="O1107" s="58"/>
      <c r="P1107" s="61"/>
      <c r="S1107" s="38"/>
    </row>
    <row r="1108" spans="1:19" x14ac:dyDescent="0.25">
      <c r="A1108" s="90"/>
      <c r="B1108" s="45"/>
      <c r="C1108" s="45"/>
      <c r="D1108" s="45"/>
      <c r="E1108" s="107"/>
      <c r="F1108" s="107"/>
      <c r="G1108" s="107"/>
      <c r="H1108" s="93"/>
      <c r="I1108" s="64"/>
      <c r="J1108" s="64"/>
      <c r="K1108" s="66"/>
      <c r="L1108" s="55"/>
      <c r="M1108" s="46"/>
      <c r="N1108" s="48"/>
      <c r="O1108" s="58"/>
      <c r="P1108" s="61"/>
      <c r="S1108" s="38"/>
    </row>
    <row r="1109" spans="1:19" x14ac:dyDescent="0.25">
      <c r="A1109" s="90"/>
      <c r="B1109" s="45"/>
      <c r="C1109" s="45"/>
      <c r="D1109" s="45"/>
      <c r="E1109" s="107"/>
      <c r="F1109" s="107"/>
      <c r="G1109" s="107"/>
      <c r="H1109" s="93"/>
      <c r="I1109" s="64"/>
      <c r="J1109" s="64"/>
      <c r="K1109" s="66"/>
      <c r="L1109" s="55"/>
      <c r="M1109" s="46"/>
      <c r="N1109" s="48"/>
      <c r="O1109" s="58"/>
      <c r="P1109" s="61"/>
      <c r="S1109" s="38"/>
    </row>
    <row r="1110" spans="1:19" x14ac:dyDescent="0.25">
      <c r="A1110" s="90"/>
      <c r="B1110" s="45"/>
      <c r="C1110" s="45"/>
      <c r="D1110" s="45"/>
      <c r="E1110" s="107"/>
      <c r="F1110" s="107"/>
      <c r="G1110" s="107"/>
      <c r="H1110" s="93"/>
      <c r="I1110" s="64"/>
      <c r="J1110" s="64"/>
      <c r="K1110" s="66"/>
      <c r="L1110" s="55"/>
      <c r="M1110" s="46"/>
      <c r="N1110" s="48"/>
      <c r="O1110" s="58"/>
      <c r="P1110" s="61"/>
      <c r="S1110" s="38"/>
    </row>
    <row r="1111" spans="1:19" x14ac:dyDescent="0.25">
      <c r="A1111" s="90"/>
      <c r="B1111" s="45"/>
      <c r="C1111" s="45"/>
      <c r="D1111" s="45"/>
      <c r="E1111" s="107"/>
      <c r="F1111" s="107"/>
      <c r="G1111" s="107"/>
      <c r="H1111" s="93"/>
      <c r="I1111" s="64"/>
      <c r="J1111" s="64"/>
      <c r="K1111" s="66"/>
      <c r="L1111" s="55"/>
      <c r="M1111" s="46"/>
      <c r="N1111" s="48"/>
      <c r="O1111" s="58"/>
      <c r="P1111" s="61"/>
      <c r="S1111" s="38"/>
    </row>
    <row r="1112" spans="1:19" x14ac:dyDescent="0.25">
      <c r="A1112" s="90"/>
      <c r="B1112" s="45"/>
      <c r="C1112" s="45"/>
      <c r="D1112" s="45"/>
      <c r="E1112" s="107"/>
      <c r="F1112" s="107"/>
      <c r="G1112" s="107"/>
      <c r="H1112" s="93"/>
      <c r="I1112" s="64"/>
      <c r="J1112" s="64"/>
      <c r="K1112" s="66"/>
      <c r="L1112" s="55"/>
      <c r="M1112" s="46"/>
      <c r="N1112" s="48"/>
      <c r="O1112" s="58"/>
      <c r="P1112" s="61"/>
      <c r="S1112" s="38"/>
    </row>
    <row r="1113" spans="1:19" x14ac:dyDescent="0.25">
      <c r="A1113" s="90"/>
      <c r="B1113" s="45"/>
      <c r="C1113" s="45"/>
      <c r="D1113" s="45"/>
      <c r="E1113" s="107"/>
      <c r="F1113" s="107"/>
      <c r="G1113" s="107"/>
      <c r="H1113" s="93"/>
      <c r="I1113" s="64"/>
      <c r="J1113" s="64"/>
      <c r="K1113" s="66"/>
      <c r="L1113" s="55"/>
      <c r="M1113" s="46"/>
      <c r="N1113" s="48"/>
      <c r="O1113" s="58"/>
      <c r="P1113" s="61"/>
      <c r="S1113" s="38"/>
    </row>
    <row r="1114" spans="1:19" x14ac:dyDescent="0.25">
      <c r="C1114" s="45"/>
      <c r="J1114" s="65"/>
      <c r="L1114" s="55"/>
      <c r="M1114" s="46"/>
      <c r="N1114" s="48"/>
      <c r="O1114" s="58"/>
      <c r="P1114" s="61"/>
      <c r="S1114" s="38"/>
    </row>
    <row r="1115" spans="1:19" x14ac:dyDescent="0.25">
      <c r="C1115" s="45"/>
      <c r="J1115" s="65"/>
      <c r="L1115" s="55"/>
      <c r="M1115" s="46"/>
      <c r="N1115" s="48"/>
      <c r="O1115" s="58"/>
      <c r="P1115" s="61"/>
      <c r="S1115" s="38"/>
    </row>
    <row r="1116" spans="1:19" x14ac:dyDescent="0.25">
      <c r="C1116" s="45"/>
      <c r="J1116" s="65"/>
      <c r="L1116" s="55"/>
      <c r="M1116" s="46"/>
      <c r="N1116" s="48"/>
      <c r="O1116" s="58"/>
      <c r="P1116" s="61"/>
      <c r="S1116" s="38"/>
    </row>
    <row r="1117" spans="1:19" x14ac:dyDescent="0.25">
      <c r="C1117" s="45"/>
      <c r="D1117" s="45"/>
      <c r="J1117" s="65"/>
      <c r="L1117" s="55"/>
      <c r="M1117" s="46"/>
      <c r="N1117" s="48"/>
      <c r="O1117" s="58"/>
      <c r="P1117" s="61"/>
      <c r="S1117" s="38"/>
    </row>
    <row r="1118" spans="1:19" x14ac:dyDescent="0.25">
      <c r="A1118" s="90"/>
      <c r="B1118" s="45"/>
      <c r="C1118" s="45"/>
      <c r="D1118" s="45"/>
      <c r="E1118" s="107"/>
      <c r="F1118" s="107"/>
      <c r="G1118" s="107"/>
      <c r="H1118" s="93"/>
      <c r="I1118" s="64"/>
      <c r="J1118" s="64"/>
      <c r="K1118" s="66"/>
      <c r="L1118" s="55"/>
      <c r="M1118" s="46"/>
      <c r="N1118" s="48"/>
      <c r="O1118" s="58"/>
      <c r="P1118" s="61"/>
      <c r="S1118" s="38"/>
    </row>
    <row r="1119" spans="1:19" x14ac:dyDescent="0.25">
      <c r="A1119" s="90"/>
      <c r="B1119" s="45"/>
      <c r="C1119" s="45"/>
      <c r="D1119" s="45"/>
      <c r="E1119" s="107"/>
      <c r="F1119" s="107"/>
      <c r="G1119" s="107"/>
      <c r="H1119" s="93"/>
      <c r="I1119" s="64"/>
      <c r="J1119" s="64"/>
      <c r="K1119" s="66"/>
      <c r="L1119" s="55"/>
      <c r="M1119" s="46"/>
      <c r="N1119" s="48"/>
      <c r="O1119" s="58"/>
      <c r="P1119" s="61"/>
      <c r="S1119" s="38"/>
    </row>
    <row r="1120" spans="1:19" x14ac:dyDescent="0.25">
      <c r="A1120" s="90"/>
      <c r="B1120" s="45"/>
      <c r="C1120" s="45"/>
      <c r="D1120" s="45"/>
      <c r="E1120" s="107"/>
      <c r="F1120" s="107"/>
      <c r="G1120" s="107"/>
      <c r="H1120" s="93"/>
      <c r="I1120" s="64"/>
      <c r="J1120" s="64"/>
      <c r="K1120" s="66"/>
      <c r="L1120" s="55"/>
      <c r="M1120" s="46"/>
      <c r="N1120" s="48"/>
      <c r="O1120" s="58"/>
      <c r="P1120" s="61"/>
      <c r="S1120" s="38"/>
    </row>
    <row r="1121" spans="1:19" x14ac:dyDescent="0.25">
      <c r="A1121" s="90"/>
      <c r="B1121" s="45"/>
      <c r="C1121" s="45"/>
      <c r="D1121" s="45"/>
      <c r="E1121" s="107"/>
      <c r="F1121" s="107"/>
      <c r="G1121" s="107"/>
      <c r="H1121" s="93"/>
      <c r="I1121" s="64"/>
      <c r="J1121" s="64"/>
      <c r="K1121" s="66"/>
      <c r="L1121" s="55"/>
      <c r="M1121" s="46"/>
      <c r="N1121" s="48"/>
      <c r="O1121" s="58"/>
      <c r="P1121" s="61"/>
      <c r="S1121" s="38"/>
    </row>
    <row r="1122" spans="1:19" x14ac:dyDescent="0.25">
      <c r="A1122" s="90"/>
      <c r="B1122" s="45"/>
      <c r="C1122" s="45"/>
      <c r="D1122" s="45"/>
      <c r="E1122" s="107"/>
      <c r="F1122" s="107"/>
      <c r="G1122" s="107"/>
      <c r="H1122" s="93"/>
      <c r="I1122" s="64"/>
      <c r="J1122" s="64"/>
      <c r="K1122" s="66"/>
      <c r="L1122" s="55"/>
      <c r="M1122" s="46"/>
      <c r="N1122" s="48"/>
      <c r="O1122" s="58"/>
      <c r="P1122" s="61"/>
      <c r="S1122" s="38"/>
    </row>
    <row r="1123" spans="1:19" x14ac:dyDescent="0.25">
      <c r="A1123" s="90"/>
      <c r="B1123" s="45"/>
      <c r="C1123" s="45"/>
      <c r="D1123" s="45"/>
      <c r="E1123" s="107"/>
      <c r="F1123" s="107"/>
      <c r="G1123" s="107"/>
      <c r="H1123" s="93"/>
      <c r="I1123" s="64"/>
      <c r="J1123" s="64"/>
      <c r="K1123" s="66"/>
      <c r="L1123" s="55"/>
      <c r="M1123" s="46"/>
      <c r="N1123" s="48"/>
      <c r="O1123" s="58"/>
      <c r="P1123" s="61"/>
      <c r="S1123" s="38"/>
    </row>
    <row r="1124" spans="1:19" x14ac:dyDescent="0.25">
      <c r="A1124" s="90"/>
      <c r="B1124" s="45"/>
      <c r="C1124" s="45"/>
      <c r="D1124" s="45"/>
      <c r="E1124" s="107"/>
      <c r="F1124" s="107"/>
      <c r="G1124" s="107"/>
      <c r="H1124" s="93"/>
      <c r="I1124" s="64"/>
      <c r="J1124" s="64"/>
      <c r="K1124" s="66"/>
      <c r="L1124" s="55"/>
      <c r="M1124" s="46"/>
      <c r="N1124" s="48"/>
      <c r="O1124" s="58"/>
      <c r="P1124" s="61"/>
      <c r="S1124" s="38"/>
    </row>
    <row r="1125" spans="1:19" x14ac:dyDescent="0.25">
      <c r="A1125" s="90"/>
      <c r="B1125" s="45"/>
      <c r="C1125" s="45"/>
      <c r="D1125" s="45"/>
      <c r="E1125" s="107"/>
      <c r="F1125" s="107"/>
      <c r="G1125" s="107"/>
      <c r="H1125" s="93"/>
      <c r="I1125" s="64"/>
      <c r="J1125" s="64"/>
      <c r="K1125" s="66"/>
      <c r="L1125" s="55"/>
      <c r="M1125" s="46"/>
      <c r="N1125" s="48"/>
      <c r="O1125" s="58"/>
      <c r="P1125" s="61"/>
      <c r="S1125" s="38"/>
    </row>
    <row r="1126" spans="1:19" x14ac:dyDescent="0.25">
      <c r="A1126" s="90"/>
      <c r="B1126" s="45"/>
      <c r="C1126" s="45"/>
      <c r="D1126" s="45"/>
      <c r="E1126" s="107"/>
      <c r="F1126" s="107"/>
      <c r="G1126" s="107"/>
      <c r="H1126" s="93"/>
      <c r="I1126" s="64"/>
      <c r="J1126" s="64"/>
      <c r="K1126" s="66"/>
      <c r="L1126" s="55"/>
      <c r="M1126" s="46"/>
      <c r="N1126" s="48"/>
      <c r="O1126" s="58"/>
      <c r="P1126" s="61"/>
      <c r="S1126" s="38"/>
    </row>
    <row r="1127" spans="1:19" x14ac:dyDescent="0.25">
      <c r="C1127" s="45"/>
      <c r="J1127" s="65"/>
      <c r="L1127" s="55"/>
      <c r="M1127" s="46"/>
      <c r="N1127" s="48"/>
      <c r="O1127" s="58"/>
      <c r="P1127" s="61"/>
      <c r="S1127" s="38"/>
    </row>
    <row r="1128" spans="1:19" x14ac:dyDescent="0.25">
      <c r="C1128" s="45"/>
      <c r="J1128" s="65"/>
      <c r="L1128" s="55"/>
      <c r="M1128" s="46"/>
      <c r="N1128" s="48"/>
      <c r="O1128" s="58"/>
      <c r="P1128" s="61"/>
      <c r="S1128" s="38"/>
    </row>
    <row r="1129" spans="1:19" x14ac:dyDescent="0.25">
      <c r="J1129" s="65"/>
      <c r="L1129" s="55"/>
      <c r="M1129" s="46"/>
      <c r="N1129" s="48"/>
      <c r="O1129" s="58"/>
      <c r="P1129" s="61"/>
      <c r="S1129" s="38"/>
    </row>
    <row r="1130" spans="1:19" x14ac:dyDescent="0.25">
      <c r="D1130" s="45"/>
      <c r="J1130" s="65"/>
      <c r="L1130" s="55"/>
      <c r="M1130" s="46"/>
      <c r="N1130" s="48"/>
      <c r="O1130" s="58"/>
      <c r="P1130" s="61"/>
      <c r="S1130" s="38"/>
    </row>
    <row r="1131" spans="1:19" x14ac:dyDescent="0.25">
      <c r="A1131" s="90"/>
      <c r="B1131" s="45"/>
      <c r="C1131" s="45"/>
      <c r="D1131" s="45"/>
      <c r="E1131" s="107"/>
      <c r="F1131" s="107"/>
      <c r="G1131" s="107"/>
      <c r="H1131" s="93"/>
      <c r="I1131" s="64"/>
      <c r="J1131" s="64"/>
      <c r="K1131" s="66"/>
      <c r="L1131" s="55"/>
      <c r="M1131" s="46"/>
      <c r="N1131" s="48"/>
      <c r="O1131" s="58"/>
      <c r="P1131" s="61"/>
      <c r="S1131" s="38"/>
    </row>
    <row r="1132" spans="1:19" x14ac:dyDescent="0.25">
      <c r="A1132" s="90"/>
      <c r="B1132" s="45"/>
      <c r="C1132" s="45"/>
      <c r="D1132" s="45"/>
      <c r="E1132" s="107"/>
      <c r="F1132" s="107"/>
      <c r="G1132" s="107"/>
      <c r="H1132" s="93"/>
      <c r="I1132" s="64"/>
      <c r="J1132" s="64"/>
      <c r="K1132" s="66"/>
      <c r="L1132" s="55"/>
      <c r="M1132" s="46"/>
      <c r="N1132" s="48"/>
      <c r="O1132" s="58"/>
      <c r="P1132" s="61"/>
      <c r="S1132" s="38"/>
    </row>
    <row r="1133" spans="1:19" x14ac:dyDescent="0.25">
      <c r="A1133" s="90"/>
      <c r="B1133" s="45"/>
      <c r="C1133" s="45"/>
      <c r="D1133" s="45"/>
      <c r="E1133" s="107"/>
      <c r="F1133" s="107"/>
      <c r="G1133" s="107"/>
      <c r="H1133" s="93"/>
      <c r="I1133" s="64"/>
      <c r="J1133" s="64"/>
      <c r="K1133" s="66"/>
      <c r="L1133" s="55"/>
      <c r="M1133" s="46"/>
      <c r="N1133" s="48"/>
      <c r="O1133" s="58"/>
      <c r="P1133" s="61"/>
      <c r="S1133" s="38"/>
    </row>
    <row r="1134" spans="1:19" x14ac:dyDescent="0.25">
      <c r="A1134" s="90"/>
      <c r="B1134" s="45"/>
      <c r="C1134" s="45"/>
      <c r="D1134" s="45"/>
      <c r="E1134" s="107"/>
      <c r="F1134" s="107"/>
      <c r="G1134" s="107"/>
      <c r="H1134" s="93"/>
      <c r="I1134" s="64"/>
      <c r="J1134" s="64"/>
      <c r="K1134" s="66"/>
      <c r="L1134" s="55"/>
      <c r="M1134" s="46"/>
      <c r="N1134" s="48"/>
      <c r="O1134" s="58"/>
      <c r="P1134" s="61"/>
      <c r="S1134" s="38"/>
    </row>
    <row r="1135" spans="1:19" x14ac:dyDescent="0.25">
      <c r="A1135" s="90"/>
      <c r="B1135" s="45"/>
      <c r="C1135" s="45"/>
      <c r="D1135" s="45"/>
      <c r="E1135" s="107"/>
      <c r="F1135" s="107"/>
      <c r="G1135" s="107"/>
      <c r="H1135" s="93"/>
      <c r="I1135" s="64"/>
      <c r="J1135" s="64"/>
      <c r="K1135" s="66"/>
      <c r="L1135" s="55"/>
      <c r="M1135" s="46"/>
      <c r="N1135" s="48"/>
      <c r="O1135" s="58"/>
      <c r="P1135" s="61"/>
      <c r="S1135" s="38"/>
    </row>
    <row r="1136" spans="1:19" x14ac:dyDescent="0.25">
      <c r="A1136" s="90"/>
      <c r="B1136" s="45"/>
      <c r="C1136" s="45"/>
      <c r="D1136" s="45"/>
      <c r="E1136" s="107"/>
      <c r="F1136" s="107"/>
      <c r="G1136" s="107"/>
      <c r="H1136" s="93"/>
      <c r="I1136" s="64"/>
      <c r="J1136" s="64"/>
      <c r="K1136" s="66"/>
      <c r="L1136" s="55"/>
      <c r="M1136" s="46"/>
      <c r="N1136" s="48"/>
      <c r="O1136" s="58"/>
      <c r="P1136" s="61"/>
      <c r="S1136" s="38"/>
    </row>
    <row r="1137" spans="1:19" x14ac:dyDescent="0.25">
      <c r="A1137" s="90"/>
      <c r="B1137" s="45"/>
      <c r="C1137" s="45"/>
      <c r="D1137" s="45"/>
      <c r="E1137" s="107"/>
      <c r="F1137" s="107"/>
      <c r="G1137" s="107"/>
      <c r="H1137" s="93"/>
      <c r="I1137" s="64"/>
      <c r="J1137" s="64"/>
      <c r="K1137" s="66"/>
      <c r="L1137" s="55"/>
      <c r="M1137" s="46"/>
      <c r="N1137" s="48"/>
      <c r="O1137" s="58"/>
      <c r="P1137" s="61"/>
      <c r="S1137" s="38"/>
    </row>
    <row r="1138" spans="1:19" x14ac:dyDescent="0.25">
      <c r="A1138" s="90"/>
      <c r="B1138" s="45"/>
      <c r="C1138" s="45"/>
      <c r="D1138" s="45"/>
      <c r="E1138" s="107"/>
      <c r="F1138" s="107"/>
      <c r="G1138" s="107"/>
      <c r="H1138" s="93"/>
      <c r="I1138" s="64"/>
      <c r="J1138" s="64"/>
      <c r="K1138" s="66"/>
      <c r="L1138" s="55"/>
      <c r="M1138" s="46"/>
      <c r="N1138" s="48"/>
      <c r="O1138" s="58"/>
      <c r="P1138" s="61"/>
      <c r="S1138" s="38"/>
    </row>
    <row r="1139" spans="1:19" x14ac:dyDescent="0.25">
      <c r="A1139" s="90"/>
      <c r="B1139" s="45"/>
      <c r="C1139" s="45"/>
      <c r="D1139" s="45"/>
      <c r="E1139" s="107"/>
      <c r="F1139" s="107"/>
      <c r="G1139" s="107"/>
      <c r="H1139" s="93"/>
      <c r="I1139" s="64"/>
      <c r="J1139" s="64"/>
      <c r="K1139" s="66"/>
      <c r="L1139" s="55"/>
      <c r="M1139" s="46"/>
      <c r="N1139" s="48"/>
      <c r="O1139" s="58"/>
      <c r="P1139" s="61"/>
      <c r="S1139" s="38"/>
    </row>
    <row r="1140" spans="1:19" x14ac:dyDescent="0.25">
      <c r="J1140" s="65"/>
      <c r="L1140" s="55"/>
      <c r="M1140" s="46"/>
      <c r="N1140" s="48"/>
      <c r="O1140" s="58"/>
      <c r="P1140" s="61"/>
      <c r="S1140" s="38"/>
    </row>
    <row r="1141" spans="1:19" x14ac:dyDescent="0.25">
      <c r="J1141" s="65"/>
      <c r="L1141" s="55"/>
      <c r="M1141" s="46"/>
      <c r="N1141" s="48"/>
      <c r="O1141" s="58"/>
      <c r="P1141" s="61"/>
      <c r="S1141" s="38"/>
    </row>
    <row r="1142" spans="1:19" x14ac:dyDescent="0.25">
      <c r="J1142" s="65"/>
      <c r="L1142" s="55"/>
      <c r="M1142" s="46"/>
      <c r="N1142" s="48"/>
      <c r="O1142" s="58"/>
      <c r="P1142" s="61"/>
      <c r="S1142" s="38"/>
    </row>
    <row r="1143" spans="1:19" x14ac:dyDescent="0.25">
      <c r="D1143" s="45"/>
      <c r="J1143" s="65"/>
      <c r="L1143" s="55"/>
      <c r="M1143" s="46"/>
      <c r="N1143" s="48"/>
      <c r="O1143" s="58"/>
      <c r="P1143" s="61"/>
      <c r="S1143" s="38"/>
    </row>
    <row r="1144" spans="1:19" x14ac:dyDescent="0.25">
      <c r="A1144" s="90"/>
      <c r="B1144" s="45"/>
      <c r="C1144" s="45"/>
      <c r="D1144" s="45"/>
      <c r="E1144" s="107"/>
      <c r="F1144" s="107"/>
      <c r="G1144" s="107"/>
      <c r="H1144" s="93"/>
      <c r="I1144" s="64"/>
      <c r="J1144" s="64"/>
      <c r="K1144" s="66"/>
      <c r="L1144" s="55"/>
      <c r="M1144" s="46"/>
      <c r="N1144" s="48"/>
      <c r="O1144" s="58"/>
      <c r="P1144" s="61"/>
      <c r="S1144" s="38"/>
    </row>
    <row r="1145" spans="1:19" x14ac:dyDescent="0.25">
      <c r="A1145" s="90"/>
      <c r="B1145" s="45"/>
      <c r="C1145" s="45"/>
      <c r="D1145" s="45"/>
      <c r="E1145" s="107"/>
      <c r="F1145" s="107"/>
      <c r="G1145" s="107"/>
      <c r="H1145" s="93"/>
      <c r="I1145" s="64"/>
      <c r="J1145" s="64"/>
      <c r="K1145" s="66"/>
      <c r="L1145" s="55"/>
      <c r="M1145" s="46"/>
      <c r="N1145" s="48"/>
      <c r="O1145" s="58"/>
      <c r="P1145" s="61"/>
      <c r="S1145" s="38"/>
    </row>
    <row r="1146" spans="1:19" x14ac:dyDescent="0.25">
      <c r="A1146" s="90"/>
      <c r="B1146" s="45"/>
      <c r="C1146" s="45"/>
      <c r="D1146" s="45"/>
      <c r="E1146" s="107"/>
      <c r="F1146" s="107"/>
      <c r="G1146" s="107"/>
      <c r="H1146" s="93"/>
      <c r="I1146" s="64"/>
      <c r="J1146" s="64"/>
      <c r="K1146" s="66"/>
      <c r="L1146" s="55"/>
      <c r="M1146" s="46"/>
      <c r="N1146" s="48"/>
      <c r="O1146" s="58"/>
      <c r="P1146" s="61"/>
      <c r="S1146" s="38"/>
    </row>
    <row r="1147" spans="1:19" x14ac:dyDescent="0.25">
      <c r="A1147" s="90"/>
      <c r="B1147" s="45"/>
      <c r="C1147" s="45"/>
      <c r="D1147" s="45"/>
      <c r="E1147" s="107"/>
      <c r="F1147" s="107"/>
      <c r="G1147" s="107"/>
      <c r="H1147" s="93"/>
      <c r="I1147" s="64"/>
      <c r="J1147" s="64"/>
      <c r="K1147" s="66"/>
      <c r="L1147" s="55"/>
      <c r="M1147" s="46"/>
      <c r="N1147" s="48"/>
      <c r="O1147" s="58"/>
      <c r="P1147" s="61"/>
      <c r="S1147" s="38"/>
    </row>
    <row r="1148" spans="1:19" x14ac:dyDescent="0.25">
      <c r="A1148" s="90"/>
      <c r="B1148" s="45"/>
      <c r="C1148" s="45"/>
      <c r="D1148" s="45"/>
      <c r="E1148" s="107"/>
      <c r="F1148" s="107"/>
      <c r="G1148" s="107"/>
      <c r="H1148" s="93"/>
      <c r="I1148" s="64"/>
      <c r="J1148" s="64"/>
      <c r="K1148" s="66"/>
      <c r="L1148" s="55"/>
      <c r="M1148" s="46"/>
      <c r="N1148" s="48"/>
      <c r="O1148" s="58"/>
      <c r="P1148" s="61"/>
      <c r="S1148" s="38"/>
    </row>
    <row r="1149" spans="1:19" x14ac:dyDescent="0.25">
      <c r="A1149" s="90"/>
      <c r="B1149" s="45"/>
      <c r="C1149" s="45"/>
      <c r="D1149" s="45"/>
      <c r="E1149" s="107"/>
      <c r="F1149" s="107"/>
      <c r="G1149" s="107"/>
      <c r="H1149" s="93"/>
      <c r="I1149" s="64"/>
      <c r="J1149" s="64"/>
      <c r="K1149" s="66"/>
      <c r="L1149" s="55"/>
      <c r="M1149" s="46"/>
      <c r="N1149" s="48"/>
      <c r="O1149" s="58"/>
      <c r="P1149" s="61"/>
      <c r="S1149" s="38"/>
    </row>
    <row r="1150" spans="1:19" x14ac:dyDescent="0.25">
      <c r="A1150" s="90"/>
      <c r="B1150" s="45"/>
      <c r="C1150" s="45"/>
      <c r="D1150" s="45"/>
      <c r="E1150" s="107"/>
      <c r="F1150" s="107"/>
      <c r="G1150" s="107"/>
      <c r="H1150" s="93"/>
      <c r="I1150" s="64"/>
      <c r="J1150" s="64"/>
      <c r="K1150" s="66"/>
      <c r="L1150" s="55"/>
      <c r="M1150" s="46"/>
      <c r="N1150" s="48"/>
      <c r="O1150" s="58"/>
      <c r="P1150" s="61"/>
      <c r="S1150" s="38"/>
    </row>
    <row r="1151" spans="1:19" x14ac:dyDescent="0.25">
      <c r="A1151" s="90"/>
      <c r="B1151" s="45"/>
      <c r="C1151" s="45"/>
      <c r="D1151" s="45"/>
      <c r="E1151" s="107"/>
      <c r="F1151" s="107"/>
      <c r="G1151" s="107"/>
      <c r="H1151" s="93"/>
      <c r="I1151" s="64"/>
      <c r="J1151" s="64"/>
      <c r="K1151" s="66"/>
      <c r="L1151" s="55"/>
      <c r="M1151" s="46"/>
      <c r="N1151" s="48"/>
      <c r="O1151" s="58"/>
      <c r="P1151" s="61"/>
      <c r="S1151" s="38"/>
    </row>
    <row r="1152" spans="1:19" x14ac:dyDescent="0.25">
      <c r="A1152" s="90"/>
      <c r="B1152" s="45"/>
      <c r="C1152" s="45"/>
      <c r="D1152" s="45"/>
      <c r="E1152" s="107"/>
      <c r="F1152" s="107"/>
      <c r="G1152" s="107"/>
      <c r="H1152" s="93"/>
      <c r="I1152" s="64"/>
      <c r="J1152" s="64"/>
      <c r="K1152" s="66"/>
      <c r="L1152" s="55"/>
      <c r="M1152" s="46"/>
      <c r="N1152" s="48"/>
      <c r="O1152" s="58"/>
      <c r="P1152" s="61"/>
      <c r="S1152" s="38"/>
    </row>
    <row r="1153" spans="1:19" x14ac:dyDescent="0.25">
      <c r="J1153" s="65"/>
      <c r="L1153" s="55"/>
      <c r="M1153" s="46"/>
      <c r="N1153" s="48"/>
      <c r="O1153" s="58"/>
      <c r="P1153" s="61"/>
      <c r="S1153" s="38"/>
    </row>
    <row r="1154" spans="1:19" x14ac:dyDescent="0.25">
      <c r="J1154" s="65"/>
      <c r="L1154" s="55"/>
      <c r="M1154" s="46"/>
      <c r="N1154" s="48"/>
      <c r="O1154" s="58"/>
      <c r="P1154" s="61"/>
      <c r="S1154" s="38"/>
    </row>
    <row r="1155" spans="1:19" x14ac:dyDescent="0.25">
      <c r="J1155" s="65"/>
      <c r="L1155" s="55"/>
      <c r="M1155" s="46"/>
      <c r="N1155" s="48"/>
      <c r="O1155" s="58"/>
      <c r="P1155" s="61"/>
      <c r="S1155" s="38"/>
    </row>
    <row r="1156" spans="1:19" x14ac:dyDescent="0.25">
      <c r="D1156" s="45"/>
      <c r="J1156" s="65"/>
      <c r="L1156" s="55"/>
      <c r="M1156" s="46"/>
      <c r="N1156" s="48"/>
      <c r="O1156" s="58"/>
      <c r="P1156" s="61"/>
      <c r="S1156" s="38"/>
    </row>
    <row r="1157" spans="1:19" x14ac:dyDescent="0.25">
      <c r="A1157" s="90"/>
      <c r="B1157" s="45"/>
      <c r="C1157" s="45"/>
      <c r="D1157" s="45"/>
      <c r="E1157" s="107"/>
      <c r="F1157" s="107"/>
      <c r="G1157" s="107"/>
      <c r="H1157" s="93"/>
      <c r="I1157" s="64"/>
      <c r="J1157" s="64"/>
      <c r="K1157" s="66"/>
      <c r="L1157" s="55"/>
      <c r="M1157" s="46"/>
      <c r="N1157" s="48"/>
      <c r="O1157" s="58"/>
      <c r="P1157" s="61"/>
      <c r="S1157" s="38"/>
    </row>
    <row r="1158" spans="1:19" x14ac:dyDescent="0.25">
      <c r="A1158" s="90"/>
      <c r="B1158" s="45"/>
      <c r="C1158" s="45"/>
      <c r="D1158" s="45"/>
      <c r="E1158" s="107"/>
      <c r="F1158" s="107"/>
      <c r="G1158" s="107"/>
      <c r="H1158" s="93"/>
      <c r="I1158" s="64"/>
      <c r="J1158" s="64"/>
      <c r="K1158" s="66"/>
      <c r="L1158" s="55"/>
      <c r="M1158" s="46"/>
      <c r="N1158" s="48"/>
      <c r="O1158" s="58"/>
      <c r="P1158" s="61"/>
      <c r="S1158" s="38"/>
    </row>
    <row r="1159" spans="1:19" x14ac:dyDescent="0.25">
      <c r="A1159" s="90"/>
      <c r="B1159" s="45"/>
      <c r="C1159" s="45"/>
      <c r="D1159" s="45"/>
      <c r="E1159" s="107"/>
      <c r="F1159" s="107"/>
      <c r="G1159" s="107"/>
      <c r="H1159" s="93"/>
      <c r="I1159" s="64"/>
      <c r="J1159" s="64"/>
      <c r="K1159" s="66"/>
      <c r="L1159" s="55"/>
      <c r="M1159" s="46"/>
      <c r="N1159" s="48"/>
      <c r="O1159" s="58"/>
      <c r="P1159" s="61"/>
      <c r="S1159" s="38"/>
    </row>
    <row r="1160" spans="1:19" x14ac:dyDescent="0.25">
      <c r="A1160" s="90"/>
      <c r="B1160" s="45"/>
      <c r="C1160" s="45"/>
      <c r="D1160" s="45"/>
      <c r="E1160" s="107"/>
      <c r="F1160" s="107"/>
      <c r="G1160" s="107"/>
      <c r="H1160" s="93"/>
      <c r="I1160" s="64"/>
      <c r="J1160" s="64"/>
      <c r="K1160" s="66"/>
      <c r="L1160" s="55"/>
      <c r="M1160" s="46"/>
      <c r="N1160" s="48"/>
      <c r="O1160" s="58"/>
      <c r="P1160" s="61"/>
      <c r="S1160" s="38"/>
    </row>
    <row r="1161" spans="1:19" x14ac:dyDescent="0.25">
      <c r="A1161" s="90"/>
      <c r="B1161" s="45"/>
      <c r="C1161" s="45"/>
      <c r="D1161" s="45"/>
      <c r="E1161" s="107"/>
      <c r="F1161" s="107"/>
      <c r="G1161" s="107"/>
      <c r="H1161" s="93"/>
      <c r="I1161" s="64"/>
      <c r="J1161" s="64"/>
      <c r="K1161" s="66"/>
      <c r="L1161" s="55"/>
      <c r="M1161" s="46"/>
      <c r="N1161" s="48"/>
      <c r="O1161" s="58"/>
      <c r="P1161" s="61"/>
      <c r="S1161" s="38"/>
    </row>
    <row r="1162" spans="1:19" x14ac:dyDescent="0.25">
      <c r="A1162" s="90"/>
      <c r="B1162" s="45"/>
      <c r="C1162" s="45"/>
      <c r="D1162" s="45"/>
      <c r="E1162" s="107"/>
      <c r="F1162" s="107"/>
      <c r="G1162" s="107"/>
      <c r="H1162" s="93"/>
      <c r="I1162" s="64"/>
      <c r="J1162" s="64"/>
      <c r="K1162" s="66"/>
      <c r="L1162" s="55"/>
      <c r="M1162" s="46"/>
      <c r="N1162" s="48"/>
      <c r="O1162" s="58"/>
      <c r="P1162" s="61"/>
      <c r="S1162" s="38"/>
    </row>
    <row r="1163" spans="1:19" x14ac:dyDescent="0.25">
      <c r="A1163" s="90"/>
      <c r="B1163" s="45"/>
      <c r="C1163" s="45"/>
      <c r="D1163" s="45"/>
      <c r="E1163" s="107"/>
      <c r="F1163" s="107"/>
      <c r="G1163" s="107"/>
      <c r="H1163" s="93"/>
      <c r="I1163" s="64"/>
      <c r="J1163" s="64"/>
      <c r="K1163" s="66"/>
      <c r="L1163" s="55"/>
      <c r="M1163" s="46"/>
      <c r="N1163" s="48"/>
      <c r="O1163" s="58"/>
      <c r="P1163" s="61"/>
      <c r="S1163" s="38"/>
    </row>
    <row r="1164" spans="1:19" x14ac:dyDescent="0.25">
      <c r="A1164" s="90"/>
      <c r="B1164" s="45"/>
      <c r="C1164" s="45"/>
      <c r="D1164" s="45"/>
      <c r="E1164" s="107"/>
      <c r="F1164" s="107"/>
      <c r="G1164" s="107"/>
      <c r="H1164" s="93"/>
      <c r="I1164" s="64"/>
      <c r="J1164" s="64"/>
      <c r="K1164" s="66"/>
      <c r="L1164" s="55"/>
      <c r="M1164" s="46"/>
      <c r="N1164" s="48"/>
      <c r="O1164" s="58"/>
      <c r="P1164" s="61"/>
      <c r="S1164" s="38"/>
    </row>
    <row r="1165" spans="1:19" x14ac:dyDescent="0.25">
      <c r="A1165" s="90"/>
      <c r="B1165" s="45"/>
      <c r="C1165" s="45"/>
      <c r="D1165" s="45"/>
      <c r="E1165" s="107"/>
      <c r="F1165" s="107"/>
      <c r="G1165" s="107"/>
      <c r="H1165" s="93"/>
      <c r="I1165" s="64"/>
      <c r="J1165" s="64"/>
      <c r="K1165" s="66"/>
      <c r="L1165" s="55"/>
      <c r="M1165" s="46"/>
      <c r="N1165" s="48"/>
      <c r="O1165" s="58"/>
      <c r="P1165" s="61"/>
      <c r="S1165" s="38"/>
    </row>
    <row r="1166" spans="1:19" x14ac:dyDescent="0.25">
      <c r="J1166" s="65"/>
      <c r="L1166" s="55"/>
      <c r="M1166" s="46"/>
      <c r="N1166" s="48"/>
      <c r="O1166" s="58"/>
      <c r="P1166" s="61"/>
      <c r="S1166" s="38"/>
    </row>
    <row r="1167" spans="1:19" x14ac:dyDescent="0.25">
      <c r="J1167" s="65"/>
      <c r="L1167" s="55"/>
      <c r="M1167" s="46"/>
      <c r="N1167" s="48"/>
      <c r="O1167" s="58"/>
      <c r="P1167" s="61"/>
      <c r="S1167" s="38"/>
    </row>
    <row r="1168" spans="1:19" x14ac:dyDescent="0.25">
      <c r="J1168" s="65"/>
      <c r="L1168" s="55"/>
      <c r="M1168" s="46"/>
      <c r="N1168" s="48"/>
      <c r="O1168" s="58"/>
      <c r="P1168" s="61"/>
      <c r="S1168" s="38"/>
    </row>
    <row r="1169" spans="1:19" x14ac:dyDescent="0.25">
      <c r="D1169" s="45"/>
      <c r="J1169" s="65"/>
      <c r="L1169" s="55"/>
      <c r="M1169" s="46"/>
      <c r="N1169" s="48"/>
      <c r="O1169" s="58"/>
      <c r="P1169" s="61"/>
      <c r="S1169" s="38"/>
    </row>
    <row r="1170" spans="1:19" x14ac:dyDescent="0.25">
      <c r="A1170" s="90"/>
      <c r="B1170" s="45"/>
      <c r="C1170" s="45"/>
      <c r="D1170" s="45"/>
      <c r="E1170" s="107"/>
      <c r="F1170" s="107"/>
      <c r="G1170" s="107"/>
      <c r="H1170" s="93"/>
      <c r="I1170" s="64"/>
      <c r="J1170" s="64"/>
      <c r="K1170" s="66"/>
      <c r="L1170" s="55"/>
      <c r="M1170" s="46"/>
      <c r="N1170" s="48"/>
      <c r="O1170" s="58"/>
      <c r="P1170" s="61"/>
      <c r="S1170" s="38"/>
    </row>
    <row r="1171" spans="1:19" x14ac:dyDescent="0.25">
      <c r="A1171" s="90"/>
      <c r="B1171" s="45"/>
      <c r="C1171" s="45"/>
      <c r="D1171" s="45"/>
      <c r="E1171" s="107"/>
      <c r="F1171" s="107"/>
      <c r="G1171" s="107"/>
      <c r="H1171" s="93"/>
      <c r="I1171" s="64"/>
      <c r="J1171" s="64"/>
      <c r="K1171" s="66"/>
      <c r="L1171" s="55"/>
      <c r="M1171" s="46"/>
      <c r="N1171" s="48"/>
      <c r="O1171" s="58"/>
      <c r="P1171" s="61"/>
      <c r="S1171" s="38"/>
    </row>
    <row r="1172" spans="1:19" x14ac:dyDescent="0.25">
      <c r="A1172" s="90"/>
      <c r="B1172" s="45"/>
      <c r="C1172" s="45"/>
      <c r="D1172" s="45"/>
      <c r="E1172" s="107"/>
      <c r="F1172" s="107"/>
      <c r="G1172" s="107"/>
      <c r="H1172" s="93"/>
      <c r="I1172" s="64"/>
      <c r="J1172" s="64"/>
      <c r="K1172" s="66"/>
      <c r="L1172" s="55"/>
      <c r="M1172" s="46"/>
      <c r="N1172" s="48"/>
      <c r="O1172" s="58"/>
      <c r="P1172" s="61"/>
      <c r="S1172" s="38"/>
    </row>
    <row r="1173" spans="1:19" x14ac:dyDescent="0.25">
      <c r="A1173" s="90"/>
      <c r="B1173" s="45"/>
      <c r="C1173" s="45"/>
      <c r="D1173" s="45"/>
      <c r="E1173" s="107"/>
      <c r="F1173" s="107"/>
      <c r="G1173" s="107"/>
      <c r="H1173" s="93"/>
      <c r="I1173" s="64"/>
      <c r="J1173" s="64"/>
      <c r="K1173" s="66"/>
      <c r="L1173" s="55"/>
      <c r="M1173" s="46"/>
      <c r="N1173" s="48"/>
      <c r="O1173" s="58"/>
      <c r="P1173" s="61"/>
      <c r="S1173" s="38"/>
    </row>
    <row r="1174" spans="1:19" x14ac:dyDescent="0.25">
      <c r="A1174" s="90"/>
      <c r="B1174" s="45"/>
      <c r="C1174" s="45"/>
      <c r="D1174" s="45"/>
      <c r="E1174" s="107"/>
      <c r="F1174" s="107"/>
      <c r="G1174" s="107"/>
      <c r="H1174" s="93"/>
      <c r="I1174" s="64"/>
      <c r="J1174" s="64"/>
      <c r="K1174" s="66"/>
      <c r="L1174" s="55"/>
      <c r="M1174" s="46"/>
      <c r="N1174" s="48"/>
      <c r="O1174" s="58"/>
      <c r="P1174" s="61"/>
      <c r="S1174" s="38"/>
    </row>
    <row r="1175" spans="1:19" x14ac:dyDescent="0.25">
      <c r="A1175" s="90"/>
      <c r="B1175" s="45"/>
      <c r="C1175" s="45"/>
      <c r="D1175" s="45"/>
      <c r="E1175" s="107"/>
      <c r="F1175" s="107"/>
      <c r="G1175" s="107"/>
      <c r="H1175" s="93"/>
      <c r="I1175" s="64"/>
      <c r="J1175" s="64"/>
      <c r="K1175" s="66"/>
      <c r="L1175" s="55"/>
      <c r="M1175" s="46"/>
      <c r="N1175" s="48"/>
      <c r="O1175" s="58"/>
      <c r="P1175" s="61"/>
      <c r="S1175" s="38"/>
    </row>
    <row r="1176" spans="1:19" x14ac:dyDescent="0.25">
      <c r="A1176" s="90"/>
      <c r="B1176" s="45"/>
      <c r="C1176" s="45"/>
      <c r="D1176" s="45"/>
      <c r="E1176" s="107"/>
      <c r="F1176" s="107"/>
      <c r="G1176" s="107"/>
      <c r="H1176" s="93"/>
      <c r="I1176" s="64"/>
      <c r="J1176" s="64"/>
      <c r="K1176" s="66"/>
      <c r="L1176" s="55"/>
      <c r="M1176" s="46"/>
      <c r="N1176" s="48"/>
      <c r="O1176" s="58"/>
      <c r="P1176" s="61"/>
      <c r="S1176" s="38"/>
    </row>
    <row r="1177" spans="1:19" x14ac:dyDescent="0.25">
      <c r="A1177" s="90"/>
      <c r="B1177" s="45"/>
      <c r="C1177" s="45"/>
      <c r="D1177" s="45"/>
      <c r="E1177" s="107"/>
      <c r="F1177" s="107"/>
      <c r="G1177" s="107"/>
      <c r="H1177" s="93"/>
      <c r="I1177" s="64"/>
      <c r="J1177" s="64"/>
      <c r="K1177" s="66"/>
      <c r="L1177" s="55"/>
      <c r="M1177" s="46"/>
      <c r="N1177" s="48"/>
      <c r="O1177" s="58"/>
      <c r="P1177" s="61"/>
      <c r="S1177" s="38"/>
    </row>
    <row r="1178" spans="1:19" x14ac:dyDescent="0.25">
      <c r="A1178" s="90"/>
      <c r="B1178" s="45"/>
      <c r="C1178" s="45"/>
      <c r="D1178" s="45"/>
      <c r="E1178" s="107"/>
      <c r="F1178" s="107"/>
      <c r="G1178" s="107"/>
      <c r="H1178" s="93"/>
      <c r="I1178" s="64"/>
      <c r="J1178" s="64"/>
      <c r="K1178" s="66"/>
      <c r="L1178" s="55"/>
      <c r="M1178" s="46"/>
      <c r="N1178" s="48"/>
      <c r="O1178" s="58"/>
      <c r="P1178" s="61"/>
      <c r="S1178" s="38"/>
    </row>
    <row r="1179" spans="1:19" x14ac:dyDescent="0.25">
      <c r="J1179" s="65"/>
      <c r="L1179" s="55"/>
      <c r="M1179" s="46"/>
      <c r="N1179" s="48"/>
      <c r="O1179" s="58"/>
      <c r="P1179" s="61"/>
      <c r="S1179" s="38"/>
    </row>
    <row r="1180" spans="1:19" x14ac:dyDescent="0.25">
      <c r="J1180" s="65"/>
      <c r="L1180" s="55"/>
      <c r="M1180" s="46"/>
      <c r="N1180" s="48"/>
      <c r="O1180" s="58"/>
      <c r="P1180" s="61"/>
      <c r="S1180" s="38"/>
    </row>
    <row r="1181" spans="1:19" x14ac:dyDescent="0.25">
      <c r="J1181" s="65"/>
      <c r="L1181" s="55"/>
      <c r="M1181" s="46"/>
      <c r="N1181" s="48"/>
      <c r="O1181" s="58"/>
      <c r="P1181" s="61"/>
      <c r="S1181" s="38"/>
    </row>
    <row r="1182" spans="1:19" x14ac:dyDescent="0.25">
      <c r="D1182" s="45"/>
      <c r="J1182" s="65"/>
      <c r="L1182" s="55"/>
      <c r="M1182" s="46"/>
      <c r="N1182" s="48"/>
      <c r="O1182" s="58"/>
      <c r="P1182" s="61"/>
      <c r="S1182" s="38"/>
    </row>
    <row r="1183" spans="1:19" x14ac:dyDescent="0.25">
      <c r="A1183" s="90"/>
      <c r="B1183" s="45"/>
      <c r="C1183" s="45"/>
      <c r="D1183" s="45"/>
      <c r="E1183" s="107"/>
      <c r="F1183" s="107"/>
      <c r="G1183" s="107"/>
      <c r="H1183" s="93"/>
      <c r="I1183" s="64"/>
      <c r="J1183" s="64"/>
      <c r="K1183" s="66"/>
      <c r="L1183" s="55"/>
      <c r="M1183" s="46"/>
      <c r="N1183" s="48"/>
      <c r="O1183" s="58"/>
      <c r="P1183" s="61"/>
      <c r="S1183" s="38"/>
    </row>
    <row r="1184" spans="1:19" x14ac:dyDescent="0.25">
      <c r="A1184" s="90"/>
      <c r="B1184" s="45"/>
      <c r="C1184" s="45"/>
      <c r="D1184" s="45"/>
      <c r="E1184" s="107"/>
      <c r="F1184" s="107"/>
      <c r="G1184" s="107"/>
      <c r="H1184" s="93"/>
      <c r="I1184" s="64"/>
      <c r="J1184" s="64"/>
      <c r="K1184" s="66"/>
      <c r="L1184" s="55"/>
      <c r="M1184" s="46"/>
      <c r="N1184" s="48"/>
      <c r="O1184" s="58"/>
      <c r="P1184" s="61"/>
      <c r="S1184" s="38"/>
    </row>
    <row r="1185" spans="1:19" x14ac:dyDescent="0.25">
      <c r="A1185" s="90"/>
      <c r="B1185" s="45"/>
      <c r="C1185" s="45"/>
      <c r="D1185" s="45"/>
      <c r="E1185" s="107"/>
      <c r="F1185" s="107"/>
      <c r="G1185" s="107"/>
      <c r="H1185" s="93"/>
      <c r="I1185" s="64"/>
      <c r="J1185" s="64"/>
      <c r="K1185" s="66"/>
      <c r="L1185" s="55"/>
      <c r="M1185" s="46"/>
      <c r="N1185" s="48"/>
      <c r="O1185" s="58"/>
      <c r="P1185" s="61"/>
      <c r="S1185" s="38"/>
    </row>
    <row r="1186" spans="1:19" x14ac:dyDescent="0.25">
      <c r="A1186" s="90"/>
      <c r="B1186" s="45"/>
      <c r="C1186" s="45"/>
      <c r="D1186" s="45"/>
      <c r="E1186" s="107"/>
      <c r="F1186" s="107"/>
      <c r="G1186" s="107"/>
      <c r="H1186" s="93"/>
      <c r="I1186" s="64"/>
      <c r="J1186" s="64"/>
      <c r="K1186" s="66"/>
      <c r="L1186" s="55"/>
      <c r="M1186" s="46"/>
      <c r="N1186" s="48"/>
      <c r="O1186" s="58"/>
      <c r="P1186" s="61"/>
      <c r="S1186" s="38"/>
    </row>
    <row r="1187" spans="1:19" x14ac:dyDescent="0.25">
      <c r="A1187" s="90"/>
      <c r="B1187" s="45"/>
      <c r="C1187" s="45"/>
      <c r="D1187" s="45"/>
      <c r="E1187" s="107"/>
      <c r="F1187" s="107"/>
      <c r="G1187" s="107"/>
      <c r="H1187" s="93"/>
      <c r="I1187" s="64"/>
      <c r="J1187" s="64"/>
      <c r="K1187" s="66"/>
      <c r="L1187" s="55"/>
      <c r="M1187" s="46"/>
      <c r="N1187" s="48"/>
      <c r="O1187" s="58"/>
      <c r="P1187" s="61"/>
      <c r="S1187" s="38"/>
    </row>
    <row r="1188" spans="1:19" x14ac:dyDescent="0.25">
      <c r="A1188" s="90"/>
      <c r="B1188" s="45"/>
      <c r="C1188" s="45"/>
      <c r="D1188" s="45"/>
      <c r="E1188" s="107"/>
      <c r="F1188" s="107"/>
      <c r="G1188" s="107"/>
      <c r="H1188" s="93"/>
      <c r="I1188" s="64"/>
      <c r="J1188" s="64"/>
      <c r="K1188" s="66"/>
      <c r="L1188" s="55"/>
      <c r="M1188" s="46"/>
      <c r="N1188" s="48"/>
      <c r="O1188" s="58"/>
      <c r="P1188" s="61"/>
      <c r="S1188" s="38"/>
    </row>
    <row r="1189" spans="1:19" x14ac:dyDescent="0.25">
      <c r="A1189" s="90"/>
      <c r="B1189" s="45"/>
      <c r="C1189" s="45"/>
      <c r="D1189" s="45"/>
      <c r="E1189" s="107"/>
      <c r="F1189" s="107"/>
      <c r="G1189" s="107"/>
      <c r="H1189" s="93"/>
      <c r="I1189" s="64"/>
      <c r="J1189" s="64"/>
      <c r="K1189" s="66"/>
      <c r="L1189" s="55"/>
      <c r="M1189" s="46"/>
      <c r="N1189" s="48"/>
      <c r="O1189" s="58"/>
      <c r="P1189" s="61"/>
      <c r="S1189" s="38"/>
    </row>
    <row r="1190" spans="1:19" x14ac:dyDescent="0.25">
      <c r="A1190" s="90"/>
      <c r="B1190" s="45"/>
      <c r="C1190" s="45"/>
      <c r="D1190" s="45"/>
      <c r="E1190" s="107"/>
      <c r="F1190" s="107"/>
      <c r="G1190" s="107"/>
      <c r="H1190" s="93"/>
      <c r="I1190" s="64"/>
      <c r="J1190" s="64"/>
      <c r="K1190" s="66"/>
      <c r="L1190" s="55"/>
      <c r="M1190" s="46"/>
      <c r="N1190" s="48"/>
      <c r="O1190" s="58"/>
      <c r="P1190" s="61"/>
      <c r="S1190" s="38"/>
    </row>
    <row r="1191" spans="1:19" x14ac:dyDescent="0.25">
      <c r="A1191" s="90"/>
      <c r="B1191" s="45"/>
      <c r="C1191" s="45"/>
      <c r="D1191" s="45"/>
      <c r="E1191" s="107"/>
      <c r="F1191" s="107"/>
      <c r="G1191" s="107"/>
      <c r="H1191" s="93"/>
      <c r="I1191" s="64"/>
      <c r="J1191" s="64"/>
      <c r="K1191" s="66"/>
      <c r="L1191" s="55"/>
      <c r="M1191" s="46"/>
      <c r="N1191" s="48"/>
      <c r="O1191" s="58"/>
      <c r="P1191" s="61"/>
      <c r="S1191" s="38"/>
    </row>
    <row r="1192" spans="1:19" x14ac:dyDescent="0.25">
      <c r="J1192" s="65"/>
      <c r="L1192" s="55"/>
      <c r="M1192" s="46"/>
      <c r="N1192" s="48"/>
      <c r="O1192" s="58"/>
      <c r="P1192" s="61"/>
      <c r="S1192" s="38"/>
    </row>
    <row r="1193" spans="1:19" x14ac:dyDescent="0.25">
      <c r="J1193" s="65"/>
      <c r="L1193" s="55"/>
      <c r="M1193" s="46"/>
      <c r="N1193" s="48"/>
      <c r="O1193" s="58"/>
      <c r="P1193" s="61"/>
      <c r="S1193" s="38"/>
    </row>
    <row r="1194" spans="1:19" x14ac:dyDescent="0.25">
      <c r="J1194" s="65"/>
      <c r="L1194" s="55"/>
      <c r="M1194" s="46"/>
      <c r="N1194" s="48"/>
      <c r="O1194" s="58"/>
      <c r="P1194" s="61"/>
      <c r="S1194" s="38"/>
    </row>
    <row r="1195" spans="1:19" x14ac:dyDescent="0.25">
      <c r="D1195" s="45"/>
      <c r="J1195" s="65"/>
      <c r="L1195" s="55"/>
      <c r="M1195" s="46"/>
      <c r="N1195" s="48"/>
      <c r="O1195" s="58"/>
      <c r="P1195" s="61"/>
      <c r="S1195" s="38"/>
    </row>
    <row r="1196" spans="1:19" x14ac:dyDescent="0.25">
      <c r="A1196" s="90"/>
      <c r="B1196" s="45"/>
      <c r="C1196" s="45"/>
      <c r="D1196" s="45"/>
      <c r="E1196" s="107"/>
      <c r="F1196" s="107"/>
      <c r="G1196" s="107"/>
      <c r="H1196" s="93"/>
      <c r="I1196" s="64"/>
      <c r="J1196" s="64"/>
      <c r="K1196" s="66"/>
      <c r="L1196" s="55"/>
      <c r="M1196" s="46"/>
      <c r="N1196" s="48"/>
      <c r="O1196" s="58"/>
      <c r="P1196" s="61"/>
      <c r="S1196" s="38"/>
    </row>
    <row r="1197" spans="1:19" x14ac:dyDescent="0.25">
      <c r="A1197" s="90"/>
      <c r="B1197" s="45"/>
      <c r="C1197" s="45"/>
      <c r="D1197" s="45"/>
      <c r="E1197" s="107"/>
      <c r="F1197" s="107"/>
      <c r="G1197" s="107"/>
      <c r="H1197" s="93"/>
      <c r="I1197" s="64"/>
      <c r="J1197" s="64"/>
      <c r="K1197" s="66"/>
      <c r="L1197" s="55"/>
      <c r="M1197" s="46"/>
      <c r="N1197" s="48"/>
      <c r="O1197" s="58"/>
      <c r="P1197" s="61"/>
      <c r="S1197" s="38"/>
    </row>
    <row r="1198" spans="1:19" x14ac:dyDescent="0.25">
      <c r="A1198" s="90"/>
      <c r="B1198" s="45"/>
      <c r="C1198" s="45"/>
      <c r="D1198" s="45"/>
      <c r="E1198" s="107"/>
      <c r="F1198" s="107"/>
      <c r="G1198" s="107"/>
      <c r="H1198" s="93"/>
      <c r="I1198" s="64"/>
      <c r="J1198" s="64"/>
      <c r="K1198" s="66"/>
      <c r="L1198" s="55"/>
      <c r="M1198" s="46"/>
      <c r="N1198" s="48"/>
      <c r="O1198" s="58"/>
      <c r="P1198" s="61"/>
      <c r="S1198" s="38"/>
    </row>
    <row r="1199" spans="1:19" x14ac:dyDescent="0.25">
      <c r="A1199" s="90"/>
      <c r="B1199" s="45"/>
      <c r="C1199" s="45"/>
      <c r="D1199" s="45"/>
      <c r="E1199" s="107"/>
      <c r="F1199" s="107"/>
      <c r="G1199" s="107"/>
      <c r="H1199" s="93"/>
      <c r="I1199" s="64"/>
      <c r="J1199" s="64"/>
      <c r="K1199" s="66"/>
      <c r="L1199" s="55"/>
      <c r="M1199" s="46"/>
      <c r="N1199" s="48"/>
      <c r="O1199" s="58"/>
      <c r="P1199" s="61"/>
      <c r="S1199" s="38"/>
    </row>
    <row r="1200" spans="1:19" x14ac:dyDescent="0.25">
      <c r="A1200" s="90"/>
      <c r="B1200" s="45"/>
      <c r="C1200" s="45"/>
      <c r="D1200" s="45"/>
      <c r="E1200" s="107"/>
      <c r="F1200" s="107"/>
      <c r="G1200" s="107"/>
      <c r="H1200" s="93"/>
      <c r="I1200" s="64"/>
      <c r="J1200" s="64"/>
      <c r="K1200" s="66"/>
      <c r="L1200" s="55"/>
      <c r="M1200" s="46"/>
      <c r="N1200" s="48"/>
      <c r="O1200" s="58"/>
      <c r="P1200" s="61"/>
      <c r="S1200" s="38"/>
    </row>
    <row r="1201" spans="1:19" x14ac:dyDescent="0.25">
      <c r="A1201" s="90"/>
      <c r="B1201" s="45"/>
      <c r="C1201" s="45"/>
      <c r="D1201" s="45"/>
      <c r="E1201" s="107"/>
      <c r="F1201" s="107"/>
      <c r="G1201" s="107"/>
      <c r="H1201" s="93"/>
      <c r="I1201" s="64"/>
      <c r="J1201" s="64"/>
      <c r="K1201" s="66"/>
      <c r="L1201" s="55"/>
      <c r="M1201" s="46"/>
      <c r="N1201" s="48"/>
      <c r="O1201" s="58"/>
      <c r="P1201" s="61"/>
      <c r="S1201" s="38"/>
    </row>
    <row r="1202" spans="1:19" x14ac:dyDescent="0.25">
      <c r="A1202" s="90"/>
      <c r="B1202" s="45"/>
      <c r="C1202" s="45"/>
      <c r="D1202" s="45"/>
      <c r="E1202" s="107"/>
      <c r="F1202" s="107"/>
      <c r="G1202" s="107"/>
      <c r="H1202" s="93"/>
      <c r="I1202" s="64"/>
      <c r="J1202" s="64"/>
      <c r="K1202" s="66"/>
      <c r="L1202" s="55"/>
      <c r="M1202" s="46"/>
      <c r="N1202" s="48"/>
      <c r="O1202" s="58"/>
      <c r="P1202" s="61"/>
      <c r="S1202" s="38"/>
    </row>
    <row r="1203" spans="1:19" x14ac:dyDescent="0.25">
      <c r="A1203" s="90"/>
      <c r="B1203" s="45"/>
      <c r="C1203" s="45"/>
      <c r="D1203" s="45"/>
      <c r="E1203" s="107"/>
      <c r="F1203" s="107"/>
      <c r="G1203" s="107"/>
      <c r="H1203" s="93"/>
      <c r="I1203" s="64"/>
      <c r="J1203" s="64"/>
      <c r="K1203" s="66"/>
      <c r="L1203" s="55"/>
      <c r="M1203" s="46"/>
      <c r="N1203" s="48"/>
      <c r="O1203" s="58"/>
      <c r="P1203" s="61"/>
      <c r="S1203" s="38"/>
    </row>
    <row r="1204" spans="1:19" x14ac:dyDescent="0.25">
      <c r="A1204" s="90"/>
      <c r="B1204" s="45"/>
      <c r="C1204" s="45"/>
      <c r="D1204" s="45"/>
      <c r="E1204" s="107"/>
      <c r="F1204" s="107"/>
      <c r="G1204" s="107"/>
      <c r="H1204" s="93"/>
      <c r="I1204" s="64"/>
      <c r="J1204" s="64"/>
      <c r="K1204" s="66"/>
      <c r="L1204" s="55"/>
      <c r="M1204" s="46"/>
      <c r="N1204" s="48"/>
      <c r="O1204" s="58"/>
      <c r="P1204" s="61"/>
      <c r="S1204" s="38"/>
    </row>
    <row r="1205" spans="1:19" x14ac:dyDescent="0.25">
      <c r="J1205" s="65"/>
      <c r="L1205" s="55"/>
      <c r="M1205" s="46"/>
      <c r="N1205" s="48"/>
      <c r="O1205" s="58"/>
      <c r="P1205" s="61"/>
      <c r="S1205" s="38"/>
    </row>
    <row r="1206" spans="1:19" x14ac:dyDescent="0.25">
      <c r="J1206" s="65"/>
      <c r="L1206" s="55"/>
      <c r="M1206" s="46"/>
      <c r="N1206" s="48"/>
      <c r="O1206" s="58"/>
      <c r="P1206" s="61"/>
      <c r="S1206" s="38"/>
    </row>
    <row r="1207" spans="1:19" x14ac:dyDescent="0.25">
      <c r="J1207" s="65"/>
      <c r="L1207" s="55"/>
      <c r="M1207" s="46"/>
      <c r="N1207" s="48"/>
      <c r="O1207" s="58"/>
      <c r="P1207" s="61"/>
      <c r="S1207" s="38"/>
    </row>
    <row r="1208" spans="1:19" x14ac:dyDescent="0.25">
      <c r="D1208" s="45"/>
      <c r="J1208" s="65"/>
      <c r="L1208" s="55"/>
      <c r="M1208" s="46"/>
      <c r="N1208" s="48"/>
      <c r="O1208" s="58"/>
      <c r="P1208" s="61"/>
      <c r="S1208" s="38"/>
    </row>
    <row r="1209" spans="1:19" x14ac:dyDescent="0.25">
      <c r="A1209" s="90"/>
      <c r="B1209" s="45"/>
      <c r="C1209" s="45"/>
      <c r="D1209" s="45"/>
      <c r="E1209" s="107"/>
      <c r="F1209" s="107"/>
      <c r="G1209" s="107"/>
      <c r="H1209" s="93"/>
      <c r="I1209" s="64"/>
      <c r="J1209" s="64"/>
      <c r="K1209" s="66"/>
      <c r="L1209" s="55"/>
      <c r="M1209" s="46"/>
      <c r="N1209" s="48"/>
      <c r="O1209" s="58"/>
      <c r="P1209" s="61"/>
      <c r="S1209" s="38"/>
    </row>
    <row r="1210" spans="1:19" x14ac:dyDescent="0.25">
      <c r="A1210" s="90"/>
      <c r="B1210" s="45"/>
      <c r="C1210" s="45"/>
      <c r="D1210" s="45"/>
      <c r="E1210" s="107"/>
      <c r="F1210" s="107"/>
      <c r="G1210" s="107"/>
      <c r="H1210" s="93"/>
      <c r="I1210" s="64"/>
      <c r="J1210" s="64"/>
      <c r="K1210" s="66"/>
      <c r="L1210" s="55"/>
      <c r="M1210" s="46"/>
      <c r="N1210" s="48"/>
      <c r="O1210" s="58"/>
      <c r="P1210" s="61"/>
      <c r="S1210" s="38"/>
    </row>
    <row r="1211" spans="1:19" x14ac:dyDescent="0.25">
      <c r="A1211" s="90"/>
      <c r="B1211" s="45"/>
      <c r="C1211" s="45"/>
      <c r="D1211" s="45"/>
      <c r="E1211" s="107"/>
      <c r="F1211" s="107"/>
      <c r="G1211" s="107"/>
      <c r="H1211" s="93"/>
      <c r="I1211" s="64"/>
      <c r="J1211" s="64"/>
      <c r="K1211" s="66"/>
      <c r="L1211" s="55"/>
      <c r="M1211" s="46"/>
      <c r="N1211" s="48"/>
      <c r="O1211" s="58"/>
      <c r="P1211" s="61"/>
      <c r="S1211" s="38"/>
    </row>
    <row r="1212" spans="1:19" x14ac:dyDescent="0.25">
      <c r="A1212" s="90"/>
      <c r="B1212" s="45"/>
      <c r="C1212" s="45"/>
      <c r="D1212" s="45"/>
      <c r="E1212" s="107"/>
      <c r="F1212" s="107"/>
      <c r="G1212" s="107"/>
      <c r="H1212" s="93"/>
      <c r="I1212" s="64"/>
      <c r="J1212" s="64"/>
      <c r="K1212" s="66"/>
      <c r="L1212" s="55"/>
      <c r="M1212" s="46"/>
      <c r="N1212" s="48"/>
      <c r="O1212" s="58"/>
      <c r="P1212" s="61"/>
      <c r="S1212" s="38"/>
    </row>
    <row r="1213" spans="1:19" x14ac:dyDescent="0.25">
      <c r="A1213" s="90"/>
      <c r="B1213" s="45"/>
      <c r="C1213" s="45"/>
      <c r="D1213" s="45"/>
      <c r="E1213" s="107"/>
      <c r="F1213" s="107"/>
      <c r="G1213" s="107"/>
      <c r="H1213" s="93"/>
      <c r="I1213" s="64"/>
      <c r="J1213" s="64"/>
      <c r="K1213" s="66"/>
      <c r="L1213" s="55"/>
      <c r="M1213" s="46"/>
      <c r="N1213" s="48"/>
      <c r="O1213" s="58"/>
      <c r="P1213" s="61"/>
      <c r="S1213" s="38"/>
    </row>
    <row r="1214" spans="1:19" x14ac:dyDescent="0.25">
      <c r="A1214" s="90"/>
      <c r="B1214" s="45"/>
      <c r="C1214" s="45"/>
      <c r="D1214" s="45"/>
      <c r="E1214" s="107"/>
      <c r="F1214" s="107"/>
      <c r="G1214" s="107"/>
      <c r="H1214" s="93"/>
      <c r="I1214" s="64"/>
      <c r="J1214" s="64"/>
      <c r="K1214" s="66"/>
      <c r="L1214" s="55"/>
      <c r="M1214" s="46"/>
      <c r="N1214" s="48"/>
      <c r="O1214" s="58"/>
      <c r="P1214" s="61"/>
      <c r="S1214" s="38"/>
    </row>
    <row r="1215" spans="1:19" x14ac:dyDescent="0.25">
      <c r="A1215" s="90"/>
      <c r="B1215" s="45"/>
      <c r="C1215" s="45"/>
      <c r="D1215" s="45"/>
      <c r="E1215" s="107"/>
      <c r="F1215" s="107"/>
      <c r="G1215" s="107"/>
      <c r="H1215" s="93"/>
      <c r="I1215" s="64"/>
      <c r="J1215" s="64"/>
      <c r="K1215" s="66"/>
      <c r="L1215" s="55"/>
      <c r="M1215" s="46"/>
      <c r="N1215" s="48"/>
      <c r="O1215" s="58"/>
      <c r="P1215" s="61"/>
      <c r="S1215" s="38"/>
    </row>
    <row r="1216" spans="1:19" x14ac:dyDescent="0.25">
      <c r="A1216" s="90"/>
      <c r="B1216" s="45"/>
      <c r="C1216" s="45"/>
      <c r="D1216" s="45"/>
      <c r="E1216" s="107"/>
      <c r="F1216" s="107"/>
      <c r="G1216" s="107"/>
      <c r="H1216" s="93"/>
      <c r="I1216" s="64"/>
      <c r="J1216" s="64"/>
      <c r="K1216" s="66"/>
      <c r="L1216" s="55"/>
      <c r="M1216" s="46"/>
      <c r="N1216" s="48"/>
      <c r="O1216" s="58"/>
      <c r="P1216" s="61"/>
      <c r="S1216" s="38"/>
    </row>
    <row r="1217" spans="1:19" x14ac:dyDescent="0.25">
      <c r="A1217" s="90"/>
      <c r="B1217" s="45"/>
      <c r="C1217" s="45"/>
      <c r="D1217" s="45"/>
      <c r="E1217" s="107"/>
      <c r="F1217" s="107"/>
      <c r="G1217" s="107"/>
      <c r="H1217" s="93"/>
      <c r="I1217" s="64"/>
      <c r="J1217" s="64"/>
      <c r="K1217" s="66"/>
      <c r="L1217" s="55"/>
      <c r="M1217" s="46"/>
      <c r="N1217" s="48"/>
      <c r="O1217" s="58"/>
      <c r="P1217" s="61"/>
      <c r="S1217" s="38"/>
    </row>
    <row r="1218" spans="1:19" x14ac:dyDescent="0.25">
      <c r="J1218" s="65"/>
      <c r="L1218" s="55"/>
      <c r="M1218" s="46"/>
      <c r="N1218" s="48"/>
      <c r="O1218" s="58"/>
      <c r="P1218" s="61"/>
      <c r="S1218" s="38"/>
    </row>
    <row r="1219" spans="1:19" x14ac:dyDescent="0.25">
      <c r="J1219" s="65"/>
      <c r="L1219" s="55"/>
      <c r="M1219" s="46"/>
      <c r="N1219" s="48"/>
      <c r="O1219" s="58"/>
      <c r="P1219" s="61"/>
      <c r="S1219" s="38"/>
    </row>
    <row r="1220" spans="1:19" x14ac:dyDescent="0.25">
      <c r="J1220" s="65"/>
      <c r="L1220" s="55"/>
      <c r="M1220" s="46"/>
      <c r="N1220" s="48"/>
      <c r="O1220" s="58"/>
      <c r="P1220" s="61"/>
      <c r="S1220" s="38"/>
    </row>
    <row r="1221" spans="1:19" x14ac:dyDescent="0.25">
      <c r="D1221" s="45"/>
      <c r="J1221" s="65"/>
      <c r="L1221" s="55"/>
      <c r="M1221" s="46"/>
      <c r="N1221" s="48"/>
      <c r="O1221" s="58"/>
      <c r="P1221" s="61"/>
      <c r="S1221" s="38"/>
    </row>
    <row r="1222" spans="1:19" x14ac:dyDescent="0.25">
      <c r="A1222" s="90"/>
      <c r="B1222" s="45"/>
      <c r="C1222" s="45"/>
      <c r="D1222" s="45"/>
      <c r="E1222" s="107"/>
      <c r="F1222" s="107"/>
      <c r="G1222" s="107"/>
      <c r="H1222" s="93"/>
      <c r="I1222" s="64"/>
      <c r="J1222" s="64"/>
      <c r="K1222" s="66"/>
      <c r="L1222" s="55"/>
      <c r="M1222" s="46"/>
      <c r="N1222" s="48"/>
      <c r="O1222" s="58"/>
      <c r="P1222" s="61"/>
      <c r="S1222" s="38"/>
    </row>
    <row r="1223" spans="1:19" x14ac:dyDescent="0.25">
      <c r="A1223" s="90"/>
      <c r="B1223" s="45"/>
      <c r="C1223" s="45"/>
      <c r="D1223" s="45"/>
      <c r="E1223" s="107"/>
      <c r="F1223" s="107"/>
      <c r="G1223" s="107"/>
      <c r="H1223" s="93"/>
      <c r="I1223" s="64"/>
      <c r="J1223" s="64"/>
      <c r="K1223" s="66"/>
      <c r="L1223" s="55"/>
      <c r="M1223" s="46"/>
      <c r="N1223" s="48"/>
      <c r="O1223" s="58"/>
      <c r="P1223" s="61"/>
      <c r="S1223" s="38"/>
    </row>
    <row r="1224" spans="1:19" x14ac:dyDescent="0.25">
      <c r="A1224" s="90"/>
      <c r="B1224" s="45"/>
      <c r="C1224" s="45"/>
      <c r="D1224" s="45"/>
      <c r="E1224" s="107"/>
      <c r="F1224" s="107"/>
      <c r="G1224" s="107"/>
      <c r="H1224" s="93"/>
      <c r="I1224" s="64"/>
      <c r="J1224" s="64"/>
      <c r="K1224" s="66"/>
      <c r="L1224" s="55"/>
      <c r="M1224" s="46"/>
      <c r="N1224" s="48"/>
      <c r="O1224" s="58"/>
      <c r="P1224" s="61"/>
      <c r="S1224" s="38"/>
    </row>
    <row r="1225" spans="1:19" x14ac:dyDescent="0.25">
      <c r="A1225" s="90"/>
      <c r="B1225" s="45"/>
      <c r="C1225" s="45"/>
      <c r="D1225" s="45"/>
      <c r="E1225" s="107"/>
      <c r="F1225" s="107"/>
      <c r="G1225" s="107"/>
      <c r="H1225" s="93"/>
      <c r="I1225" s="64"/>
      <c r="J1225" s="64"/>
      <c r="K1225" s="66"/>
      <c r="L1225" s="55"/>
      <c r="M1225" s="46"/>
      <c r="N1225" s="48"/>
      <c r="O1225" s="58"/>
      <c r="P1225" s="61"/>
      <c r="S1225" s="38"/>
    </row>
    <row r="1226" spans="1:19" x14ac:dyDescent="0.25">
      <c r="A1226" s="90"/>
      <c r="B1226" s="45"/>
      <c r="C1226" s="45"/>
      <c r="D1226" s="45"/>
      <c r="E1226" s="107"/>
      <c r="F1226" s="107"/>
      <c r="G1226" s="107"/>
      <c r="H1226" s="93"/>
      <c r="I1226" s="64"/>
      <c r="J1226" s="64"/>
      <c r="K1226" s="66"/>
      <c r="L1226" s="55"/>
      <c r="M1226" s="46"/>
      <c r="N1226" s="48"/>
      <c r="O1226" s="58"/>
      <c r="P1226" s="61"/>
      <c r="S1226" s="38"/>
    </row>
    <row r="1227" spans="1:19" x14ac:dyDescent="0.25">
      <c r="A1227" s="90"/>
      <c r="B1227" s="45"/>
      <c r="C1227" s="45"/>
      <c r="D1227" s="45"/>
      <c r="E1227" s="107"/>
      <c r="F1227" s="107"/>
      <c r="G1227" s="107"/>
      <c r="H1227" s="93"/>
      <c r="I1227" s="64"/>
      <c r="J1227" s="64"/>
      <c r="K1227" s="66"/>
      <c r="L1227" s="55"/>
      <c r="M1227" s="46"/>
      <c r="N1227" s="48"/>
      <c r="O1227" s="58"/>
      <c r="P1227" s="61"/>
      <c r="S1227" s="38"/>
    </row>
    <row r="1228" spans="1:19" x14ac:dyDescent="0.25">
      <c r="A1228" s="90"/>
      <c r="B1228" s="45"/>
      <c r="C1228" s="45"/>
      <c r="D1228" s="45"/>
      <c r="E1228" s="107"/>
      <c r="F1228" s="107"/>
      <c r="G1228" s="107"/>
      <c r="H1228" s="93"/>
      <c r="I1228" s="64"/>
      <c r="J1228" s="64"/>
      <c r="K1228" s="66"/>
      <c r="L1228" s="55"/>
      <c r="M1228" s="46"/>
      <c r="N1228" s="48"/>
      <c r="O1228" s="58"/>
      <c r="P1228" s="61"/>
      <c r="S1228" s="38"/>
    </row>
    <row r="1229" spans="1:19" x14ac:dyDescent="0.25">
      <c r="A1229" s="90"/>
      <c r="B1229" s="45"/>
      <c r="C1229" s="45"/>
      <c r="D1229" s="45"/>
      <c r="E1229" s="107"/>
      <c r="F1229" s="107"/>
      <c r="G1229" s="107"/>
      <c r="H1229" s="93"/>
      <c r="I1229" s="64"/>
      <c r="J1229" s="64"/>
      <c r="K1229" s="66"/>
      <c r="L1229" s="55"/>
      <c r="M1229" s="46"/>
      <c r="N1229" s="48"/>
      <c r="O1229" s="58"/>
      <c r="P1229" s="61"/>
      <c r="S1229" s="38"/>
    </row>
    <row r="1230" spans="1:19" x14ac:dyDescent="0.25">
      <c r="A1230" s="90"/>
      <c r="B1230" s="45"/>
      <c r="C1230" s="45"/>
      <c r="D1230" s="45"/>
      <c r="E1230" s="107"/>
      <c r="F1230" s="107"/>
      <c r="G1230" s="107"/>
      <c r="H1230" s="93"/>
      <c r="I1230" s="64"/>
      <c r="J1230" s="64"/>
      <c r="K1230" s="66"/>
      <c r="L1230" s="55"/>
      <c r="M1230" s="46"/>
      <c r="N1230" s="48"/>
      <c r="O1230" s="58"/>
      <c r="P1230" s="61"/>
      <c r="S1230" s="38"/>
    </row>
    <row r="1231" spans="1:19" x14ac:dyDescent="0.25">
      <c r="J1231" s="65"/>
      <c r="L1231" s="55"/>
      <c r="M1231" s="46"/>
      <c r="N1231" s="48"/>
      <c r="O1231" s="58"/>
      <c r="P1231" s="61"/>
      <c r="S1231" s="38"/>
    </row>
    <row r="1232" spans="1:19" x14ac:dyDescent="0.25">
      <c r="J1232" s="65"/>
      <c r="L1232" s="55"/>
      <c r="M1232" s="46"/>
      <c r="N1232" s="48"/>
      <c r="O1232" s="58"/>
      <c r="P1232" s="61"/>
      <c r="S1232" s="38"/>
    </row>
    <row r="1233" spans="1:19" x14ac:dyDescent="0.25">
      <c r="J1233" s="65"/>
      <c r="L1233" s="55"/>
      <c r="M1233" s="46"/>
      <c r="N1233" s="48"/>
      <c r="O1233" s="58"/>
      <c r="P1233" s="61"/>
      <c r="S1233" s="38"/>
    </row>
    <row r="1234" spans="1:19" x14ac:dyDescent="0.25">
      <c r="D1234" s="45"/>
      <c r="J1234" s="65"/>
      <c r="L1234" s="55"/>
      <c r="M1234" s="46"/>
      <c r="N1234" s="48"/>
      <c r="O1234" s="58"/>
      <c r="P1234" s="61"/>
      <c r="S1234" s="38"/>
    </row>
    <row r="1235" spans="1:19" x14ac:dyDescent="0.25">
      <c r="A1235" s="90"/>
      <c r="B1235" s="45"/>
      <c r="C1235" s="45"/>
      <c r="D1235" s="45"/>
      <c r="E1235" s="107"/>
      <c r="F1235" s="107"/>
      <c r="G1235" s="107"/>
      <c r="H1235" s="93"/>
      <c r="I1235" s="64"/>
      <c r="J1235" s="64"/>
      <c r="K1235" s="66"/>
      <c r="L1235" s="55"/>
      <c r="M1235" s="46"/>
      <c r="N1235" s="48"/>
      <c r="O1235" s="58"/>
      <c r="P1235" s="61"/>
      <c r="S1235" s="38"/>
    </row>
    <row r="1236" spans="1:19" x14ac:dyDescent="0.25">
      <c r="A1236" s="90"/>
      <c r="B1236" s="45"/>
      <c r="C1236" s="45"/>
      <c r="D1236" s="45"/>
      <c r="E1236" s="107"/>
      <c r="F1236" s="107"/>
      <c r="G1236" s="107"/>
      <c r="H1236" s="93"/>
      <c r="I1236" s="64"/>
      <c r="J1236" s="64"/>
      <c r="K1236" s="66"/>
      <c r="L1236" s="55"/>
      <c r="M1236" s="46"/>
      <c r="N1236" s="48"/>
      <c r="O1236" s="58"/>
      <c r="P1236" s="61"/>
      <c r="S1236" s="38"/>
    </row>
    <row r="1237" spans="1:19" x14ac:dyDescent="0.25">
      <c r="A1237" s="90"/>
      <c r="B1237" s="45"/>
      <c r="C1237" s="45"/>
      <c r="D1237" s="45"/>
      <c r="E1237" s="107"/>
      <c r="F1237" s="107"/>
      <c r="G1237" s="107"/>
      <c r="H1237" s="93"/>
      <c r="I1237" s="64"/>
      <c r="J1237" s="64"/>
      <c r="K1237" s="66"/>
      <c r="L1237" s="55"/>
      <c r="M1237" s="46"/>
      <c r="N1237" s="48"/>
      <c r="O1237" s="58"/>
      <c r="P1237" s="61"/>
      <c r="S1237" s="38"/>
    </row>
    <row r="1238" spans="1:19" x14ac:dyDescent="0.25">
      <c r="A1238" s="90"/>
      <c r="B1238" s="45"/>
      <c r="C1238" s="45"/>
      <c r="D1238" s="45"/>
      <c r="E1238" s="107"/>
      <c r="F1238" s="107"/>
      <c r="G1238" s="107"/>
      <c r="H1238" s="93"/>
      <c r="I1238" s="64"/>
      <c r="J1238" s="64"/>
      <c r="K1238" s="66"/>
      <c r="L1238" s="55"/>
      <c r="M1238" s="46"/>
      <c r="N1238" s="48"/>
      <c r="O1238" s="58"/>
      <c r="P1238" s="61"/>
      <c r="S1238" s="38"/>
    </row>
    <row r="1239" spans="1:19" x14ac:dyDescent="0.25">
      <c r="A1239" s="90"/>
      <c r="B1239" s="45"/>
      <c r="C1239" s="45"/>
      <c r="D1239" s="45"/>
      <c r="E1239" s="107"/>
      <c r="F1239" s="107"/>
      <c r="G1239" s="107"/>
      <c r="H1239" s="93"/>
      <c r="I1239" s="64"/>
      <c r="J1239" s="64"/>
      <c r="K1239" s="66"/>
      <c r="L1239" s="55"/>
      <c r="M1239" s="46"/>
      <c r="N1239" s="48"/>
      <c r="O1239" s="58"/>
      <c r="P1239" s="61"/>
      <c r="S1239" s="38"/>
    </row>
    <row r="1240" spans="1:19" x14ac:dyDescent="0.25">
      <c r="A1240" s="90"/>
      <c r="B1240" s="45"/>
      <c r="C1240" s="45"/>
      <c r="D1240" s="45"/>
      <c r="E1240" s="107"/>
      <c r="F1240" s="107"/>
      <c r="G1240" s="107"/>
      <c r="H1240" s="93"/>
      <c r="I1240" s="64"/>
      <c r="J1240" s="64"/>
      <c r="K1240" s="66"/>
      <c r="L1240" s="55"/>
      <c r="M1240" s="46"/>
      <c r="N1240" s="48"/>
      <c r="O1240" s="58"/>
      <c r="P1240" s="61"/>
      <c r="S1240" s="38"/>
    </row>
    <row r="1241" spans="1:19" x14ac:dyDescent="0.25">
      <c r="A1241" s="90"/>
      <c r="B1241" s="45"/>
      <c r="C1241" s="45"/>
      <c r="D1241" s="45"/>
      <c r="E1241" s="107"/>
      <c r="F1241" s="107"/>
      <c r="G1241" s="107"/>
      <c r="H1241" s="93"/>
      <c r="I1241" s="64"/>
      <c r="J1241" s="64"/>
      <c r="K1241" s="66"/>
      <c r="L1241" s="55"/>
      <c r="M1241" s="46"/>
      <c r="N1241" s="48"/>
      <c r="O1241" s="58"/>
      <c r="P1241" s="61"/>
      <c r="S1241" s="38"/>
    </row>
    <row r="1242" spans="1:19" x14ac:dyDescent="0.25">
      <c r="A1242" s="90"/>
      <c r="B1242" s="45"/>
      <c r="C1242" s="45"/>
      <c r="D1242" s="45"/>
      <c r="E1242" s="107"/>
      <c r="F1242" s="107"/>
      <c r="G1242" s="107"/>
      <c r="H1242" s="93"/>
      <c r="I1242" s="64"/>
      <c r="J1242" s="64"/>
      <c r="K1242" s="66"/>
      <c r="L1242" s="55"/>
      <c r="M1242" s="46"/>
      <c r="N1242" s="48"/>
      <c r="O1242" s="58"/>
      <c r="P1242" s="61"/>
      <c r="S1242" s="38"/>
    </row>
    <row r="1243" spans="1:19" x14ac:dyDescent="0.25">
      <c r="A1243" s="90"/>
      <c r="B1243" s="45"/>
      <c r="C1243" s="45"/>
      <c r="D1243" s="45"/>
      <c r="E1243" s="107"/>
      <c r="F1243" s="107"/>
      <c r="G1243" s="107"/>
      <c r="H1243" s="93"/>
      <c r="I1243" s="64"/>
      <c r="J1243" s="64"/>
      <c r="K1243" s="66"/>
      <c r="L1243" s="55"/>
      <c r="M1243" s="46"/>
      <c r="N1243" s="48"/>
      <c r="O1243" s="58"/>
      <c r="P1243" s="61"/>
      <c r="S1243" s="38"/>
    </row>
    <row r="1244" spans="1:19" x14ac:dyDescent="0.25">
      <c r="J1244" s="65"/>
      <c r="L1244" s="55"/>
      <c r="M1244" s="46"/>
      <c r="N1244" s="48"/>
      <c r="O1244" s="58"/>
      <c r="P1244" s="61"/>
      <c r="S1244" s="38"/>
    </row>
    <row r="1245" spans="1:19" x14ac:dyDescent="0.25">
      <c r="J1245" s="65"/>
      <c r="L1245" s="55"/>
      <c r="M1245" s="46"/>
      <c r="N1245" s="48"/>
      <c r="O1245" s="58"/>
      <c r="P1245" s="61"/>
      <c r="S1245" s="38"/>
    </row>
    <row r="1246" spans="1:19" x14ac:dyDescent="0.25">
      <c r="J1246" s="65"/>
      <c r="L1246" s="55"/>
      <c r="M1246" s="46"/>
      <c r="N1246" s="48"/>
      <c r="O1246" s="58"/>
      <c r="P1246" s="61"/>
      <c r="S1246" s="38"/>
    </row>
    <row r="1247" spans="1:19" x14ac:dyDescent="0.25">
      <c r="D1247" s="45"/>
      <c r="J1247" s="65"/>
      <c r="L1247" s="55"/>
      <c r="M1247" s="46"/>
      <c r="N1247" s="48"/>
      <c r="O1247" s="58"/>
      <c r="P1247" s="61"/>
      <c r="S1247" s="38"/>
    </row>
    <row r="1248" spans="1:19" x14ac:dyDescent="0.25">
      <c r="A1248" s="90"/>
      <c r="B1248" s="45"/>
      <c r="C1248" s="45"/>
      <c r="D1248" s="45"/>
      <c r="E1248" s="107"/>
      <c r="F1248" s="107"/>
      <c r="G1248" s="107"/>
      <c r="H1248" s="93"/>
      <c r="I1248" s="64"/>
      <c r="J1248" s="64"/>
      <c r="K1248" s="66"/>
      <c r="L1248" s="55"/>
      <c r="M1248" s="46"/>
      <c r="N1248" s="48"/>
      <c r="O1248" s="58"/>
      <c r="P1248" s="61"/>
      <c r="S1248" s="38"/>
    </row>
    <row r="1249" spans="1:19" x14ac:dyDescent="0.25">
      <c r="A1249" s="90"/>
      <c r="B1249" s="45"/>
      <c r="C1249" s="45"/>
      <c r="D1249" s="45"/>
      <c r="E1249" s="107"/>
      <c r="F1249" s="107"/>
      <c r="G1249" s="107"/>
      <c r="H1249" s="93"/>
      <c r="I1249" s="64"/>
      <c r="J1249" s="64"/>
      <c r="K1249" s="66"/>
      <c r="L1249" s="55"/>
      <c r="M1249" s="46"/>
      <c r="N1249" s="48"/>
      <c r="O1249" s="58"/>
      <c r="P1249" s="61"/>
      <c r="S1249" s="38"/>
    </row>
    <row r="1250" spans="1:19" x14ac:dyDescent="0.25">
      <c r="A1250" s="90"/>
      <c r="B1250" s="45"/>
      <c r="C1250" s="45"/>
      <c r="D1250" s="45"/>
      <c r="E1250" s="107"/>
      <c r="F1250" s="107"/>
      <c r="G1250" s="107"/>
      <c r="H1250" s="93"/>
      <c r="I1250" s="64"/>
      <c r="J1250" s="64"/>
      <c r="K1250" s="66"/>
      <c r="L1250" s="55"/>
      <c r="M1250" s="46"/>
      <c r="N1250" s="48"/>
      <c r="O1250" s="58"/>
      <c r="P1250" s="61"/>
      <c r="S1250" s="38"/>
    </row>
    <row r="1251" spans="1:19" x14ac:dyDescent="0.25">
      <c r="A1251" s="90"/>
      <c r="B1251" s="45"/>
      <c r="C1251" s="45"/>
      <c r="D1251" s="45"/>
      <c r="E1251" s="107"/>
      <c r="F1251" s="107"/>
      <c r="G1251" s="107"/>
      <c r="H1251" s="93"/>
      <c r="I1251" s="64"/>
      <c r="J1251" s="64"/>
      <c r="K1251" s="66"/>
      <c r="L1251" s="55"/>
      <c r="M1251" s="46"/>
      <c r="N1251" s="48"/>
      <c r="O1251" s="58"/>
      <c r="P1251" s="61"/>
      <c r="S1251" s="38"/>
    </row>
    <row r="1252" spans="1:19" x14ac:dyDescent="0.25">
      <c r="A1252" s="90"/>
      <c r="B1252" s="45"/>
      <c r="C1252" s="45"/>
      <c r="D1252" s="45"/>
      <c r="E1252" s="107"/>
      <c r="F1252" s="107"/>
      <c r="G1252" s="107"/>
      <c r="H1252" s="93"/>
      <c r="I1252" s="64"/>
      <c r="J1252" s="64"/>
      <c r="K1252" s="66"/>
      <c r="L1252" s="55"/>
      <c r="M1252" s="46"/>
      <c r="N1252" s="48"/>
      <c r="O1252" s="58"/>
      <c r="P1252" s="61"/>
      <c r="S1252" s="38"/>
    </row>
    <row r="1253" spans="1:19" x14ac:dyDescent="0.25">
      <c r="A1253" s="90"/>
      <c r="B1253" s="45"/>
      <c r="C1253" s="45"/>
      <c r="D1253" s="45"/>
      <c r="E1253" s="107"/>
      <c r="F1253" s="107"/>
      <c r="G1253" s="107"/>
      <c r="H1253" s="93"/>
      <c r="I1253" s="64"/>
      <c r="J1253" s="64"/>
      <c r="K1253" s="66"/>
      <c r="L1253" s="55"/>
      <c r="M1253" s="46"/>
      <c r="N1253" s="48"/>
      <c r="O1253" s="58"/>
      <c r="P1253" s="61"/>
      <c r="S1253" s="38"/>
    </row>
    <row r="1254" spans="1:19" x14ac:dyDescent="0.25">
      <c r="A1254" s="90"/>
      <c r="B1254" s="45"/>
      <c r="C1254" s="45"/>
      <c r="D1254" s="45"/>
      <c r="E1254" s="107"/>
      <c r="F1254" s="107"/>
      <c r="G1254" s="107"/>
      <c r="H1254" s="93"/>
      <c r="I1254" s="64"/>
      <c r="J1254" s="64"/>
      <c r="K1254" s="66"/>
      <c r="L1254" s="55"/>
      <c r="M1254" s="46"/>
      <c r="N1254" s="48"/>
      <c r="O1254" s="58"/>
      <c r="P1254" s="61"/>
      <c r="S1254" s="38"/>
    </row>
    <row r="1255" spans="1:19" x14ac:dyDescent="0.25">
      <c r="A1255" s="90"/>
      <c r="B1255" s="45"/>
      <c r="C1255" s="45"/>
      <c r="D1255" s="45"/>
      <c r="E1255" s="107"/>
      <c r="F1255" s="107"/>
      <c r="G1255" s="107"/>
      <c r="H1255" s="93"/>
      <c r="I1255" s="64"/>
      <c r="J1255" s="64"/>
      <c r="K1255" s="66"/>
      <c r="L1255" s="55"/>
      <c r="M1255" s="46"/>
      <c r="N1255" s="48"/>
      <c r="O1255" s="58"/>
      <c r="P1255" s="61"/>
      <c r="S1255" s="38"/>
    </row>
    <row r="1256" spans="1:19" x14ac:dyDescent="0.25">
      <c r="A1256" s="90"/>
      <c r="B1256" s="45"/>
      <c r="C1256" s="45"/>
      <c r="D1256" s="45"/>
      <c r="E1256" s="107"/>
      <c r="F1256" s="107"/>
      <c r="G1256" s="107"/>
      <c r="H1256" s="93"/>
      <c r="I1256" s="64"/>
      <c r="J1256" s="64"/>
      <c r="K1256" s="66"/>
      <c r="L1256" s="55"/>
      <c r="M1256" s="46"/>
      <c r="N1256" s="48"/>
      <c r="O1256" s="58"/>
      <c r="P1256" s="61"/>
      <c r="S1256" s="38"/>
    </row>
    <row r="1257" spans="1:19" x14ac:dyDescent="0.25">
      <c r="J1257" s="65"/>
      <c r="L1257" s="55"/>
      <c r="M1257" s="46"/>
      <c r="N1257" s="48"/>
      <c r="O1257" s="58"/>
      <c r="P1257" s="61"/>
      <c r="S1257" s="38"/>
    </row>
    <row r="1258" spans="1:19" x14ac:dyDescent="0.25">
      <c r="J1258" s="65"/>
      <c r="L1258" s="55"/>
      <c r="M1258" s="46"/>
      <c r="N1258" s="48"/>
      <c r="O1258" s="58"/>
      <c r="P1258" s="61"/>
      <c r="S1258" s="38"/>
    </row>
    <row r="1259" spans="1:19" x14ac:dyDescent="0.25">
      <c r="J1259" s="65"/>
      <c r="L1259" s="55"/>
      <c r="M1259" s="46"/>
      <c r="N1259" s="48"/>
      <c r="O1259" s="58"/>
      <c r="P1259" s="61"/>
      <c r="S1259" s="38"/>
    </row>
    <row r="1260" spans="1:19" x14ac:dyDescent="0.25">
      <c r="D1260" s="45"/>
      <c r="J1260" s="65"/>
      <c r="L1260" s="55"/>
      <c r="M1260" s="46"/>
      <c r="N1260" s="48"/>
      <c r="O1260" s="58"/>
      <c r="P1260" s="61"/>
      <c r="S1260" s="38"/>
    </row>
    <row r="1261" spans="1:19" x14ac:dyDescent="0.25">
      <c r="A1261" s="90"/>
      <c r="B1261" s="45"/>
      <c r="C1261" s="45"/>
      <c r="D1261" s="45"/>
      <c r="E1261" s="107"/>
      <c r="F1261" s="107"/>
      <c r="G1261" s="107"/>
      <c r="H1261" s="93"/>
      <c r="I1261" s="64"/>
      <c r="J1261" s="64"/>
      <c r="K1261" s="66"/>
      <c r="L1261" s="55"/>
      <c r="M1261" s="46"/>
      <c r="N1261" s="48"/>
      <c r="O1261" s="58"/>
      <c r="P1261" s="61"/>
      <c r="S1261" s="38"/>
    </row>
    <row r="1262" spans="1:19" x14ac:dyDescent="0.25">
      <c r="A1262" s="90"/>
      <c r="B1262" s="45"/>
      <c r="C1262" s="45"/>
      <c r="D1262" s="45"/>
      <c r="E1262" s="107"/>
      <c r="F1262" s="107"/>
      <c r="G1262" s="107"/>
      <c r="H1262" s="93"/>
      <c r="I1262" s="64"/>
      <c r="J1262" s="64"/>
      <c r="K1262" s="66"/>
      <c r="L1262" s="55"/>
      <c r="M1262" s="46"/>
      <c r="N1262" s="48"/>
      <c r="O1262" s="58"/>
      <c r="P1262" s="61"/>
      <c r="S1262" s="38"/>
    </row>
    <row r="1263" spans="1:19" x14ac:dyDescent="0.25">
      <c r="A1263" s="90"/>
      <c r="B1263" s="45"/>
      <c r="C1263" s="45"/>
      <c r="D1263" s="45"/>
      <c r="E1263" s="107"/>
      <c r="F1263" s="107"/>
      <c r="G1263" s="107"/>
      <c r="H1263" s="93"/>
      <c r="I1263" s="64"/>
      <c r="J1263" s="64"/>
      <c r="K1263" s="66"/>
      <c r="L1263" s="55"/>
      <c r="M1263" s="46"/>
      <c r="N1263" s="48"/>
      <c r="O1263" s="58"/>
      <c r="P1263" s="61"/>
      <c r="S1263" s="38"/>
    </row>
    <row r="1264" spans="1:19" x14ac:dyDescent="0.25">
      <c r="A1264" s="90"/>
      <c r="B1264" s="45"/>
      <c r="C1264" s="45"/>
      <c r="D1264" s="45"/>
      <c r="E1264" s="107"/>
      <c r="F1264" s="107"/>
      <c r="G1264" s="107"/>
      <c r="H1264" s="93"/>
      <c r="I1264" s="64"/>
      <c r="J1264" s="64"/>
      <c r="K1264" s="66"/>
      <c r="L1264" s="55"/>
      <c r="M1264" s="46"/>
      <c r="N1264" s="48"/>
      <c r="O1264" s="58"/>
      <c r="P1264" s="61"/>
      <c r="S1264" s="38"/>
    </row>
    <row r="1265" spans="1:19" x14ac:dyDescent="0.25">
      <c r="A1265" s="90"/>
      <c r="B1265" s="45"/>
      <c r="C1265" s="45"/>
      <c r="D1265" s="45"/>
      <c r="E1265" s="107"/>
      <c r="F1265" s="107"/>
      <c r="G1265" s="107"/>
      <c r="H1265" s="93"/>
      <c r="I1265" s="64"/>
      <c r="J1265" s="64"/>
      <c r="K1265" s="66"/>
      <c r="L1265" s="55"/>
      <c r="M1265" s="46"/>
      <c r="N1265" s="48"/>
      <c r="O1265" s="58"/>
      <c r="P1265" s="61"/>
      <c r="S1265" s="38"/>
    </row>
    <row r="1266" spans="1:19" x14ac:dyDescent="0.25">
      <c r="A1266" s="90"/>
      <c r="B1266" s="45"/>
      <c r="C1266" s="45"/>
      <c r="D1266" s="45"/>
      <c r="E1266" s="107"/>
      <c r="F1266" s="107"/>
      <c r="G1266" s="107"/>
      <c r="H1266" s="93"/>
      <c r="I1266" s="64"/>
      <c r="J1266" s="64"/>
      <c r="K1266" s="66"/>
      <c r="L1266" s="55"/>
      <c r="M1266" s="46"/>
      <c r="N1266" s="48"/>
      <c r="O1266" s="58"/>
      <c r="P1266" s="61"/>
      <c r="S1266" s="38"/>
    </row>
    <row r="1267" spans="1:19" x14ac:dyDescent="0.25">
      <c r="A1267" s="90"/>
      <c r="B1267" s="45"/>
      <c r="C1267" s="45"/>
      <c r="D1267" s="45"/>
      <c r="E1267" s="107"/>
      <c r="F1267" s="107"/>
      <c r="G1267" s="107"/>
      <c r="H1267" s="93"/>
      <c r="I1267" s="64"/>
      <c r="J1267" s="64"/>
      <c r="K1267" s="66"/>
      <c r="L1267" s="55"/>
      <c r="M1267" s="46"/>
      <c r="N1267" s="48"/>
      <c r="O1267" s="58"/>
      <c r="P1267" s="61"/>
      <c r="S1267" s="38"/>
    </row>
    <row r="1268" spans="1:19" x14ac:dyDescent="0.25">
      <c r="A1268" s="90"/>
      <c r="B1268" s="45"/>
      <c r="C1268" s="45"/>
      <c r="D1268" s="45"/>
      <c r="E1268" s="107"/>
      <c r="F1268" s="107"/>
      <c r="G1268" s="107"/>
      <c r="H1268" s="93"/>
      <c r="I1268" s="64"/>
      <c r="J1268" s="64"/>
      <c r="K1268" s="66"/>
      <c r="L1268" s="55"/>
      <c r="M1268" s="46"/>
      <c r="N1268" s="48"/>
      <c r="O1268" s="58"/>
      <c r="P1268" s="61"/>
      <c r="S1268" s="38"/>
    </row>
    <row r="1269" spans="1:19" x14ac:dyDescent="0.25">
      <c r="A1269" s="90"/>
      <c r="B1269" s="45"/>
      <c r="C1269" s="45"/>
      <c r="D1269" s="45"/>
      <c r="E1269" s="107"/>
      <c r="F1269" s="107"/>
      <c r="G1269" s="107"/>
      <c r="H1269" s="93"/>
      <c r="I1269" s="64"/>
      <c r="J1269" s="64"/>
      <c r="K1269" s="66"/>
      <c r="L1269" s="55"/>
      <c r="M1269" s="46"/>
      <c r="N1269" s="48"/>
      <c r="O1269" s="58"/>
      <c r="P1269" s="61"/>
      <c r="S1269" s="38"/>
    </row>
    <row r="1270" spans="1:19" x14ac:dyDescent="0.25">
      <c r="J1270" s="65"/>
      <c r="L1270" s="55"/>
      <c r="M1270" s="46"/>
      <c r="N1270" s="48"/>
      <c r="O1270" s="58"/>
      <c r="P1270" s="61"/>
      <c r="S1270" s="38"/>
    </row>
    <row r="1271" spans="1:19" x14ac:dyDescent="0.25">
      <c r="J1271" s="65"/>
      <c r="L1271" s="55"/>
      <c r="M1271" s="46"/>
      <c r="N1271" s="48"/>
      <c r="O1271" s="58"/>
      <c r="P1271" s="61"/>
      <c r="S1271" s="38"/>
    </row>
    <row r="1272" spans="1:19" x14ac:dyDescent="0.25">
      <c r="J1272" s="65"/>
      <c r="L1272" s="55"/>
      <c r="M1272" s="46"/>
      <c r="N1272" s="48"/>
      <c r="O1272" s="58"/>
      <c r="P1272" s="61"/>
      <c r="S1272" s="38"/>
    </row>
    <row r="1273" spans="1:19" x14ac:dyDescent="0.25">
      <c r="D1273" s="45"/>
      <c r="J1273" s="65"/>
      <c r="L1273" s="55"/>
      <c r="M1273" s="46"/>
      <c r="N1273" s="48"/>
      <c r="O1273" s="58"/>
      <c r="P1273" s="61"/>
      <c r="S1273" s="38"/>
    </row>
    <row r="1274" spans="1:19" x14ac:dyDescent="0.25">
      <c r="A1274" s="90"/>
      <c r="B1274" s="45"/>
      <c r="C1274" s="45"/>
      <c r="D1274" s="45"/>
      <c r="E1274" s="107"/>
      <c r="F1274" s="107"/>
      <c r="G1274" s="107"/>
      <c r="H1274" s="93"/>
      <c r="I1274" s="64"/>
      <c r="J1274" s="64"/>
      <c r="K1274" s="66"/>
      <c r="L1274" s="55"/>
      <c r="M1274" s="46"/>
      <c r="N1274" s="48"/>
      <c r="O1274" s="58"/>
      <c r="P1274" s="61"/>
      <c r="S1274" s="38"/>
    </row>
    <row r="1275" spans="1:19" x14ac:dyDescent="0.25">
      <c r="A1275" s="90"/>
      <c r="B1275" s="45"/>
      <c r="C1275" s="45"/>
      <c r="D1275" s="45"/>
      <c r="E1275" s="107"/>
      <c r="F1275" s="107"/>
      <c r="G1275" s="107"/>
      <c r="H1275" s="93"/>
      <c r="I1275" s="64"/>
      <c r="J1275" s="64"/>
      <c r="K1275" s="66"/>
      <c r="L1275" s="55"/>
      <c r="M1275" s="46"/>
      <c r="N1275" s="48"/>
      <c r="O1275" s="58"/>
      <c r="P1275" s="61"/>
      <c r="S1275" s="38"/>
    </row>
    <row r="1276" spans="1:19" x14ac:dyDescent="0.25">
      <c r="A1276" s="90"/>
      <c r="B1276" s="45"/>
      <c r="C1276" s="45"/>
      <c r="D1276" s="45"/>
      <c r="E1276" s="107"/>
      <c r="F1276" s="107"/>
      <c r="G1276" s="107"/>
      <c r="H1276" s="93"/>
      <c r="I1276" s="64"/>
      <c r="J1276" s="64"/>
      <c r="K1276" s="66"/>
      <c r="L1276" s="55"/>
      <c r="M1276" s="46"/>
      <c r="N1276" s="48"/>
      <c r="O1276" s="58"/>
      <c r="P1276" s="61"/>
      <c r="S1276" s="38"/>
    </row>
    <row r="1277" spans="1:19" x14ac:dyDescent="0.25">
      <c r="A1277" s="90"/>
      <c r="B1277" s="45"/>
      <c r="C1277" s="45"/>
      <c r="D1277" s="45"/>
      <c r="E1277" s="107"/>
      <c r="F1277" s="107"/>
      <c r="G1277" s="107"/>
      <c r="H1277" s="93"/>
      <c r="I1277" s="64"/>
      <c r="J1277" s="64"/>
      <c r="K1277" s="66"/>
      <c r="L1277" s="55"/>
      <c r="M1277" s="46"/>
      <c r="N1277" s="48"/>
      <c r="O1277" s="58"/>
      <c r="P1277" s="61"/>
      <c r="S1277" s="38"/>
    </row>
    <row r="1278" spans="1:19" x14ac:dyDescent="0.25">
      <c r="A1278" s="90"/>
      <c r="B1278" s="45"/>
      <c r="C1278" s="45"/>
      <c r="D1278" s="45"/>
      <c r="E1278" s="107"/>
      <c r="F1278" s="107"/>
      <c r="G1278" s="107"/>
      <c r="H1278" s="93"/>
      <c r="I1278" s="64"/>
      <c r="J1278" s="64"/>
      <c r="K1278" s="66"/>
      <c r="L1278" s="55"/>
      <c r="M1278" s="46"/>
      <c r="N1278" s="48"/>
      <c r="O1278" s="58"/>
      <c r="P1278" s="61"/>
      <c r="S1278" s="38"/>
    </row>
    <row r="1279" spans="1:19" x14ac:dyDescent="0.25">
      <c r="A1279" s="90"/>
      <c r="B1279" s="45"/>
      <c r="C1279" s="45"/>
      <c r="D1279" s="45"/>
      <c r="E1279" s="107"/>
      <c r="F1279" s="107"/>
      <c r="G1279" s="107"/>
      <c r="H1279" s="93"/>
      <c r="I1279" s="64"/>
      <c r="J1279" s="64"/>
      <c r="K1279" s="66"/>
      <c r="L1279" s="55"/>
      <c r="M1279" s="46"/>
      <c r="N1279" s="48"/>
      <c r="O1279" s="58"/>
      <c r="P1279" s="61"/>
      <c r="S1279" s="38"/>
    </row>
    <row r="1280" spans="1:19" x14ac:dyDescent="0.25">
      <c r="A1280" s="90"/>
      <c r="B1280" s="45"/>
      <c r="C1280" s="45"/>
      <c r="D1280" s="45"/>
      <c r="E1280" s="107"/>
      <c r="F1280" s="107"/>
      <c r="G1280" s="107"/>
      <c r="H1280" s="93"/>
      <c r="I1280" s="64"/>
      <c r="J1280" s="64"/>
      <c r="K1280" s="66"/>
      <c r="L1280" s="55"/>
      <c r="M1280" s="46"/>
      <c r="N1280" s="48"/>
      <c r="O1280" s="58"/>
      <c r="P1280" s="61"/>
      <c r="S1280" s="38"/>
    </row>
    <row r="1281" spans="1:19" x14ac:dyDescent="0.25">
      <c r="A1281" s="90"/>
      <c r="B1281" s="45"/>
      <c r="C1281" s="45"/>
      <c r="D1281" s="45"/>
      <c r="E1281" s="107"/>
      <c r="F1281" s="107"/>
      <c r="G1281" s="107"/>
      <c r="H1281" s="93"/>
      <c r="I1281" s="64"/>
      <c r="J1281" s="64"/>
      <c r="K1281" s="66"/>
      <c r="L1281" s="55"/>
      <c r="M1281" s="46"/>
      <c r="N1281" s="48"/>
      <c r="O1281" s="58"/>
      <c r="P1281" s="61"/>
      <c r="S1281" s="38"/>
    </row>
    <row r="1282" spans="1:19" x14ac:dyDescent="0.25">
      <c r="A1282" s="90"/>
      <c r="B1282" s="45"/>
      <c r="C1282" s="45"/>
      <c r="D1282" s="45"/>
      <c r="E1282" s="107"/>
      <c r="F1282" s="107"/>
      <c r="G1282" s="107"/>
      <c r="H1282" s="93"/>
      <c r="I1282" s="64"/>
      <c r="J1282" s="64"/>
      <c r="K1282" s="66"/>
      <c r="L1282" s="55"/>
      <c r="M1282" s="46"/>
      <c r="N1282" s="48"/>
      <c r="O1282" s="58"/>
      <c r="P1282" s="61"/>
      <c r="S1282" s="38"/>
    </row>
    <row r="1283" spans="1:19" x14ac:dyDescent="0.25">
      <c r="J1283" s="65"/>
      <c r="L1283" s="55"/>
      <c r="M1283" s="46"/>
      <c r="N1283" s="48"/>
      <c r="O1283" s="58"/>
      <c r="P1283" s="61"/>
      <c r="S1283" s="38"/>
    </row>
    <row r="1284" spans="1:19" x14ac:dyDescent="0.25">
      <c r="J1284" s="65"/>
      <c r="L1284" s="55"/>
      <c r="M1284" s="46"/>
      <c r="N1284" s="48"/>
      <c r="O1284" s="58"/>
      <c r="P1284" s="61"/>
      <c r="S1284" s="38"/>
    </row>
    <row r="1285" spans="1:19" x14ac:dyDescent="0.25">
      <c r="J1285" s="65"/>
      <c r="L1285" s="55"/>
      <c r="M1285" s="46"/>
      <c r="N1285" s="48"/>
      <c r="O1285" s="58"/>
      <c r="P1285" s="61"/>
      <c r="S1285" s="38"/>
    </row>
    <row r="1286" spans="1:19" x14ac:dyDescent="0.25">
      <c r="D1286" s="45"/>
      <c r="J1286" s="65"/>
      <c r="L1286" s="55"/>
      <c r="M1286" s="46"/>
      <c r="N1286" s="48"/>
      <c r="O1286" s="58"/>
      <c r="P1286" s="61"/>
      <c r="S1286" s="38"/>
    </row>
    <row r="1287" spans="1:19" x14ac:dyDescent="0.25">
      <c r="A1287" s="90"/>
      <c r="B1287" s="45"/>
      <c r="C1287" s="45"/>
      <c r="D1287" s="45"/>
      <c r="E1287" s="107"/>
      <c r="F1287" s="107"/>
      <c r="G1287" s="107"/>
      <c r="H1287" s="93"/>
      <c r="I1287" s="64"/>
      <c r="J1287" s="64"/>
      <c r="K1287" s="66"/>
      <c r="L1287" s="55"/>
      <c r="M1287" s="46"/>
      <c r="N1287" s="48"/>
      <c r="O1287" s="58"/>
      <c r="P1287" s="61"/>
      <c r="S1287" s="38"/>
    </row>
    <row r="1288" spans="1:19" x14ac:dyDescent="0.25">
      <c r="A1288" s="90"/>
      <c r="B1288" s="45"/>
      <c r="C1288" s="45"/>
      <c r="D1288" s="45"/>
      <c r="E1288" s="107"/>
      <c r="F1288" s="107"/>
      <c r="G1288" s="107"/>
      <c r="H1288" s="93"/>
      <c r="I1288" s="64"/>
      <c r="J1288" s="64"/>
      <c r="K1288" s="66"/>
      <c r="L1288" s="55"/>
      <c r="M1288" s="46"/>
      <c r="N1288" s="48"/>
      <c r="O1288" s="58"/>
      <c r="P1288" s="61"/>
      <c r="S1288" s="38"/>
    </row>
    <row r="1289" spans="1:19" x14ac:dyDescent="0.25">
      <c r="A1289" s="90"/>
      <c r="B1289" s="45"/>
      <c r="C1289" s="45"/>
      <c r="D1289" s="45"/>
      <c r="E1289" s="107"/>
      <c r="F1289" s="107"/>
      <c r="G1289" s="107"/>
      <c r="H1289" s="93"/>
      <c r="I1289" s="64"/>
      <c r="J1289" s="64"/>
      <c r="K1289" s="66"/>
      <c r="L1289" s="55"/>
      <c r="M1289" s="46"/>
      <c r="N1289" s="48"/>
      <c r="O1289" s="58"/>
      <c r="P1289" s="61"/>
      <c r="S1289" s="38"/>
    </row>
    <row r="1290" spans="1:19" x14ac:dyDescent="0.25">
      <c r="A1290" s="90"/>
      <c r="B1290" s="45"/>
      <c r="C1290" s="45"/>
      <c r="D1290" s="45"/>
      <c r="E1290" s="107"/>
      <c r="F1290" s="107"/>
      <c r="G1290" s="107"/>
      <c r="H1290" s="93"/>
      <c r="I1290" s="64"/>
      <c r="J1290" s="64"/>
      <c r="K1290" s="66"/>
      <c r="L1290" s="55"/>
      <c r="M1290" s="46"/>
      <c r="N1290" s="48"/>
      <c r="O1290" s="58"/>
      <c r="P1290" s="61"/>
      <c r="S1290" s="38"/>
    </row>
    <row r="1291" spans="1:19" x14ac:dyDescent="0.25">
      <c r="A1291" s="90"/>
      <c r="B1291" s="45"/>
      <c r="C1291" s="45"/>
      <c r="D1291" s="45"/>
      <c r="E1291" s="107"/>
      <c r="F1291" s="107"/>
      <c r="G1291" s="107"/>
      <c r="H1291" s="93"/>
      <c r="I1291" s="64"/>
      <c r="J1291" s="64"/>
      <c r="K1291" s="66"/>
      <c r="L1291" s="55"/>
      <c r="M1291" s="46"/>
      <c r="N1291" s="48"/>
      <c r="O1291" s="58"/>
      <c r="P1291" s="61"/>
      <c r="S1291" s="38"/>
    </row>
    <row r="1292" spans="1:19" x14ac:dyDescent="0.25">
      <c r="A1292" s="90"/>
      <c r="B1292" s="45"/>
      <c r="C1292" s="45"/>
      <c r="D1292" s="45"/>
      <c r="E1292" s="107"/>
      <c r="F1292" s="107"/>
      <c r="G1292" s="107"/>
      <c r="H1292" s="93"/>
      <c r="I1292" s="64"/>
      <c r="J1292" s="64"/>
      <c r="K1292" s="66"/>
      <c r="L1292" s="55"/>
      <c r="M1292" s="46"/>
      <c r="N1292" s="48"/>
      <c r="O1292" s="58"/>
      <c r="P1292" s="61"/>
      <c r="S1292" s="38"/>
    </row>
    <row r="1293" spans="1:19" x14ac:dyDescent="0.25">
      <c r="A1293" s="90"/>
      <c r="B1293" s="45"/>
      <c r="C1293" s="45"/>
      <c r="D1293" s="45"/>
      <c r="E1293" s="107"/>
      <c r="F1293" s="107"/>
      <c r="G1293" s="107"/>
      <c r="H1293" s="93"/>
      <c r="I1293" s="64"/>
      <c r="J1293" s="64"/>
      <c r="K1293" s="66"/>
      <c r="L1293" s="55"/>
      <c r="M1293" s="46"/>
      <c r="N1293" s="48"/>
      <c r="O1293" s="58"/>
      <c r="P1293" s="61"/>
      <c r="S1293" s="38"/>
    </row>
    <row r="1294" spans="1:19" x14ac:dyDescent="0.25">
      <c r="A1294" s="90"/>
      <c r="B1294" s="45"/>
      <c r="C1294" s="45"/>
      <c r="D1294" s="45"/>
      <c r="E1294" s="107"/>
      <c r="F1294" s="107"/>
      <c r="G1294" s="107"/>
      <c r="H1294" s="93"/>
      <c r="I1294" s="64"/>
      <c r="J1294" s="64"/>
      <c r="K1294" s="66"/>
      <c r="L1294" s="55"/>
      <c r="M1294" s="46"/>
      <c r="N1294" s="48"/>
      <c r="O1294" s="58"/>
      <c r="P1294" s="61"/>
      <c r="S1294" s="38"/>
    </row>
    <row r="1295" spans="1:19" x14ac:dyDescent="0.25">
      <c r="A1295" s="90"/>
      <c r="B1295" s="45"/>
      <c r="C1295" s="45"/>
      <c r="D1295" s="45"/>
      <c r="E1295" s="107"/>
      <c r="F1295" s="107"/>
      <c r="G1295" s="107"/>
      <c r="H1295" s="93"/>
      <c r="I1295" s="64"/>
      <c r="J1295" s="64"/>
      <c r="K1295" s="66"/>
      <c r="L1295" s="55"/>
      <c r="M1295" s="46"/>
      <c r="N1295" s="48"/>
      <c r="O1295" s="58"/>
      <c r="P1295" s="61"/>
      <c r="S1295" s="38"/>
    </row>
    <row r="1296" spans="1:19" x14ac:dyDescent="0.25">
      <c r="J1296" s="65"/>
      <c r="L1296" s="55"/>
      <c r="M1296" s="46"/>
      <c r="N1296" s="48"/>
      <c r="O1296" s="58"/>
      <c r="P1296" s="61"/>
      <c r="S1296" s="38"/>
    </row>
    <row r="1297" spans="1:19" x14ac:dyDescent="0.25">
      <c r="J1297" s="65"/>
      <c r="L1297" s="55"/>
      <c r="M1297" s="46"/>
      <c r="N1297" s="48"/>
      <c r="O1297" s="58"/>
      <c r="P1297" s="61"/>
      <c r="S1297" s="38"/>
    </row>
    <row r="1298" spans="1:19" x14ac:dyDescent="0.25">
      <c r="J1298" s="65"/>
      <c r="L1298" s="55"/>
      <c r="M1298" s="46"/>
      <c r="N1298" s="48"/>
      <c r="O1298" s="58"/>
      <c r="P1298" s="61"/>
      <c r="S1298" s="38"/>
    </row>
    <row r="1299" spans="1:19" x14ac:dyDescent="0.25">
      <c r="D1299" s="45"/>
      <c r="J1299" s="65"/>
      <c r="L1299" s="55"/>
      <c r="M1299" s="46"/>
      <c r="N1299" s="48"/>
      <c r="O1299" s="58"/>
      <c r="P1299" s="61"/>
      <c r="S1299" s="38"/>
    </row>
    <row r="1300" spans="1:19" x14ac:dyDescent="0.25">
      <c r="A1300" s="90"/>
      <c r="B1300" s="45"/>
      <c r="C1300" s="45"/>
      <c r="D1300" s="45"/>
      <c r="E1300" s="107"/>
      <c r="F1300" s="107"/>
      <c r="G1300" s="107"/>
      <c r="H1300" s="93"/>
      <c r="I1300" s="64"/>
      <c r="J1300" s="64"/>
      <c r="K1300" s="66"/>
      <c r="L1300" s="55"/>
      <c r="M1300" s="46"/>
      <c r="N1300" s="48"/>
      <c r="O1300" s="58"/>
      <c r="P1300" s="61"/>
      <c r="S1300" s="38"/>
    </row>
    <row r="1301" spans="1:19" x14ac:dyDescent="0.25">
      <c r="A1301" s="90"/>
      <c r="B1301" s="45"/>
      <c r="C1301" s="45"/>
      <c r="D1301" s="45"/>
      <c r="E1301" s="107"/>
      <c r="F1301" s="107"/>
      <c r="G1301" s="107"/>
      <c r="H1301" s="93"/>
      <c r="I1301" s="64"/>
      <c r="J1301" s="64"/>
      <c r="K1301" s="66"/>
      <c r="L1301" s="55"/>
      <c r="M1301" s="46"/>
      <c r="N1301" s="48"/>
      <c r="O1301" s="58"/>
      <c r="P1301" s="61"/>
      <c r="S1301" s="38"/>
    </row>
    <row r="1302" spans="1:19" x14ac:dyDescent="0.25">
      <c r="A1302" s="90"/>
      <c r="B1302" s="45"/>
      <c r="C1302" s="45"/>
      <c r="D1302" s="45"/>
      <c r="E1302" s="107"/>
      <c r="F1302" s="107"/>
      <c r="G1302" s="107"/>
      <c r="H1302" s="93"/>
      <c r="I1302" s="64"/>
      <c r="J1302" s="64"/>
      <c r="K1302" s="66"/>
      <c r="L1302" s="55"/>
      <c r="M1302" s="46"/>
      <c r="N1302" s="48"/>
      <c r="O1302" s="58"/>
      <c r="P1302" s="61"/>
      <c r="S1302" s="38"/>
    </row>
    <row r="1303" spans="1:19" x14ac:dyDescent="0.25">
      <c r="A1303" s="90"/>
      <c r="B1303" s="45"/>
      <c r="C1303" s="45"/>
      <c r="D1303" s="45"/>
      <c r="E1303" s="107"/>
      <c r="F1303" s="107"/>
      <c r="G1303" s="107"/>
      <c r="H1303" s="93"/>
      <c r="I1303" s="64"/>
      <c r="J1303" s="64"/>
      <c r="K1303" s="66"/>
      <c r="L1303" s="55"/>
      <c r="M1303" s="46"/>
      <c r="N1303" s="48"/>
      <c r="O1303" s="58"/>
      <c r="P1303" s="61"/>
      <c r="S1303" s="38"/>
    </row>
    <row r="1304" spans="1:19" x14ac:dyDescent="0.25">
      <c r="A1304" s="90"/>
      <c r="B1304" s="45"/>
      <c r="C1304" s="45"/>
      <c r="D1304" s="45"/>
      <c r="E1304" s="107"/>
      <c r="F1304" s="107"/>
      <c r="G1304" s="107"/>
      <c r="H1304" s="93"/>
      <c r="I1304" s="64"/>
      <c r="J1304" s="64"/>
      <c r="K1304" s="66"/>
      <c r="L1304" s="55"/>
      <c r="M1304" s="46"/>
      <c r="N1304" s="48"/>
      <c r="O1304" s="58"/>
      <c r="P1304" s="61"/>
      <c r="S1304" s="38"/>
    </row>
    <row r="1305" spans="1:19" x14ac:dyDescent="0.25">
      <c r="A1305" s="90"/>
      <c r="B1305" s="45"/>
      <c r="C1305" s="45"/>
      <c r="D1305" s="45"/>
      <c r="E1305" s="107"/>
      <c r="F1305" s="107"/>
      <c r="G1305" s="107"/>
      <c r="H1305" s="93"/>
      <c r="I1305" s="64"/>
      <c r="J1305" s="64"/>
      <c r="K1305" s="66"/>
      <c r="L1305" s="55"/>
      <c r="M1305" s="46"/>
      <c r="N1305" s="48"/>
      <c r="O1305" s="58"/>
      <c r="P1305" s="61"/>
      <c r="S1305" s="38"/>
    </row>
    <row r="1306" spans="1:19" x14ac:dyDescent="0.25">
      <c r="A1306" s="90"/>
      <c r="B1306" s="45"/>
      <c r="C1306" s="45"/>
      <c r="D1306" s="45"/>
      <c r="E1306" s="107"/>
      <c r="F1306" s="107"/>
      <c r="G1306" s="107"/>
      <c r="H1306" s="93"/>
      <c r="I1306" s="64"/>
      <c r="J1306" s="64"/>
      <c r="K1306" s="66"/>
      <c r="L1306" s="55"/>
      <c r="M1306" s="46"/>
      <c r="N1306" s="48"/>
      <c r="O1306" s="58"/>
      <c r="P1306" s="61"/>
      <c r="S1306" s="38"/>
    </row>
    <row r="1307" spans="1:19" x14ac:dyDescent="0.25">
      <c r="A1307" s="90"/>
      <c r="B1307" s="45"/>
      <c r="C1307" s="45"/>
      <c r="D1307" s="45"/>
      <c r="E1307" s="107"/>
      <c r="F1307" s="107"/>
      <c r="G1307" s="107"/>
      <c r="H1307" s="93"/>
      <c r="I1307" s="64"/>
      <c r="J1307" s="64"/>
      <c r="K1307" s="66"/>
      <c r="L1307" s="55"/>
      <c r="M1307" s="46"/>
      <c r="N1307" s="48"/>
      <c r="O1307" s="58"/>
      <c r="P1307" s="61"/>
      <c r="S1307" s="38"/>
    </row>
    <row r="1308" spans="1:19" x14ac:dyDescent="0.25">
      <c r="A1308" s="90"/>
      <c r="B1308" s="45"/>
      <c r="C1308" s="45"/>
      <c r="D1308" s="45"/>
      <c r="E1308" s="107"/>
      <c r="F1308" s="107"/>
      <c r="G1308" s="107"/>
      <c r="H1308" s="93"/>
      <c r="I1308" s="64"/>
      <c r="J1308" s="64"/>
      <c r="K1308" s="66"/>
      <c r="L1308" s="55"/>
      <c r="M1308" s="46"/>
      <c r="N1308" s="48"/>
      <c r="O1308" s="58"/>
      <c r="P1308" s="61"/>
      <c r="S1308" s="38"/>
    </row>
    <row r="1309" spans="1:19" x14ac:dyDescent="0.25">
      <c r="J1309" s="65"/>
      <c r="L1309" s="55"/>
      <c r="M1309" s="46"/>
      <c r="N1309" s="48"/>
      <c r="O1309" s="58"/>
      <c r="P1309" s="61"/>
      <c r="S1309" s="38"/>
    </row>
    <row r="1310" spans="1:19" x14ac:dyDescent="0.25">
      <c r="J1310" s="65"/>
      <c r="L1310" s="55"/>
      <c r="M1310" s="46"/>
      <c r="N1310" s="48"/>
      <c r="O1310" s="58"/>
      <c r="P1310" s="61"/>
      <c r="S1310" s="38"/>
    </row>
    <row r="1311" spans="1:19" x14ac:dyDescent="0.25">
      <c r="J1311" s="65"/>
      <c r="L1311" s="55"/>
      <c r="M1311" s="46"/>
      <c r="N1311" s="48"/>
      <c r="O1311" s="58"/>
      <c r="P1311" s="61"/>
      <c r="S1311" s="38"/>
    </row>
    <row r="1312" spans="1:19" x14ac:dyDescent="0.25">
      <c r="D1312" s="45"/>
      <c r="J1312" s="65"/>
      <c r="L1312" s="55"/>
      <c r="M1312" s="46"/>
      <c r="N1312" s="48"/>
      <c r="O1312" s="58"/>
      <c r="P1312" s="61"/>
      <c r="S1312" s="38"/>
    </row>
    <row r="1313" spans="1:19" x14ac:dyDescent="0.25">
      <c r="A1313" s="90"/>
      <c r="B1313" s="45"/>
      <c r="C1313" s="45"/>
      <c r="D1313" s="45"/>
      <c r="E1313" s="107"/>
      <c r="F1313" s="107"/>
      <c r="G1313" s="107"/>
      <c r="H1313" s="93"/>
      <c r="I1313" s="64"/>
      <c r="J1313" s="64"/>
      <c r="K1313" s="66"/>
      <c r="L1313" s="55"/>
      <c r="M1313" s="46"/>
      <c r="N1313" s="48"/>
      <c r="O1313" s="58"/>
      <c r="P1313" s="61"/>
      <c r="S1313" s="38"/>
    </row>
    <row r="1314" spans="1:19" x14ac:dyDescent="0.25">
      <c r="A1314" s="90"/>
      <c r="B1314" s="45"/>
      <c r="C1314" s="45"/>
      <c r="D1314" s="45"/>
      <c r="E1314" s="107"/>
      <c r="F1314" s="107"/>
      <c r="G1314" s="107"/>
      <c r="H1314" s="93"/>
      <c r="I1314" s="64"/>
      <c r="J1314" s="64"/>
      <c r="K1314" s="66"/>
      <c r="L1314" s="55"/>
      <c r="M1314" s="46"/>
      <c r="N1314" s="48"/>
      <c r="O1314" s="58"/>
      <c r="P1314" s="61"/>
      <c r="S1314" s="38"/>
    </row>
    <row r="1315" spans="1:19" x14ac:dyDescent="0.25">
      <c r="A1315" s="90"/>
      <c r="B1315" s="45"/>
      <c r="C1315" s="45"/>
      <c r="D1315" s="45"/>
      <c r="E1315" s="107"/>
      <c r="F1315" s="107"/>
      <c r="G1315" s="107"/>
      <c r="H1315" s="93"/>
      <c r="I1315" s="64"/>
      <c r="J1315" s="64"/>
      <c r="K1315" s="66"/>
      <c r="L1315" s="55"/>
      <c r="M1315" s="46"/>
      <c r="N1315" s="48"/>
      <c r="O1315" s="58"/>
      <c r="P1315" s="61"/>
      <c r="S1315" s="38"/>
    </row>
    <row r="1316" spans="1:19" x14ac:dyDescent="0.25">
      <c r="A1316" s="90"/>
      <c r="B1316" s="45"/>
      <c r="C1316" s="45"/>
      <c r="D1316" s="45"/>
      <c r="E1316" s="107"/>
      <c r="F1316" s="107"/>
      <c r="G1316" s="107"/>
      <c r="H1316" s="93"/>
      <c r="I1316" s="64"/>
      <c r="J1316" s="64"/>
      <c r="K1316" s="66"/>
      <c r="L1316" s="55"/>
      <c r="M1316" s="46"/>
      <c r="N1316" s="48"/>
      <c r="O1316" s="58"/>
      <c r="P1316" s="61"/>
      <c r="S1316" s="38"/>
    </row>
    <row r="1317" spans="1:19" x14ac:dyDescent="0.25">
      <c r="A1317" s="90"/>
      <c r="B1317" s="45"/>
      <c r="C1317" s="45"/>
      <c r="D1317" s="45"/>
      <c r="E1317" s="107"/>
      <c r="F1317" s="107"/>
      <c r="G1317" s="107"/>
      <c r="H1317" s="93"/>
      <c r="I1317" s="64"/>
      <c r="J1317" s="64"/>
      <c r="K1317" s="66"/>
      <c r="L1317" s="55"/>
      <c r="M1317" s="46"/>
      <c r="N1317" s="48"/>
      <c r="O1317" s="58"/>
      <c r="P1317" s="61"/>
      <c r="S1317" s="38"/>
    </row>
    <row r="1318" spans="1:19" x14ac:dyDescent="0.25">
      <c r="A1318" s="90"/>
      <c r="B1318" s="45"/>
      <c r="C1318" s="45"/>
      <c r="D1318" s="45"/>
      <c r="E1318" s="107"/>
      <c r="F1318" s="107"/>
      <c r="G1318" s="107"/>
      <c r="H1318" s="93"/>
      <c r="I1318" s="64"/>
      <c r="J1318" s="64"/>
      <c r="K1318" s="66"/>
      <c r="L1318" s="55"/>
      <c r="M1318" s="46"/>
      <c r="N1318" s="48"/>
      <c r="O1318" s="58"/>
      <c r="P1318" s="61"/>
      <c r="S1318" s="38"/>
    </row>
    <row r="1319" spans="1:19" x14ac:dyDescent="0.25">
      <c r="A1319" s="90"/>
      <c r="B1319" s="45"/>
      <c r="C1319" s="45"/>
      <c r="D1319" s="45"/>
      <c r="E1319" s="107"/>
      <c r="F1319" s="107"/>
      <c r="G1319" s="107"/>
      <c r="H1319" s="93"/>
      <c r="I1319" s="64"/>
      <c r="J1319" s="64"/>
      <c r="K1319" s="66"/>
      <c r="L1319" s="55"/>
      <c r="M1319" s="46"/>
      <c r="N1319" s="48"/>
      <c r="O1319" s="58"/>
      <c r="P1319" s="61"/>
      <c r="S1319" s="38"/>
    </row>
    <row r="1320" spans="1:19" x14ac:dyDescent="0.25">
      <c r="A1320" s="90"/>
      <c r="B1320" s="45"/>
      <c r="C1320" s="45"/>
      <c r="D1320" s="45"/>
      <c r="E1320" s="107"/>
      <c r="F1320" s="107"/>
      <c r="G1320" s="107"/>
      <c r="H1320" s="93"/>
      <c r="I1320" s="64"/>
      <c r="J1320" s="64"/>
      <c r="K1320" s="66"/>
      <c r="L1320" s="55"/>
      <c r="M1320" s="46"/>
      <c r="N1320" s="48"/>
      <c r="O1320" s="58"/>
      <c r="P1320" s="61"/>
      <c r="S1320" s="38"/>
    </row>
    <row r="1321" spans="1:19" x14ac:dyDescent="0.25">
      <c r="A1321" s="90"/>
      <c r="B1321" s="45"/>
      <c r="C1321" s="45"/>
      <c r="D1321" s="45"/>
      <c r="E1321" s="107"/>
      <c r="F1321" s="107"/>
      <c r="G1321" s="107"/>
      <c r="H1321" s="93"/>
      <c r="I1321" s="64"/>
      <c r="J1321" s="64"/>
      <c r="K1321" s="66"/>
      <c r="L1321" s="55"/>
      <c r="M1321" s="46"/>
      <c r="N1321" s="48"/>
      <c r="O1321" s="58"/>
      <c r="P1321" s="61"/>
      <c r="S1321" s="38"/>
    </row>
    <row r="1322" spans="1:19" x14ac:dyDescent="0.25">
      <c r="J1322" s="65"/>
      <c r="L1322" s="55"/>
      <c r="M1322" s="46"/>
      <c r="N1322" s="48"/>
      <c r="O1322" s="58"/>
      <c r="P1322" s="61"/>
      <c r="S1322" s="38"/>
    </row>
    <row r="1323" spans="1:19" x14ac:dyDescent="0.25">
      <c r="J1323" s="65"/>
      <c r="L1323" s="55"/>
      <c r="M1323" s="46"/>
      <c r="N1323" s="48"/>
      <c r="O1323" s="58"/>
      <c r="P1323" s="61"/>
      <c r="S1323" s="38"/>
    </row>
    <row r="1324" spans="1:19" x14ac:dyDescent="0.25">
      <c r="J1324" s="65"/>
      <c r="L1324" s="55"/>
      <c r="M1324" s="46"/>
      <c r="N1324" s="48"/>
      <c r="O1324" s="58"/>
      <c r="P1324" s="61"/>
      <c r="S1324" s="38"/>
    </row>
    <row r="1325" spans="1:19" x14ac:dyDescent="0.25">
      <c r="D1325" s="45"/>
      <c r="J1325" s="65"/>
      <c r="L1325" s="55"/>
      <c r="M1325" s="46"/>
      <c r="N1325" s="48"/>
      <c r="O1325" s="58"/>
      <c r="P1325" s="61"/>
      <c r="S1325" s="38"/>
    </row>
    <row r="1326" spans="1:19" x14ac:dyDescent="0.25">
      <c r="A1326" s="90"/>
      <c r="B1326" s="45"/>
      <c r="C1326" s="45"/>
      <c r="D1326" s="45"/>
      <c r="E1326" s="107"/>
      <c r="F1326" s="107"/>
      <c r="G1326" s="107"/>
      <c r="H1326" s="93"/>
      <c r="I1326" s="64"/>
      <c r="J1326" s="64"/>
      <c r="K1326" s="66"/>
      <c r="L1326" s="55"/>
      <c r="M1326" s="46"/>
      <c r="N1326" s="48"/>
      <c r="O1326" s="58"/>
      <c r="P1326" s="61"/>
      <c r="S1326" s="38"/>
    </row>
    <row r="1327" spans="1:19" x14ac:dyDescent="0.25">
      <c r="A1327" s="90"/>
      <c r="B1327" s="45"/>
      <c r="C1327" s="45"/>
      <c r="D1327" s="45"/>
      <c r="E1327" s="107"/>
      <c r="F1327" s="107"/>
      <c r="G1327" s="107"/>
      <c r="H1327" s="93"/>
      <c r="I1327" s="64"/>
      <c r="J1327" s="64"/>
      <c r="K1327" s="66"/>
      <c r="L1327" s="55"/>
      <c r="M1327" s="46"/>
      <c r="N1327" s="48"/>
      <c r="O1327" s="58"/>
      <c r="P1327" s="61"/>
      <c r="S1327" s="38"/>
    </row>
    <row r="1328" spans="1:19" x14ac:dyDescent="0.25">
      <c r="A1328" s="90"/>
      <c r="B1328" s="45"/>
      <c r="C1328" s="45"/>
      <c r="D1328" s="45"/>
      <c r="E1328" s="107"/>
      <c r="F1328" s="107"/>
      <c r="G1328" s="107"/>
      <c r="H1328" s="93"/>
      <c r="I1328" s="64"/>
      <c r="J1328" s="64"/>
      <c r="K1328" s="66"/>
      <c r="L1328" s="55"/>
      <c r="M1328" s="46"/>
      <c r="N1328" s="48"/>
      <c r="O1328" s="58"/>
      <c r="P1328" s="61"/>
      <c r="S1328" s="38"/>
    </row>
    <row r="1329" spans="1:19" x14ac:dyDescent="0.25">
      <c r="A1329" s="90"/>
      <c r="B1329" s="45"/>
      <c r="C1329" s="45"/>
      <c r="D1329" s="45"/>
      <c r="E1329" s="107"/>
      <c r="F1329" s="107"/>
      <c r="G1329" s="107"/>
      <c r="H1329" s="93"/>
      <c r="I1329" s="64"/>
      <c r="J1329" s="64"/>
      <c r="K1329" s="66"/>
      <c r="L1329" s="55"/>
      <c r="M1329" s="46"/>
      <c r="N1329" s="48"/>
      <c r="O1329" s="58"/>
      <c r="P1329" s="61"/>
      <c r="S1329" s="38"/>
    </row>
    <row r="1330" spans="1:19" x14ac:dyDescent="0.25">
      <c r="A1330" s="90"/>
      <c r="B1330" s="45"/>
      <c r="C1330" s="45"/>
      <c r="D1330" s="45"/>
      <c r="E1330" s="107"/>
      <c r="F1330" s="107"/>
      <c r="G1330" s="107"/>
      <c r="H1330" s="93"/>
      <c r="I1330" s="64"/>
      <c r="J1330" s="64"/>
      <c r="K1330" s="66"/>
      <c r="L1330" s="55"/>
      <c r="M1330" s="46"/>
      <c r="N1330" s="48"/>
      <c r="O1330" s="58"/>
      <c r="P1330" s="61"/>
      <c r="S1330" s="38"/>
    </row>
    <row r="1331" spans="1:19" x14ac:dyDescent="0.25">
      <c r="A1331" s="90"/>
      <c r="B1331" s="45"/>
      <c r="C1331" s="45"/>
      <c r="D1331" s="45"/>
      <c r="E1331" s="107"/>
      <c r="F1331" s="107"/>
      <c r="G1331" s="107"/>
      <c r="H1331" s="93"/>
      <c r="I1331" s="64"/>
      <c r="J1331" s="64"/>
      <c r="K1331" s="66"/>
      <c r="L1331" s="55"/>
      <c r="M1331" s="46"/>
      <c r="N1331" s="48"/>
      <c r="O1331" s="58"/>
      <c r="P1331" s="61"/>
      <c r="S1331" s="38"/>
    </row>
    <row r="1332" spans="1:19" x14ac:dyDescent="0.25">
      <c r="A1332" s="90"/>
      <c r="B1332" s="45"/>
      <c r="C1332" s="45"/>
      <c r="D1332" s="45"/>
      <c r="E1332" s="107"/>
      <c r="F1332" s="107"/>
      <c r="G1332" s="107"/>
      <c r="H1332" s="93"/>
      <c r="I1332" s="64"/>
      <c r="J1332" s="64"/>
      <c r="K1332" s="66"/>
      <c r="L1332" s="55"/>
      <c r="M1332" s="46"/>
      <c r="N1332" s="48"/>
      <c r="O1332" s="58"/>
      <c r="P1332" s="61"/>
      <c r="S1332" s="38"/>
    </row>
    <row r="1333" spans="1:19" x14ac:dyDescent="0.25">
      <c r="A1333" s="90"/>
      <c r="B1333" s="45"/>
      <c r="C1333" s="45"/>
      <c r="D1333" s="45"/>
      <c r="E1333" s="107"/>
      <c r="F1333" s="107"/>
      <c r="G1333" s="107"/>
      <c r="H1333" s="93"/>
      <c r="I1333" s="64"/>
      <c r="J1333" s="64"/>
      <c r="K1333" s="66"/>
      <c r="L1333" s="55"/>
      <c r="M1333" s="46"/>
      <c r="N1333" s="48"/>
      <c r="O1333" s="58"/>
      <c r="P1333" s="61"/>
      <c r="S1333" s="38"/>
    </row>
    <row r="1334" spans="1:19" x14ac:dyDescent="0.25">
      <c r="A1334" s="90"/>
      <c r="B1334" s="45"/>
      <c r="C1334" s="45"/>
      <c r="D1334" s="45"/>
      <c r="E1334" s="107"/>
      <c r="F1334" s="107"/>
      <c r="G1334" s="107"/>
      <c r="H1334" s="93"/>
      <c r="I1334" s="64"/>
      <c r="J1334" s="64"/>
      <c r="K1334" s="66"/>
      <c r="L1334" s="55"/>
      <c r="M1334" s="46"/>
      <c r="N1334" s="48"/>
      <c r="O1334" s="58"/>
      <c r="P1334" s="61"/>
      <c r="S1334" s="38"/>
    </row>
    <row r="1335" spans="1:19" x14ac:dyDescent="0.25">
      <c r="J1335" s="65"/>
      <c r="L1335" s="55"/>
      <c r="M1335" s="46"/>
      <c r="N1335" s="48"/>
      <c r="O1335" s="58"/>
      <c r="P1335" s="61"/>
      <c r="S1335" s="38"/>
    </row>
    <row r="1336" spans="1:19" x14ac:dyDescent="0.25">
      <c r="J1336" s="65"/>
      <c r="L1336" s="55"/>
      <c r="M1336" s="46"/>
      <c r="N1336" s="48"/>
      <c r="O1336" s="58"/>
      <c r="P1336" s="61"/>
      <c r="S1336" s="38"/>
    </row>
    <row r="1337" spans="1:19" x14ac:dyDescent="0.25">
      <c r="J1337" s="65"/>
      <c r="L1337" s="55"/>
      <c r="M1337" s="46"/>
      <c r="N1337" s="48"/>
      <c r="O1337" s="58"/>
      <c r="P1337" s="61"/>
      <c r="S1337" s="38"/>
    </row>
    <row r="1338" spans="1:19" x14ac:dyDescent="0.25">
      <c r="D1338" s="45"/>
      <c r="J1338" s="65"/>
      <c r="L1338" s="55"/>
      <c r="M1338" s="46"/>
      <c r="N1338" s="48"/>
      <c r="O1338" s="58"/>
      <c r="P1338" s="61"/>
      <c r="S1338" s="38"/>
    </row>
    <row r="1339" spans="1:19" x14ac:dyDescent="0.25">
      <c r="A1339" s="90"/>
      <c r="B1339" s="45"/>
      <c r="C1339" s="45"/>
      <c r="D1339" s="45"/>
      <c r="E1339" s="107"/>
      <c r="F1339" s="107"/>
      <c r="G1339" s="107"/>
      <c r="H1339" s="93"/>
      <c r="I1339" s="64"/>
      <c r="J1339" s="64"/>
      <c r="K1339" s="66"/>
      <c r="L1339" s="55"/>
      <c r="M1339" s="46"/>
      <c r="N1339" s="48"/>
      <c r="O1339" s="58"/>
      <c r="P1339" s="61"/>
      <c r="S1339" s="38"/>
    </row>
    <row r="1340" spans="1:19" x14ac:dyDescent="0.25">
      <c r="A1340" s="90"/>
      <c r="B1340" s="45"/>
      <c r="C1340" s="45"/>
      <c r="D1340" s="45"/>
      <c r="E1340" s="107"/>
      <c r="F1340" s="107"/>
      <c r="G1340" s="107"/>
      <c r="H1340" s="93"/>
      <c r="I1340" s="64"/>
      <c r="J1340" s="64"/>
      <c r="K1340" s="66"/>
      <c r="L1340" s="55"/>
      <c r="M1340" s="46"/>
      <c r="N1340" s="48"/>
      <c r="O1340" s="58"/>
      <c r="P1340" s="61"/>
      <c r="S1340" s="38"/>
    </row>
    <row r="1341" spans="1:19" x14ac:dyDescent="0.25">
      <c r="A1341" s="90"/>
      <c r="B1341" s="45"/>
      <c r="C1341" s="45"/>
      <c r="D1341" s="45"/>
      <c r="E1341" s="107"/>
      <c r="F1341" s="107"/>
      <c r="G1341" s="107"/>
      <c r="H1341" s="93"/>
      <c r="I1341" s="64"/>
      <c r="J1341" s="64"/>
      <c r="K1341" s="66"/>
      <c r="L1341" s="55"/>
      <c r="M1341" s="46"/>
      <c r="N1341" s="48"/>
      <c r="O1341" s="58"/>
      <c r="P1341" s="61"/>
      <c r="S1341" s="38"/>
    </row>
    <row r="1342" spans="1:19" x14ac:dyDescent="0.25">
      <c r="A1342" s="90"/>
      <c r="B1342" s="45"/>
      <c r="C1342" s="45"/>
      <c r="D1342" s="45"/>
      <c r="E1342" s="107"/>
      <c r="F1342" s="107"/>
      <c r="G1342" s="107"/>
      <c r="H1342" s="93"/>
      <c r="I1342" s="64"/>
      <c r="J1342" s="64"/>
      <c r="K1342" s="66"/>
      <c r="L1342" s="55"/>
      <c r="M1342" s="46"/>
      <c r="N1342" s="48"/>
      <c r="O1342" s="58"/>
      <c r="P1342" s="61"/>
      <c r="S1342" s="38"/>
    </row>
    <row r="1343" spans="1:19" x14ac:dyDescent="0.25">
      <c r="A1343" s="90"/>
      <c r="B1343" s="45"/>
      <c r="C1343" s="45"/>
      <c r="D1343" s="45"/>
      <c r="E1343" s="107"/>
      <c r="F1343" s="107"/>
      <c r="G1343" s="107"/>
      <c r="H1343" s="93"/>
      <c r="I1343" s="64"/>
      <c r="J1343" s="64"/>
      <c r="K1343" s="66"/>
      <c r="L1343" s="55"/>
      <c r="M1343" s="46"/>
      <c r="N1343" s="48"/>
      <c r="O1343" s="58"/>
      <c r="P1343" s="61"/>
      <c r="S1343" s="38"/>
    </row>
    <row r="1344" spans="1:19" x14ac:dyDescent="0.25">
      <c r="A1344" s="90"/>
      <c r="B1344" s="45"/>
      <c r="C1344" s="45"/>
      <c r="D1344" s="45"/>
      <c r="E1344" s="107"/>
      <c r="F1344" s="107"/>
      <c r="G1344" s="107"/>
      <c r="H1344" s="93"/>
      <c r="I1344" s="64"/>
      <c r="J1344" s="64"/>
      <c r="K1344" s="66"/>
      <c r="L1344" s="55"/>
      <c r="M1344" s="46"/>
      <c r="N1344" s="48"/>
      <c r="O1344" s="58"/>
      <c r="P1344" s="61"/>
      <c r="S1344" s="38"/>
    </row>
    <row r="1345" spans="1:19" x14ac:dyDescent="0.25">
      <c r="A1345" s="90"/>
      <c r="B1345" s="45"/>
      <c r="C1345" s="45"/>
      <c r="D1345" s="45"/>
      <c r="E1345" s="107"/>
      <c r="F1345" s="107"/>
      <c r="G1345" s="107"/>
      <c r="H1345" s="93"/>
      <c r="I1345" s="64"/>
      <c r="J1345" s="64"/>
      <c r="K1345" s="66"/>
      <c r="L1345" s="55"/>
      <c r="M1345" s="46"/>
      <c r="N1345" s="48"/>
      <c r="O1345" s="58"/>
      <c r="P1345" s="61"/>
      <c r="S1345" s="38"/>
    </row>
    <row r="1346" spans="1:19" x14ac:dyDescent="0.25">
      <c r="A1346" s="90"/>
      <c r="B1346" s="45"/>
      <c r="C1346" s="45"/>
      <c r="D1346" s="45"/>
      <c r="E1346" s="107"/>
      <c r="F1346" s="107"/>
      <c r="G1346" s="107"/>
      <c r="H1346" s="93"/>
      <c r="I1346" s="64"/>
      <c r="J1346" s="64"/>
      <c r="K1346" s="66"/>
      <c r="L1346" s="55"/>
      <c r="M1346" s="46"/>
      <c r="N1346" s="48"/>
      <c r="O1346" s="58"/>
      <c r="P1346" s="61"/>
      <c r="S1346" s="38"/>
    </row>
    <row r="1347" spans="1:19" x14ac:dyDescent="0.25">
      <c r="A1347" s="90"/>
      <c r="B1347" s="45"/>
      <c r="C1347" s="45"/>
      <c r="D1347" s="45"/>
      <c r="E1347" s="107"/>
      <c r="F1347" s="107"/>
      <c r="G1347" s="107"/>
      <c r="H1347" s="93"/>
      <c r="I1347" s="64"/>
      <c r="J1347" s="64"/>
      <c r="K1347" s="66"/>
      <c r="L1347" s="55"/>
      <c r="M1347" s="46"/>
      <c r="N1347" s="48"/>
      <c r="O1347" s="58"/>
      <c r="P1347" s="61"/>
      <c r="S1347" s="38"/>
    </row>
    <row r="1348" spans="1:19" x14ac:dyDescent="0.25">
      <c r="J1348" s="65"/>
      <c r="L1348" s="55"/>
      <c r="M1348" s="46"/>
      <c r="N1348" s="48"/>
      <c r="O1348" s="58"/>
      <c r="P1348" s="61"/>
      <c r="S1348" s="38"/>
    </row>
    <row r="1349" spans="1:19" x14ac:dyDescent="0.25">
      <c r="J1349" s="65"/>
      <c r="L1349" s="55"/>
      <c r="M1349" s="46"/>
      <c r="N1349" s="48"/>
      <c r="O1349" s="58"/>
      <c r="P1349" s="61"/>
      <c r="S1349" s="38"/>
    </row>
    <row r="1350" spans="1:19" x14ac:dyDescent="0.25">
      <c r="J1350" s="65"/>
      <c r="L1350" s="55"/>
      <c r="M1350" s="46"/>
      <c r="N1350" s="48"/>
      <c r="O1350" s="58"/>
      <c r="P1350" s="61"/>
      <c r="S1350" s="38"/>
    </row>
    <row r="1351" spans="1:19" x14ac:dyDescent="0.25">
      <c r="D1351" s="45"/>
      <c r="J1351" s="65"/>
      <c r="L1351" s="55"/>
      <c r="M1351" s="46"/>
      <c r="N1351" s="48"/>
      <c r="O1351" s="58"/>
      <c r="P1351" s="61"/>
      <c r="S1351" s="38"/>
    </row>
    <row r="1352" spans="1:19" x14ac:dyDescent="0.25">
      <c r="A1352" s="90"/>
      <c r="B1352" s="45"/>
      <c r="C1352" s="45"/>
      <c r="D1352" s="45"/>
      <c r="E1352" s="107"/>
      <c r="F1352" s="107"/>
      <c r="G1352" s="107"/>
      <c r="H1352" s="93"/>
      <c r="I1352" s="64"/>
      <c r="J1352" s="64"/>
      <c r="K1352" s="66"/>
      <c r="L1352" s="55"/>
      <c r="M1352" s="46"/>
      <c r="N1352" s="48"/>
      <c r="O1352" s="58"/>
      <c r="P1352" s="61"/>
      <c r="S1352" s="38"/>
    </row>
    <row r="1353" spans="1:19" x14ac:dyDescent="0.25">
      <c r="A1353" s="90"/>
      <c r="B1353" s="45"/>
      <c r="C1353" s="45"/>
      <c r="D1353" s="45"/>
      <c r="E1353" s="107"/>
      <c r="F1353" s="107"/>
      <c r="G1353" s="107"/>
      <c r="H1353" s="93"/>
      <c r="I1353" s="64"/>
      <c r="J1353" s="64"/>
      <c r="K1353" s="66"/>
      <c r="L1353" s="55"/>
      <c r="M1353" s="46"/>
      <c r="N1353" s="48"/>
      <c r="O1353" s="58"/>
      <c r="P1353" s="61"/>
      <c r="S1353" s="38"/>
    </row>
    <row r="1354" spans="1:19" x14ac:dyDescent="0.25">
      <c r="A1354" s="90"/>
      <c r="B1354" s="45"/>
      <c r="C1354" s="45"/>
      <c r="D1354" s="45"/>
      <c r="E1354" s="107"/>
      <c r="F1354" s="107"/>
      <c r="G1354" s="107"/>
      <c r="H1354" s="93"/>
      <c r="I1354" s="64"/>
      <c r="J1354" s="64"/>
      <c r="K1354" s="66"/>
      <c r="L1354" s="55"/>
      <c r="M1354" s="46"/>
      <c r="N1354" s="48"/>
      <c r="O1354" s="58"/>
      <c r="P1354" s="61"/>
      <c r="S1354" s="38"/>
    </row>
    <row r="1355" spans="1:19" x14ac:dyDescent="0.25">
      <c r="A1355" s="90"/>
      <c r="B1355" s="45"/>
      <c r="C1355" s="45"/>
      <c r="D1355" s="45"/>
      <c r="E1355" s="107"/>
      <c r="F1355" s="107"/>
      <c r="G1355" s="107"/>
      <c r="H1355" s="93"/>
      <c r="I1355" s="64"/>
      <c r="J1355" s="64"/>
      <c r="K1355" s="66"/>
      <c r="L1355" s="55"/>
      <c r="M1355" s="46"/>
      <c r="N1355" s="48"/>
      <c r="O1355" s="58"/>
      <c r="P1355" s="61"/>
      <c r="S1355" s="38"/>
    </row>
    <row r="1356" spans="1:19" x14ac:dyDescent="0.25">
      <c r="A1356" s="90"/>
      <c r="B1356" s="45"/>
      <c r="C1356" s="45"/>
      <c r="D1356" s="45"/>
      <c r="E1356" s="107"/>
      <c r="F1356" s="107"/>
      <c r="G1356" s="107"/>
      <c r="H1356" s="93"/>
      <c r="I1356" s="64"/>
      <c r="J1356" s="64"/>
      <c r="K1356" s="66"/>
      <c r="L1356" s="55"/>
      <c r="M1356" s="46"/>
      <c r="N1356" s="48"/>
      <c r="O1356" s="58"/>
      <c r="P1356" s="61"/>
      <c r="S1356" s="38"/>
    </row>
    <row r="1357" spans="1:19" x14ac:dyDescent="0.25">
      <c r="A1357" s="90"/>
      <c r="B1357" s="45"/>
      <c r="C1357" s="45"/>
      <c r="D1357" s="45"/>
      <c r="E1357" s="107"/>
      <c r="F1357" s="107"/>
      <c r="G1357" s="107"/>
      <c r="H1357" s="93"/>
      <c r="I1357" s="64"/>
      <c r="J1357" s="64"/>
      <c r="K1357" s="66"/>
      <c r="L1357" s="55"/>
      <c r="M1357" s="46"/>
      <c r="N1357" s="48"/>
      <c r="O1357" s="58"/>
      <c r="P1357" s="61"/>
      <c r="S1357" s="38"/>
    </row>
    <row r="1358" spans="1:19" x14ac:dyDescent="0.25">
      <c r="A1358" s="90"/>
      <c r="B1358" s="45"/>
      <c r="C1358" s="45"/>
      <c r="D1358" s="45"/>
      <c r="E1358" s="107"/>
      <c r="F1358" s="107"/>
      <c r="G1358" s="107"/>
      <c r="H1358" s="93"/>
      <c r="I1358" s="64"/>
      <c r="J1358" s="64"/>
      <c r="K1358" s="66"/>
      <c r="L1358" s="55"/>
      <c r="M1358" s="46"/>
      <c r="N1358" s="48"/>
      <c r="O1358" s="58"/>
      <c r="P1358" s="61"/>
      <c r="S1358" s="38"/>
    </row>
    <row r="1359" spans="1:19" x14ac:dyDescent="0.25">
      <c r="A1359" s="90"/>
      <c r="B1359" s="45"/>
      <c r="C1359" s="45"/>
      <c r="D1359" s="45"/>
      <c r="E1359" s="107"/>
      <c r="F1359" s="107"/>
      <c r="G1359" s="107"/>
      <c r="H1359" s="93"/>
      <c r="I1359" s="64"/>
      <c r="J1359" s="64"/>
      <c r="K1359" s="66"/>
      <c r="L1359" s="55"/>
      <c r="M1359" s="46"/>
      <c r="N1359" s="48"/>
      <c r="O1359" s="58"/>
      <c r="P1359" s="61"/>
      <c r="S1359" s="38"/>
    </row>
    <row r="1360" spans="1:19" x14ac:dyDescent="0.25">
      <c r="A1360" s="90"/>
      <c r="B1360" s="45"/>
      <c r="C1360" s="45"/>
      <c r="D1360" s="45"/>
      <c r="E1360" s="107"/>
      <c r="F1360" s="107"/>
      <c r="G1360" s="107"/>
      <c r="H1360" s="93"/>
      <c r="I1360" s="64"/>
      <c r="J1360" s="64"/>
      <c r="K1360" s="66"/>
      <c r="L1360" s="55"/>
      <c r="M1360" s="46"/>
      <c r="N1360" s="48"/>
      <c r="O1360" s="58"/>
      <c r="P1360" s="61"/>
      <c r="S1360" s="38"/>
    </row>
    <row r="1361" spans="1:19" x14ac:dyDescent="0.25">
      <c r="J1361" s="65"/>
      <c r="L1361" s="55"/>
      <c r="M1361" s="46"/>
      <c r="N1361" s="48"/>
      <c r="O1361" s="58"/>
      <c r="P1361" s="61"/>
      <c r="S1361" s="38"/>
    </row>
    <row r="1362" spans="1:19" x14ac:dyDescent="0.25">
      <c r="J1362" s="65"/>
      <c r="L1362" s="55"/>
      <c r="M1362" s="46"/>
      <c r="N1362" s="48"/>
      <c r="O1362" s="58"/>
      <c r="P1362" s="61"/>
      <c r="S1362" s="38"/>
    </row>
    <row r="1363" spans="1:19" x14ac:dyDescent="0.25">
      <c r="J1363" s="65"/>
      <c r="L1363" s="55"/>
      <c r="M1363" s="46"/>
      <c r="N1363" s="48"/>
      <c r="O1363" s="58"/>
      <c r="P1363" s="61"/>
      <c r="S1363" s="38"/>
    </row>
    <row r="1364" spans="1:19" x14ac:dyDescent="0.25">
      <c r="D1364" s="45"/>
      <c r="J1364" s="65"/>
      <c r="L1364" s="55"/>
      <c r="M1364" s="46"/>
      <c r="N1364" s="48"/>
      <c r="O1364" s="58"/>
      <c r="P1364" s="61"/>
      <c r="S1364" s="38"/>
    </row>
    <row r="1365" spans="1:19" x14ac:dyDescent="0.25">
      <c r="A1365" s="90"/>
      <c r="B1365" s="45"/>
      <c r="C1365" s="45"/>
      <c r="D1365" s="45"/>
      <c r="E1365" s="107"/>
      <c r="F1365" s="107"/>
      <c r="G1365" s="107"/>
      <c r="H1365" s="93"/>
      <c r="I1365" s="64"/>
      <c r="J1365" s="64"/>
      <c r="K1365" s="66"/>
      <c r="L1365" s="55"/>
      <c r="M1365" s="46"/>
      <c r="N1365" s="48"/>
      <c r="O1365" s="58"/>
      <c r="P1365" s="61"/>
      <c r="S1365" s="38"/>
    </row>
    <row r="1366" spans="1:19" x14ac:dyDescent="0.25">
      <c r="L1366" s="55"/>
      <c r="M1366" s="46"/>
      <c r="N1366" s="48"/>
      <c r="O1366" s="58"/>
      <c r="P1366" s="61"/>
      <c r="S1366" s="38"/>
    </row>
    <row r="1367" spans="1:19" x14ac:dyDescent="0.25">
      <c r="L1367" s="55"/>
      <c r="M1367" s="46"/>
      <c r="N1367" s="48"/>
      <c r="O1367" s="58"/>
      <c r="P1367" s="61"/>
      <c r="S1367" s="38"/>
    </row>
    <row r="1368" spans="1:19" x14ac:dyDescent="0.25">
      <c r="L1368" s="55"/>
      <c r="M1368" s="46"/>
      <c r="N1368" s="48"/>
      <c r="O1368" s="58"/>
      <c r="P1368" s="61"/>
      <c r="S1368" s="38"/>
    </row>
    <row r="1369" spans="1:19" x14ac:dyDescent="0.25">
      <c r="L1369" s="55"/>
      <c r="M1369" s="46"/>
      <c r="N1369" s="48"/>
      <c r="O1369" s="58"/>
      <c r="P1369" s="61"/>
      <c r="S1369" s="38"/>
    </row>
    <row r="1370" spans="1:19" x14ac:dyDescent="0.25">
      <c r="L1370" s="55"/>
      <c r="M1370" s="46"/>
      <c r="N1370" s="48"/>
      <c r="O1370" s="58"/>
      <c r="P1370" s="61"/>
      <c r="S1370" s="38"/>
    </row>
    <row r="1371" spans="1:19" x14ac:dyDescent="0.25">
      <c r="L1371" s="55"/>
      <c r="M1371" s="46"/>
      <c r="N1371" s="48"/>
      <c r="O1371" s="58"/>
      <c r="P1371" s="61"/>
      <c r="S1371" s="38"/>
    </row>
    <row r="1372" spans="1:19" x14ac:dyDescent="0.25">
      <c r="L1372" s="55"/>
      <c r="M1372" s="46"/>
      <c r="N1372" s="48"/>
      <c r="O1372" s="58"/>
      <c r="P1372" s="61"/>
      <c r="S1372" s="38"/>
    </row>
    <row r="1373" spans="1:19" x14ac:dyDescent="0.25">
      <c r="L1373" s="55"/>
      <c r="M1373" s="46"/>
      <c r="N1373" s="48"/>
      <c r="O1373" s="58"/>
      <c r="P1373" s="61"/>
      <c r="S1373" s="38"/>
    </row>
    <row r="1374" spans="1:19" x14ac:dyDescent="0.25">
      <c r="L1374" s="55"/>
      <c r="M1374" s="46"/>
      <c r="N1374" s="48"/>
      <c r="O1374" s="58"/>
      <c r="P1374" s="61"/>
      <c r="S1374" s="38"/>
    </row>
    <row r="1375" spans="1:19" x14ac:dyDescent="0.25">
      <c r="L1375" s="55"/>
      <c r="M1375" s="46"/>
      <c r="N1375" s="48"/>
      <c r="O1375" s="58"/>
      <c r="P1375" s="61"/>
      <c r="S1375" s="38"/>
    </row>
    <row r="1376" spans="1:19" x14ac:dyDescent="0.25">
      <c r="L1376" s="55"/>
      <c r="M1376" s="46"/>
      <c r="N1376" s="48"/>
      <c r="O1376" s="58"/>
      <c r="P1376" s="61"/>
      <c r="S1376" s="38"/>
    </row>
    <row r="1377" spans="12:19" x14ac:dyDescent="0.25">
      <c r="L1377" s="55"/>
      <c r="M1377" s="46"/>
      <c r="N1377" s="48"/>
      <c r="O1377" s="58"/>
      <c r="P1377" s="61"/>
      <c r="S1377" s="38"/>
    </row>
    <row r="1378" spans="12:19" x14ac:dyDescent="0.25">
      <c r="L1378" s="55"/>
      <c r="M1378" s="46"/>
      <c r="N1378" s="48"/>
      <c r="O1378" s="58"/>
      <c r="P1378" s="61"/>
      <c r="S1378" s="38"/>
    </row>
    <row r="1379" spans="12:19" x14ac:dyDescent="0.25">
      <c r="L1379" s="55"/>
      <c r="M1379" s="46"/>
      <c r="N1379" s="48"/>
      <c r="O1379" s="58"/>
      <c r="P1379" s="61"/>
      <c r="S1379" s="38"/>
    </row>
    <row r="1380" spans="12:19" x14ac:dyDescent="0.25">
      <c r="L1380" s="55"/>
      <c r="M1380" s="46"/>
      <c r="N1380" s="48"/>
      <c r="O1380" s="58"/>
      <c r="P1380" s="61"/>
      <c r="S1380" s="38"/>
    </row>
    <row r="1381" spans="12:19" x14ac:dyDescent="0.25">
      <c r="L1381" s="55"/>
      <c r="M1381" s="46"/>
      <c r="N1381" s="48"/>
      <c r="O1381" s="58"/>
      <c r="P1381" s="61"/>
      <c r="S1381" s="38"/>
    </row>
    <row r="1382" spans="12:19" x14ac:dyDescent="0.25">
      <c r="L1382" s="55"/>
      <c r="M1382" s="46"/>
      <c r="N1382" s="48"/>
      <c r="O1382" s="58"/>
      <c r="P1382" s="61"/>
      <c r="S1382" s="38"/>
    </row>
    <row r="1383" spans="12:19" x14ac:dyDescent="0.25">
      <c r="L1383" s="55"/>
      <c r="M1383" s="46"/>
      <c r="N1383" s="48"/>
      <c r="O1383" s="58"/>
      <c r="P1383" s="61"/>
      <c r="S1383" s="38"/>
    </row>
    <row r="1384" spans="12:19" x14ac:dyDescent="0.25">
      <c r="L1384" s="55"/>
      <c r="M1384" s="46"/>
      <c r="N1384" s="48"/>
      <c r="O1384" s="58"/>
      <c r="P1384" s="61"/>
      <c r="S1384" s="38"/>
    </row>
    <row r="1385" spans="12:19" x14ac:dyDescent="0.25">
      <c r="L1385" s="55"/>
      <c r="M1385" s="46"/>
      <c r="N1385" s="48"/>
      <c r="O1385" s="58"/>
      <c r="P1385" s="61"/>
      <c r="S1385" s="38"/>
    </row>
    <row r="1386" spans="12:19" x14ac:dyDescent="0.25">
      <c r="L1386" s="55"/>
      <c r="M1386" s="46"/>
      <c r="N1386" s="48"/>
      <c r="O1386" s="58"/>
      <c r="P1386" s="61"/>
      <c r="S1386" s="38"/>
    </row>
    <row r="1387" spans="12:19" x14ac:dyDescent="0.25">
      <c r="L1387" s="55"/>
      <c r="M1387" s="46"/>
      <c r="N1387" s="48"/>
      <c r="O1387" s="58"/>
      <c r="P1387" s="61"/>
      <c r="S1387" s="38"/>
    </row>
    <row r="1388" spans="12:19" x14ac:dyDescent="0.25">
      <c r="L1388" s="55"/>
      <c r="M1388" s="46"/>
      <c r="N1388" s="48"/>
      <c r="O1388" s="58"/>
      <c r="P1388" s="61"/>
      <c r="S1388" s="38"/>
    </row>
    <row r="1389" spans="12:19" x14ac:dyDescent="0.25">
      <c r="L1389" s="55"/>
      <c r="M1389" s="46"/>
      <c r="N1389" s="48"/>
      <c r="O1389" s="58"/>
      <c r="P1389" s="61"/>
      <c r="S1389" s="38"/>
    </row>
    <row r="1390" spans="12:19" x14ac:dyDescent="0.25">
      <c r="L1390" s="55"/>
      <c r="M1390" s="46"/>
      <c r="N1390" s="48"/>
      <c r="O1390" s="58"/>
      <c r="P1390" s="61"/>
      <c r="S1390" s="38"/>
    </row>
    <row r="1391" spans="12:19" x14ac:dyDescent="0.25">
      <c r="L1391" s="55"/>
      <c r="M1391" s="46"/>
      <c r="N1391" s="48"/>
      <c r="O1391" s="58"/>
      <c r="P1391" s="61"/>
      <c r="S1391" s="38"/>
    </row>
    <row r="1392" spans="12:19" x14ac:dyDescent="0.25">
      <c r="L1392" s="55"/>
      <c r="M1392" s="46"/>
      <c r="N1392" s="48"/>
      <c r="O1392" s="58"/>
      <c r="P1392" s="61"/>
      <c r="S1392" s="38"/>
    </row>
    <row r="1393" spans="12:19" x14ac:dyDescent="0.25">
      <c r="L1393" s="55"/>
      <c r="M1393" s="46"/>
      <c r="N1393" s="48"/>
      <c r="O1393" s="58"/>
      <c r="P1393" s="61"/>
      <c r="S1393" s="38"/>
    </row>
    <row r="1394" spans="12:19" x14ac:dyDescent="0.25">
      <c r="L1394" s="55"/>
      <c r="M1394" s="46"/>
      <c r="N1394" s="48"/>
      <c r="O1394" s="58"/>
      <c r="P1394" s="61"/>
      <c r="S1394" s="38"/>
    </row>
    <row r="1395" spans="12:19" x14ac:dyDescent="0.25">
      <c r="L1395" s="55"/>
      <c r="M1395" s="46"/>
      <c r="N1395" s="48"/>
      <c r="O1395" s="58"/>
      <c r="P1395" s="61"/>
      <c r="S1395" s="38"/>
    </row>
    <row r="1396" spans="12:19" x14ac:dyDescent="0.25">
      <c r="L1396" s="55"/>
      <c r="M1396" s="46"/>
      <c r="N1396" s="48"/>
      <c r="O1396" s="58"/>
      <c r="P1396" s="61"/>
      <c r="S1396" s="38"/>
    </row>
    <row r="1397" spans="12:19" x14ac:dyDescent="0.25">
      <c r="L1397" s="55"/>
      <c r="M1397" s="46"/>
      <c r="N1397" s="48"/>
      <c r="O1397" s="58"/>
      <c r="P1397" s="61"/>
      <c r="S1397" s="38"/>
    </row>
    <row r="1398" spans="12:19" x14ac:dyDescent="0.25">
      <c r="L1398" s="55"/>
      <c r="M1398" s="46"/>
      <c r="N1398" s="48"/>
      <c r="O1398" s="58"/>
      <c r="P1398" s="61"/>
      <c r="S1398" s="38"/>
    </row>
    <row r="1399" spans="12:19" x14ac:dyDescent="0.25">
      <c r="L1399" s="55"/>
      <c r="M1399" s="46"/>
      <c r="N1399" s="48"/>
      <c r="O1399" s="58"/>
      <c r="P1399" s="61"/>
      <c r="S1399" s="38"/>
    </row>
    <row r="1400" spans="12:19" x14ac:dyDescent="0.25">
      <c r="L1400" s="55"/>
      <c r="M1400" s="46"/>
      <c r="N1400" s="48"/>
      <c r="O1400" s="58"/>
      <c r="P1400" s="61"/>
      <c r="S1400" s="38"/>
    </row>
    <row r="1401" spans="12:19" x14ac:dyDescent="0.25">
      <c r="L1401" s="55"/>
      <c r="M1401" s="46"/>
      <c r="N1401" s="48"/>
      <c r="O1401" s="58"/>
      <c r="P1401" s="61"/>
      <c r="S1401" s="38"/>
    </row>
    <row r="1402" spans="12:19" x14ac:dyDescent="0.25">
      <c r="L1402" s="55"/>
      <c r="M1402" s="46"/>
      <c r="N1402" s="48"/>
      <c r="O1402" s="58"/>
      <c r="P1402" s="61"/>
      <c r="S1402" s="38"/>
    </row>
    <row r="1403" spans="12:19" x14ac:dyDescent="0.25">
      <c r="L1403" s="55"/>
      <c r="M1403" s="46"/>
      <c r="N1403" s="48"/>
      <c r="O1403" s="58"/>
      <c r="P1403" s="61"/>
      <c r="S1403" s="38"/>
    </row>
    <row r="1404" spans="12:19" x14ac:dyDescent="0.25">
      <c r="L1404" s="55"/>
      <c r="M1404" s="46"/>
      <c r="N1404" s="48"/>
      <c r="O1404" s="58"/>
      <c r="P1404" s="61"/>
      <c r="S1404" s="38"/>
    </row>
    <row r="1405" spans="12:19" x14ac:dyDescent="0.25">
      <c r="L1405" s="55"/>
      <c r="M1405" s="46"/>
      <c r="N1405" s="48"/>
      <c r="O1405" s="58"/>
      <c r="P1405" s="61"/>
      <c r="S1405" s="38"/>
    </row>
    <row r="1406" spans="12:19" x14ac:dyDescent="0.25">
      <c r="L1406" s="55"/>
      <c r="M1406" s="46"/>
      <c r="N1406" s="48"/>
      <c r="O1406" s="58"/>
      <c r="P1406" s="61"/>
      <c r="S1406" s="38"/>
    </row>
    <row r="1407" spans="12:19" x14ac:dyDescent="0.25">
      <c r="L1407" s="55"/>
      <c r="M1407" s="46"/>
      <c r="N1407" s="48"/>
      <c r="O1407" s="58"/>
      <c r="P1407" s="61"/>
      <c r="S1407" s="38"/>
    </row>
    <row r="1408" spans="12:19" x14ac:dyDescent="0.25">
      <c r="L1408" s="55"/>
      <c r="M1408" s="46"/>
      <c r="N1408" s="48"/>
      <c r="O1408" s="58"/>
      <c r="P1408" s="61"/>
      <c r="S1408" s="38"/>
    </row>
    <row r="1409" spans="12:19" x14ac:dyDescent="0.25">
      <c r="L1409" s="55"/>
      <c r="M1409" s="46"/>
      <c r="N1409" s="48"/>
      <c r="O1409" s="58"/>
      <c r="P1409" s="61"/>
      <c r="S1409" s="38"/>
    </row>
    <row r="1410" spans="12:19" x14ac:dyDescent="0.25">
      <c r="L1410" s="55"/>
      <c r="M1410" s="46"/>
      <c r="N1410" s="48"/>
      <c r="O1410" s="58"/>
      <c r="P1410" s="61"/>
      <c r="S1410" s="38"/>
    </row>
    <row r="1411" spans="12:19" x14ac:dyDescent="0.25">
      <c r="L1411" s="55"/>
      <c r="M1411" s="46"/>
      <c r="N1411" s="48"/>
      <c r="O1411" s="58"/>
      <c r="P1411" s="61"/>
      <c r="S1411" s="38"/>
    </row>
    <row r="1412" spans="12:19" x14ac:dyDescent="0.25">
      <c r="L1412" s="55"/>
      <c r="M1412" s="46"/>
      <c r="N1412" s="48"/>
      <c r="O1412" s="58"/>
      <c r="P1412" s="61"/>
      <c r="S1412" s="38"/>
    </row>
    <row r="1413" spans="12:19" x14ac:dyDescent="0.25">
      <c r="L1413" s="55"/>
      <c r="M1413" s="46"/>
      <c r="N1413" s="48"/>
      <c r="O1413" s="58"/>
      <c r="P1413" s="61"/>
      <c r="S1413" s="38"/>
    </row>
    <row r="1414" spans="12:19" x14ac:dyDescent="0.25">
      <c r="L1414" s="55"/>
      <c r="M1414" s="46"/>
      <c r="N1414" s="48"/>
      <c r="O1414" s="58"/>
      <c r="P1414" s="61"/>
      <c r="S1414" s="38"/>
    </row>
    <row r="1415" spans="12:19" x14ac:dyDescent="0.25">
      <c r="L1415" s="55"/>
      <c r="M1415" s="46"/>
      <c r="N1415" s="48"/>
      <c r="O1415" s="58"/>
      <c r="P1415" s="61"/>
      <c r="S1415" s="38"/>
    </row>
    <row r="1416" spans="12:19" x14ac:dyDescent="0.25">
      <c r="L1416" s="55"/>
      <c r="M1416" s="46"/>
      <c r="N1416" s="48"/>
      <c r="O1416" s="58"/>
      <c r="P1416" s="61"/>
      <c r="S1416" s="38"/>
    </row>
    <row r="1417" spans="12:19" x14ac:dyDescent="0.25">
      <c r="L1417" s="55"/>
      <c r="M1417" s="46"/>
      <c r="N1417" s="48"/>
      <c r="O1417" s="58"/>
      <c r="P1417" s="61"/>
      <c r="S1417" s="38"/>
    </row>
    <row r="1418" spans="12:19" x14ac:dyDescent="0.25">
      <c r="L1418" s="55"/>
      <c r="M1418" s="46"/>
      <c r="N1418" s="48"/>
      <c r="O1418" s="58"/>
      <c r="P1418" s="61"/>
      <c r="S1418" s="38"/>
    </row>
    <row r="1419" spans="12:19" x14ac:dyDescent="0.25">
      <c r="L1419" s="55"/>
      <c r="M1419" s="46"/>
      <c r="N1419" s="48"/>
      <c r="O1419" s="58"/>
      <c r="P1419" s="61"/>
      <c r="S1419" s="38"/>
    </row>
    <row r="1420" spans="12:19" x14ac:dyDescent="0.25">
      <c r="L1420" s="55"/>
      <c r="M1420" s="46"/>
      <c r="N1420" s="48"/>
      <c r="O1420" s="58"/>
      <c r="P1420" s="61"/>
      <c r="S1420" s="38"/>
    </row>
    <row r="1421" spans="12:19" x14ac:dyDescent="0.25">
      <c r="L1421" s="55"/>
      <c r="M1421" s="46"/>
      <c r="N1421" s="48"/>
      <c r="O1421" s="58"/>
      <c r="P1421" s="61"/>
      <c r="S1421" s="38"/>
    </row>
    <row r="1422" spans="12:19" x14ac:dyDescent="0.25">
      <c r="L1422" s="55"/>
      <c r="M1422" s="46"/>
      <c r="N1422" s="48"/>
      <c r="O1422" s="58"/>
      <c r="P1422" s="61"/>
      <c r="S1422" s="38"/>
    </row>
    <row r="1423" spans="12:19" x14ac:dyDescent="0.25">
      <c r="L1423" s="55"/>
      <c r="M1423" s="46"/>
      <c r="N1423" s="48"/>
      <c r="O1423" s="58"/>
      <c r="P1423" s="61"/>
      <c r="S1423" s="38"/>
    </row>
    <row r="1424" spans="12:19" x14ac:dyDescent="0.25">
      <c r="L1424" s="55"/>
      <c r="M1424" s="46"/>
      <c r="N1424" s="48"/>
      <c r="O1424" s="58"/>
      <c r="P1424" s="61"/>
      <c r="S1424" s="38"/>
    </row>
    <row r="1425" spans="12:19" x14ac:dyDescent="0.25">
      <c r="L1425" s="55"/>
      <c r="M1425" s="46"/>
      <c r="N1425" s="48"/>
      <c r="O1425" s="58"/>
      <c r="P1425" s="61"/>
      <c r="S1425" s="38"/>
    </row>
    <row r="1426" spans="12:19" x14ac:dyDescent="0.25">
      <c r="L1426" s="55"/>
      <c r="M1426" s="46"/>
      <c r="N1426" s="48"/>
      <c r="O1426" s="58"/>
      <c r="P1426" s="61"/>
      <c r="S1426" s="38"/>
    </row>
    <row r="1427" spans="12:19" x14ac:dyDescent="0.25">
      <c r="L1427" s="55"/>
      <c r="M1427" s="46"/>
      <c r="N1427" s="48"/>
      <c r="O1427" s="58"/>
      <c r="P1427" s="61"/>
      <c r="S1427" s="38"/>
    </row>
    <row r="1428" spans="12:19" x14ac:dyDescent="0.25">
      <c r="L1428" s="55"/>
      <c r="M1428" s="46"/>
      <c r="N1428" s="48"/>
      <c r="O1428" s="58"/>
      <c r="P1428" s="61"/>
      <c r="S1428" s="38"/>
    </row>
    <row r="1429" spans="12:19" x14ac:dyDescent="0.25">
      <c r="L1429" s="55"/>
      <c r="M1429" s="46"/>
      <c r="N1429" s="48"/>
      <c r="O1429" s="58"/>
      <c r="P1429" s="61"/>
      <c r="S1429" s="38"/>
    </row>
    <row r="1430" spans="12:19" x14ac:dyDescent="0.25">
      <c r="L1430" s="55"/>
      <c r="M1430" s="46"/>
      <c r="N1430" s="48"/>
      <c r="O1430" s="58"/>
      <c r="P1430" s="61"/>
      <c r="S1430" s="38"/>
    </row>
    <row r="1431" spans="12:19" x14ac:dyDescent="0.25">
      <c r="L1431" s="55"/>
      <c r="M1431" s="46"/>
      <c r="N1431" s="48"/>
      <c r="O1431" s="58"/>
      <c r="P1431" s="61"/>
      <c r="S1431" s="38"/>
    </row>
    <row r="1432" spans="12:19" x14ac:dyDescent="0.25">
      <c r="L1432" s="55"/>
      <c r="M1432" s="46"/>
      <c r="N1432" s="48"/>
      <c r="O1432" s="58"/>
      <c r="P1432" s="61"/>
      <c r="S1432" s="38"/>
    </row>
    <row r="1433" spans="12:19" x14ac:dyDescent="0.25">
      <c r="L1433" s="55"/>
      <c r="M1433" s="46"/>
      <c r="N1433" s="48"/>
      <c r="O1433" s="58"/>
      <c r="P1433" s="61"/>
      <c r="S1433" s="38"/>
    </row>
    <row r="1434" spans="12:19" x14ac:dyDescent="0.25">
      <c r="L1434" s="55"/>
      <c r="M1434" s="46"/>
      <c r="N1434" s="48"/>
      <c r="O1434" s="58"/>
      <c r="P1434" s="61"/>
      <c r="S1434" s="38"/>
    </row>
    <row r="1435" spans="12:19" x14ac:dyDescent="0.25">
      <c r="L1435" s="55"/>
      <c r="M1435" s="46"/>
      <c r="N1435" s="48"/>
      <c r="O1435" s="58"/>
      <c r="P1435" s="61"/>
      <c r="S1435" s="38"/>
    </row>
    <row r="1436" spans="12:19" x14ac:dyDescent="0.25">
      <c r="L1436" s="55"/>
      <c r="M1436" s="46"/>
      <c r="N1436" s="48"/>
      <c r="O1436" s="58"/>
      <c r="P1436" s="61"/>
      <c r="S1436" s="38"/>
    </row>
    <row r="1437" spans="12:19" x14ac:dyDescent="0.25">
      <c r="L1437" s="55"/>
      <c r="M1437" s="46"/>
      <c r="N1437" s="48"/>
      <c r="O1437" s="58"/>
      <c r="P1437" s="61"/>
      <c r="S1437" s="38"/>
    </row>
    <row r="1438" spans="12:19" x14ac:dyDescent="0.25">
      <c r="L1438" s="55"/>
      <c r="M1438" s="46"/>
      <c r="N1438" s="48"/>
      <c r="O1438" s="58"/>
      <c r="P1438" s="61"/>
      <c r="S1438" s="38"/>
    </row>
    <row r="1439" spans="12:19" x14ac:dyDescent="0.25">
      <c r="L1439" s="55"/>
      <c r="M1439" s="46"/>
      <c r="N1439" s="48"/>
      <c r="O1439" s="58"/>
      <c r="P1439" s="61"/>
      <c r="S1439" s="38"/>
    </row>
    <row r="1440" spans="12:19" x14ac:dyDescent="0.25">
      <c r="L1440" s="55"/>
      <c r="M1440" s="46"/>
      <c r="N1440" s="48"/>
      <c r="O1440" s="58"/>
      <c r="P1440" s="61"/>
      <c r="S1440" s="38"/>
    </row>
    <row r="1441" spans="12:19" x14ac:dyDescent="0.25">
      <c r="L1441" s="55"/>
      <c r="M1441" s="46"/>
      <c r="N1441" s="48"/>
      <c r="O1441" s="58"/>
      <c r="P1441" s="61"/>
      <c r="S1441" s="38"/>
    </row>
    <row r="1442" spans="12:19" x14ac:dyDescent="0.25">
      <c r="L1442" s="55"/>
      <c r="M1442" s="46"/>
      <c r="N1442" s="48"/>
      <c r="O1442" s="58"/>
      <c r="P1442" s="61"/>
      <c r="S1442" s="38"/>
    </row>
    <row r="1443" spans="12:19" x14ac:dyDescent="0.25">
      <c r="L1443" s="55"/>
      <c r="M1443" s="46"/>
      <c r="N1443" s="48"/>
      <c r="O1443" s="58"/>
      <c r="P1443" s="61"/>
      <c r="S1443" s="38"/>
    </row>
    <row r="1444" spans="12:19" x14ac:dyDescent="0.25">
      <c r="L1444" s="55"/>
      <c r="M1444" s="46"/>
      <c r="N1444" s="48"/>
      <c r="O1444" s="58"/>
      <c r="P1444" s="61"/>
      <c r="S1444" s="38"/>
    </row>
    <row r="1445" spans="12:19" x14ac:dyDescent="0.25">
      <c r="L1445" s="55"/>
      <c r="M1445" s="46"/>
      <c r="N1445" s="48"/>
      <c r="O1445" s="58"/>
      <c r="P1445" s="61"/>
      <c r="S1445" s="38"/>
    </row>
    <row r="1446" spans="12:19" x14ac:dyDescent="0.25">
      <c r="L1446" s="55"/>
      <c r="M1446" s="46"/>
      <c r="N1446" s="48"/>
      <c r="O1446" s="58"/>
      <c r="P1446" s="61"/>
      <c r="S1446" s="38"/>
    </row>
    <row r="1447" spans="12:19" x14ac:dyDescent="0.25">
      <c r="L1447" s="55"/>
      <c r="M1447" s="46"/>
      <c r="N1447" s="48"/>
      <c r="O1447" s="58"/>
      <c r="P1447" s="61"/>
      <c r="S1447" s="38"/>
    </row>
    <row r="1448" spans="12:19" x14ac:dyDescent="0.25">
      <c r="L1448" s="55"/>
      <c r="M1448" s="46"/>
      <c r="N1448" s="48"/>
      <c r="O1448" s="58"/>
      <c r="P1448" s="61"/>
      <c r="S1448" s="38"/>
    </row>
    <row r="1449" spans="12:19" x14ac:dyDescent="0.25">
      <c r="L1449" s="55"/>
      <c r="M1449" s="46"/>
      <c r="N1449" s="48"/>
      <c r="O1449" s="58"/>
      <c r="P1449" s="61"/>
      <c r="S1449" s="38"/>
    </row>
    <row r="1450" spans="12:19" x14ac:dyDescent="0.25">
      <c r="L1450" s="55"/>
      <c r="M1450" s="46"/>
      <c r="N1450" s="48"/>
      <c r="O1450" s="58"/>
      <c r="P1450" s="61"/>
      <c r="S1450" s="38"/>
    </row>
    <row r="1451" spans="12:19" x14ac:dyDescent="0.25">
      <c r="L1451" s="55"/>
      <c r="M1451" s="46"/>
      <c r="N1451" s="48"/>
      <c r="O1451" s="58"/>
      <c r="P1451" s="61"/>
      <c r="S1451" s="38"/>
    </row>
    <row r="1452" spans="12:19" x14ac:dyDescent="0.25">
      <c r="L1452" s="55"/>
      <c r="M1452" s="46"/>
      <c r="N1452" s="48"/>
      <c r="O1452" s="58"/>
      <c r="P1452" s="61"/>
      <c r="S1452" s="38"/>
    </row>
    <row r="1453" spans="12:19" x14ac:dyDescent="0.25">
      <c r="L1453" s="55"/>
      <c r="M1453" s="46"/>
      <c r="N1453" s="48"/>
      <c r="O1453" s="58"/>
      <c r="P1453" s="61"/>
      <c r="S1453" s="38"/>
    </row>
    <row r="1454" spans="12:19" x14ac:dyDescent="0.25">
      <c r="L1454" s="55"/>
      <c r="M1454" s="46"/>
      <c r="N1454" s="48"/>
      <c r="O1454" s="58"/>
      <c r="P1454" s="61"/>
      <c r="S1454" s="38"/>
    </row>
    <row r="1455" spans="12:19" x14ac:dyDescent="0.25">
      <c r="L1455" s="55"/>
      <c r="M1455" s="46"/>
      <c r="N1455" s="48"/>
      <c r="O1455" s="58"/>
      <c r="P1455" s="61"/>
      <c r="S1455" s="38"/>
    </row>
    <row r="1456" spans="12:19" x14ac:dyDescent="0.25">
      <c r="L1456" s="55"/>
      <c r="M1456" s="46"/>
      <c r="N1456" s="48"/>
      <c r="O1456" s="58"/>
      <c r="P1456" s="61"/>
    </row>
    <row r="1457" spans="12:16" x14ac:dyDescent="0.25">
      <c r="L1457" s="55"/>
      <c r="M1457" s="46"/>
      <c r="N1457" s="48"/>
      <c r="O1457" s="58"/>
      <c r="P1457" s="61"/>
    </row>
    <row r="1458" spans="12:16" x14ac:dyDescent="0.25">
      <c r="L1458" s="55"/>
      <c r="M1458" s="46"/>
      <c r="N1458" s="48"/>
      <c r="O1458" s="58"/>
      <c r="P1458" s="61"/>
    </row>
    <row r="1459" spans="12:16" x14ac:dyDescent="0.25">
      <c r="L1459" s="55"/>
      <c r="M1459" s="46"/>
      <c r="N1459" s="48"/>
      <c r="O1459" s="58"/>
      <c r="P1459" s="61"/>
    </row>
    <row r="1460" spans="12:16" x14ac:dyDescent="0.25">
      <c r="L1460" s="55"/>
      <c r="M1460" s="46"/>
      <c r="N1460" s="48"/>
      <c r="O1460" s="58"/>
      <c r="P1460" s="61"/>
    </row>
    <row r="1461" spans="12:16" x14ac:dyDescent="0.25">
      <c r="L1461" s="55"/>
      <c r="M1461" s="46"/>
      <c r="N1461" s="48"/>
      <c r="O1461" s="58"/>
      <c r="P1461" s="61"/>
    </row>
    <row r="1462" spans="12:16" x14ac:dyDescent="0.25">
      <c r="L1462" s="55"/>
      <c r="M1462" s="46"/>
      <c r="N1462" s="48"/>
      <c r="O1462" s="58"/>
      <c r="P1462" s="61"/>
    </row>
    <row r="1463" spans="12:16" x14ac:dyDescent="0.25">
      <c r="L1463" s="55"/>
      <c r="M1463" s="46"/>
      <c r="N1463" s="48"/>
      <c r="O1463" s="58"/>
      <c r="P1463" s="61"/>
    </row>
    <row r="1464" spans="12:16" x14ac:dyDescent="0.25">
      <c r="L1464" s="55"/>
      <c r="M1464" s="46"/>
      <c r="N1464" s="48"/>
      <c r="O1464" s="58"/>
      <c r="P1464" s="61"/>
    </row>
    <row r="1465" spans="12:16" x14ac:dyDescent="0.25">
      <c r="L1465" s="55"/>
      <c r="M1465" s="46"/>
      <c r="N1465" s="48"/>
      <c r="O1465" s="58"/>
      <c r="P1465" s="61"/>
    </row>
    <row r="1466" spans="12:16" x14ac:dyDescent="0.25">
      <c r="L1466" s="55"/>
      <c r="M1466" s="46"/>
      <c r="N1466" s="48"/>
      <c r="O1466" s="58"/>
      <c r="P1466" s="61"/>
    </row>
    <row r="1467" spans="12:16" x14ac:dyDescent="0.25">
      <c r="L1467" s="55"/>
      <c r="M1467" s="46"/>
      <c r="N1467" s="48"/>
      <c r="O1467" s="58"/>
      <c r="P1467" s="61"/>
    </row>
    <row r="1468" spans="12:16" x14ac:dyDescent="0.25">
      <c r="L1468" s="55"/>
      <c r="M1468" s="46"/>
      <c r="N1468" s="48"/>
      <c r="O1468" s="58"/>
      <c r="P1468" s="61"/>
    </row>
    <row r="1469" spans="12:16" x14ac:dyDescent="0.25">
      <c r="L1469" s="55"/>
      <c r="M1469" s="46"/>
      <c r="N1469" s="48"/>
      <c r="O1469" s="58"/>
      <c r="P1469" s="61"/>
    </row>
    <row r="1470" spans="12:16" x14ac:dyDescent="0.25">
      <c r="L1470" s="55"/>
      <c r="M1470" s="46"/>
      <c r="N1470" s="48"/>
      <c r="O1470" s="58"/>
      <c r="P1470" s="61"/>
    </row>
    <row r="1471" spans="12:16" x14ac:dyDescent="0.25">
      <c r="L1471" s="55"/>
      <c r="M1471" s="46"/>
      <c r="N1471" s="48"/>
      <c r="O1471" s="58"/>
      <c r="P1471" s="61"/>
    </row>
    <row r="1472" spans="12:16" x14ac:dyDescent="0.25">
      <c r="L1472" s="55"/>
      <c r="M1472" s="46"/>
      <c r="N1472" s="48"/>
      <c r="O1472" s="58"/>
      <c r="P1472" s="61"/>
    </row>
    <row r="1473" spans="12:16" x14ac:dyDescent="0.25">
      <c r="L1473" s="55"/>
      <c r="M1473" s="46"/>
      <c r="N1473" s="48"/>
      <c r="O1473" s="58"/>
      <c r="P1473" s="61"/>
    </row>
    <row r="1474" spans="12:16" x14ac:dyDescent="0.25">
      <c r="L1474" s="55"/>
      <c r="M1474" s="46"/>
      <c r="N1474" s="48"/>
      <c r="O1474" s="58"/>
      <c r="P1474" s="61"/>
    </row>
    <row r="1475" spans="12:16" x14ac:dyDescent="0.25">
      <c r="L1475" s="55"/>
      <c r="M1475" s="46"/>
      <c r="N1475" s="48"/>
      <c r="O1475" s="58"/>
      <c r="P1475" s="61"/>
    </row>
    <row r="1476" spans="12:16" x14ac:dyDescent="0.25">
      <c r="L1476" s="55"/>
      <c r="M1476" s="46"/>
      <c r="N1476" s="48"/>
      <c r="O1476" s="58"/>
      <c r="P1476" s="61"/>
    </row>
    <row r="1477" spans="12:16" x14ac:dyDescent="0.25">
      <c r="L1477" s="55"/>
      <c r="M1477" s="46"/>
      <c r="N1477" s="48"/>
      <c r="O1477" s="58"/>
      <c r="P1477" s="61"/>
    </row>
    <row r="1478" spans="12:16" x14ac:dyDescent="0.25">
      <c r="L1478" s="55"/>
      <c r="M1478" s="46"/>
      <c r="N1478" s="48"/>
      <c r="O1478" s="58"/>
      <c r="P1478" s="61"/>
    </row>
    <row r="1479" spans="12:16" x14ac:dyDescent="0.25">
      <c r="L1479" s="55"/>
      <c r="M1479" s="46"/>
      <c r="N1479" s="48"/>
      <c r="O1479" s="58"/>
      <c r="P1479" s="61"/>
    </row>
    <row r="1480" spans="12:16" x14ac:dyDescent="0.25">
      <c r="L1480" s="55"/>
      <c r="M1480" s="46"/>
      <c r="N1480" s="48"/>
      <c r="O1480" s="58"/>
      <c r="P1480" s="61"/>
    </row>
    <row r="1481" spans="12:16" x14ac:dyDescent="0.25">
      <c r="L1481" s="55"/>
      <c r="M1481" s="46"/>
      <c r="N1481" s="48"/>
      <c r="O1481" s="58"/>
      <c r="P1481" s="61"/>
    </row>
    <row r="1482" spans="12:16" x14ac:dyDescent="0.25">
      <c r="L1482" s="55"/>
      <c r="M1482" s="46"/>
      <c r="N1482" s="48"/>
      <c r="O1482" s="58"/>
      <c r="P1482" s="61"/>
    </row>
    <row r="1483" spans="12:16" x14ac:dyDescent="0.25">
      <c r="L1483" s="55"/>
      <c r="M1483" s="46"/>
      <c r="N1483" s="48"/>
      <c r="O1483" s="58"/>
      <c r="P1483" s="61"/>
    </row>
    <row r="1484" spans="12:16" x14ac:dyDescent="0.25">
      <c r="L1484" s="55"/>
      <c r="M1484" s="46"/>
      <c r="N1484" s="48"/>
      <c r="O1484" s="58"/>
      <c r="P1484" s="61"/>
    </row>
    <row r="1485" spans="12:16" x14ac:dyDescent="0.25">
      <c r="L1485" s="55"/>
      <c r="M1485" s="46"/>
      <c r="N1485" s="48"/>
      <c r="O1485" s="58"/>
      <c r="P1485" s="61"/>
    </row>
    <row r="1486" spans="12:16" x14ac:dyDescent="0.25">
      <c r="L1486" s="55"/>
      <c r="M1486" s="46"/>
      <c r="N1486" s="48"/>
      <c r="O1486" s="58"/>
      <c r="P1486" s="61"/>
    </row>
    <row r="1487" spans="12:16" x14ac:dyDescent="0.25">
      <c r="L1487" s="55"/>
      <c r="M1487" s="46"/>
      <c r="N1487" s="48"/>
      <c r="O1487" s="58"/>
      <c r="P1487" s="61"/>
    </row>
    <row r="1488" spans="12:16" x14ac:dyDescent="0.25">
      <c r="L1488" s="55"/>
      <c r="M1488" s="46"/>
      <c r="N1488" s="48"/>
      <c r="O1488" s="58"/>
      <c r="P1488" s="61"/>
    </row>
    <row r="1489" spans="12:16" x14ac:dyDescent="0.25">
      <c r="L1489" s="55"/>
      <c r="M1489" s="46"/>
      <c r="N1489" s="48"/>
      <c r="O1489" s="58"/>
      <c r="P1489" s="61"/>
    </row>
    <row r="1490" spans="12:16" x14ac:dyDescent="0.25">
      <c r="L1490" s="55"/>
      <c r="M1490" s="46"/>
      <c r="N1490" s="48"/>
      <c r="O1490" s="58"/>
      <c r="P1490" s="61"/>
    </row>
    <row r="1491" spans="12:16" x14ac:dyDescent="0.25">
      <c r="L1491" s="55"/>
      <c r="M1491" s="46"/>
      <c r="N1491" s="48"/>
      <c r="O1491" s="58"/>
      <c r="P1491" s="61"/>
    </row>
    <row r="1492" spans="12:16" x14ac:dyDescent="0.25">
      <c r="L1492" s="55"/>
      <c r="M1492" s="46"/>
      <c r="N1492" s="48"/>
      <c r="O1492" s="58"/>
      <c r="P1492" s="61"/>
    </row>
    <row r="1493" spans="12:16" x14ac:dyDescent="0.25">
      <c r="L1493" s="55"/>
      <c r="M1493" s="46"/>
      <c r="N1493" s="48"/>
      <c r="O1493" s="58"/>
      <c r="P1493" s="61"/>
    </row>
    <row r="1494" spans="12:16" x14ac:dyDescent="0.25">
      <c r="L1494" s="55"/>
      <c r="M1494" s="46"/>
      <c r="N1494" s="48"/>
      <c r="O1494" s="58"/>
      <c r="P1494" s="61"/>
    </row>
    <row r="1495" spans="12:16" x14ac:dyDescent="0.25">
      <c r="L1495" s="55"/>
      <c r="M1495" s="46"/>
      <c r="N1495" s="48"/>
      <c r="O1495" s="58"/>
      <c r="P1495" s="61"/>
    </row>
    <row r="1496" spans="12:16" x14ac:dyDescent="0.25">
      <c r="L1496" s="55"/>
      <c r="M1496" s="46"/>
      <c r="N1496" s="48"/>
      <c r="O1496" s="58"/>
      <c r="P1496" s="61"/>
    </row>
    <row r="1497" spans="12:16" x14ac:dyDescent="0.25">
      <c r="L1497" s="55"/>
      <c r="M1497" s="46"/>
      <c r="N1497" s="48"/>
      <c r="O1497" s="58"/>
      <c r="P1497" s="61"/>
    </row>
    <row r="1498" spans="12:16" x14ac:dyDescent="0.25">
      <c r="L1498" s="55"/>
      <c r="M1498" s="46"/>
      <c r="N1498" s="48"/>
      <c r="O1498" s="58"/>
      <c r="P1498" s="61"/>
    </row>
    <row r="1499" spans="12:16" x14ac:dyDescent="0.25">
      <c r="L1499" s="55"/>
      <c r="M1499" s="46"/>
      <c r="N1499" s="48"/>
      <c r="O1499" s="58"/>
      <c r="P1499" s="61"/>
    </row>
    <row r="1500" spans="12:16" x14ac:dyDescent="0.25">
      <c r="L1500" s="55"/>
      <c r="M1500" s="46"/>
      <c r="N1500" s="48"/>
      <c r="O1500" s="58"/>
      <c r="P1500" s="61"/>
    </row>
    <row r="1501" spans="12:16" x14ac:dyDescent="0.25">
      <c r="L1501" s="55"/>
      <c r="M1501" s="46"/>
      <c r="N1501" s="48"/>
      <c r="O1501" s="58"/>
      <c r="P1501" s="61"/>
    </row>
    <row r="1502" spans="12:16" x14ac:dyDescent="0.25">
      <c r="L1502" s="55"/>
      <c r="M1502" s="46"/>
      <c r="N1502" s="48"/>
      <c r="O1502" s="58"/>
      <c r="P1502" s="61"/>
    </row>
    <row r="1503" spans="12:16" x14ac:dyDescent="0.25">
      <c r="L1503" s="55"/>
      <c r="M1503" s="46"/>
      <c r="N1503" s="48"/>
      <c r="O1503" s="58"/>
      <c r="P1503" s="61"/>
    </row>
    <row r="1504" spans="12:16" x14ac:dyDescent="0.25">
      <c r="L1504" s="55"/>
      <c r="M1504" s="46"/>
      <c r="N1504" s="48"/>
      <c r="O1504" s="58"/>
      <c r="P1504" s="61"/>
    </row>
    <row r="1505" spans="12:16" x14ac:dyDescent="0.25">
      <c r="L1505" s="55"/>
      <c r="M1505" s="46"/>
      <c r="N1505" s="48"/>
      <c r="O1505" s="58"/>
      <c r="P1505" s="61"/>
    </row>
    <row r="1506" spans="12:16" x14ac:dyDescent="0.25">
      <c r="L1506" s="55"/>
      <c r="M1506" s="46"/>
      <c r="N1506" s="48"/>
      <c r="O1506" s="58"/>
      <c r="P1506" s="61"/>
    </row>
    <row r="1507" spans="12:16" x14ac:dyDescent="0.25">
      <c r="L1507" s="55"/>
      <c r="M1507" s="46"/>
      <c r="N1507" s="48"/>
      <c r="O1507" s="58"/>
      <c r="P1507" s="61"/>
    </row>
    <row r="1508" spans="12:16" x14ac:dyDescent="0.25">
      <c r="L1508" s="55"/>
      <c r="M1508" s="46"/>
      <c r="N1508" s="48"/>
      <c r="O1508" s="58"/>
      <c r="P1508" s="61"/>
    </row>
    <row r="1509" spans="12:16" x14ac:dyDescent="0.25">
      <c r="L1509" s="55"/>
      <c r="M1509" s="46"/>
      <c r="N1509" s="48"/>
      <c r="O1509" s="58"/>
      <c r="P1509" s="61"/>
    </row>
    <row r="1510" spans="12:16" x14ac:dyDescent="0.25">
      <c r="L1510" s="55"/>
      <c r="M1510" s="46"/>
      <c r="N1510" s="48"/>
      <c r="O1510" s="58"/>
      <c r="P1510" s="61"/>
    </row>
    <row r="1511" spans="12:16" x14ac:dyDescent="0.25">
      <c r="L1511" s="55"/>
      <c r="M1511" s="46"/>
      <c r="N1511" s="48"/>
      <c r="O1511" s="58"/>
      <c r="P1511" s="61"/>
    </row>
    <row r="1512" spans="12:16" x14ac:dyDescent="0.25">
      <c r="L1512" s="55"/>
      <c r="M1512" s="46"/>
      <c r="N1512" s="48"/>
      <c r="O1512" s="58"/>
      <c r="P1512" s="61"/>
    </row>
    <row r="1513" spans="12:16" x14ac:dyDescent="0.25">
      <c r="L1513" s="55"/>
      <c r="M1513" s="46"/>
      <c r="N1513" s="48"/>
      <c r="O1513" s="58"/>
      <c r="P1513" s="61"/>
    </row>
    <row r="1514" spans="12:16" x14ac:dyDescent="0.25">
      <c r="L1514" s="55"/>
      <c r="M1514" s="46"/>
      <c r="N1514" s="48"/>
      <c r="O1514" s="58"/>
      <c r="P1514" s="61"/>
    </row>
    <row r="1515" spans="12:16" x14ac:dyDescent="0.25">
      <c r="L1515" s="55"/>
      <c r="M1515" s="46"/>
      <c r="N1515" s="48"/>
      <c r="O1515" s="58"/>
      <c r="P1515" s="61"/>
    </row>
    <row r="1516" spans="12:16" x14ac:dyDescent="0.25">
      <c r="L1516" s="55"/>
      <c r="M1516" s="46"/>
      <c r="N1516" s="48"/>
      <c r="O1516" s="58"/>
      <c r="P1516" s="61"/>
    </row>
    <row r="1517" spans="12:16" x14ac:dyDescent="0.25">
      <c r="L1517" s="55"/>
      <c r="M1517" s="46"/>
      <c r="N1517" s="48"/>
      <c r="O1517" s="58"/>
      <c r="P1517" s="61"/>
    </row>
    <row r="1518" spans="12:16" x14ac:dyDescent="0.25">
      <c r="L1518" s="55"/>
      <c r="M1518" s="46"/>
      <c r="N1518" s="48"/>
      <c r="O1518" s="58"/>
      <c r="P1518" s="61"/>
    </row>
    <row r="1519" spans="12:16" x14ac:dyDescent="0.25">
      <c r="L1519" s="55"/>
      <c r="M1519" s="46"/>
      <c r="N1519" s="48"/>
      <c r="O1519" s="58"/>
      <c r="P1519" s="61"/>
    </row>
    <row r="1520" spans="12:16" x14ac:dyDescent="0.25">
      <c r="L1520" s="55"/>
      <c r="M1520" s="46"/>
      <c r="N1520" s="48"/>
      <c r="O1520" s="58"/>
      <c r="P1520" s="61"/>
    </row>
    <row r="1521" spans="12:16" x14ac:dyDescent="0.25">
      <c r="L1521" s="55"/>
      <c r="M1521" s="46"/>
      <c r="N1521" s="48"/>
      <c r="O1521" s="58"/>
      <c r="P1521" s="61"/>
    </row>
    <row r="1522" spans="12:16" x14ac:dyDescent="0.25">
      <c r="L1522" s="55"/>
      <c r="M1522" s="46"/>
      <c r="N1522" s="48"/>
      <c r="O1522" s="58"/>
      <c r="P1522" s="61"/>
    </row>
    <row r="1523" spans="12:16" x14ac:dyDescent="0.25">
      <c r="L1523" s="55"/>
      <c r="M1523" s="46"/>
      <c r="N1523" s="48"/>
      <c r="O1523" s="58"/>
      <c r="P1523" s="61"/>
    </row>
    <row r="1524" spans="12:16" x14ac:dyDescent="0.25">
      <c r="L1524" s="55"/>
      <c r="M1524" s="46"/>
      <c r="N1524" s="48"/>
      <c r="O1524" s="58"/>
      <c r="P1524" s="61"/>
    </row>
    <row r="1525" spans="12:16" x14ac:dyDescent="0.25">
      <c r="L1525" s="55"/>
      <c r="M1525" s="46"/>
      <c r="N1525" s="48"/>
      <c r="O1525" s="58"/>
      <c r="P1525" s="61"/>
    </row>
    <row r="1526" spans="12:16" x14ac:dyDescent="0.25">
      <c r="L1526" s="55"/>
      <c r="M1526" s="46"/>
      <c r="N1526" s="48"/>
      <c r="O1526" s="58"/>
      <c r="P1526" s="61"/>
    </row>
    <row r="1527" spans="12:16" x14ac:dyDescent="0.25">
      <c r="L1527" s="55"/>
      <c r="M1527" s="46"/>
      <c r="N1527" s="48"/>
      <c r="O1527" s="58"/>
      <c r="P1527" s="61"/>
    </row>
    <row r="1528" spans="12:16" x14ac:dyDescent="0.25">
      <c r="L1528" s="55"/>
      <c r="M1528" s="46"/>
      <c r="N1528" s="48"/>
      <c r="O1528" s="58"/>
      <c r="P1528" s="61"/>
    </row>
    <row r="1529" spans="12:16" x14ac:dyDescent="0.25">
      <c r="L1529" s="55"/>
      <c r="M1529" s="46"/>
      <c r="N1529" s="48"/>
      <c r="O1529" s="58"/>
      <c r="P1529" s="61"/>
    </row>
    <row r="1530" spans="12:16" x14ac:dyDescent="0.25">
      <c r="L1530" s="55"/>
      <c r="M1530" s="46"/>
      <c r="N1530" s="48"/>
      <c r="O1530" s="58"/>
      <c r="P1530" s="61"/>
    </row>
    <row r="1531" spans="12:16" x14ac:dyDescent="0.25">
      <c r="L1531" s="55"/>
      <c r="M1531" s="46"/>
      <c r="N1531" s="48"/>
      <c r="O1531" s="58"/>
      <c r="P1531" s="61"/>
    </row>
    <row r="1532" spans="12:16" x14ac:dyDescent="0.25">
      <c r="L1532" s="55"/>
      <c r="M1532" s="46"/>
      <c r="N1532" s="48"/>
      <c r="O1532" s="58"/>
      <c r="P1532" s="61"/>
    </row>
    <row r="1533" spans="12:16" x14ac:dyDescent="0.25">
      <c r="L1533" s="55"/>
      <c r="M1533" s="46"/>
      <c r="N1533" s="48"/>
      <c r="O1533" s="58"/>
      <c r="P1533" s="61"/>
    </row>
    <row r="1534" spans="12:16" x14ac:dyDescent="0.25">
      <c r="L1534" s="55"/>
      <c r="M1534" s="46"/>
      <c r="N1534" s="48"/>
      <c r="O1534" s="58"/>
      <c r="P1534" s="61"/>
    </row>
    <row r="1535" spans="12:16" x14ac:dyDescent="0.25">
      <c r="L1535" s="55"/>
      <c r="M1535" s="46"/>
      <c r="N1535" s="48"/>
      <c r="O1535" s="58"/>
      <c r="P1535" s="61"/>
    </row>
    <row r="1536" spans="12:16" x14ac:dyDescent="0.25">
      <c r="L1536" s="55"/>
      <c r="M1536" s="46"/>
      <c r="N1536" s="48"/>
      <c r="O1536" s="58"/>
      <c r="P1536" s="61"/>
    </row>
    <row r="1537" spans="12:16" x14ac:dyDescent="0.25">
      <c r="L1537" s="55"/>
      <c r="M1537" s="46"/>
      <c r="N1537" s="48"/>
      <c r="O1537" s="58"/>
      <c r="P1537" s="61"/>
    </row>
    <row r="1538" spans="12:16" x14ac:dyDescent="0.25">
      <c r="L1538" s="55"/>
      <c r="M1538" s="46"/>
      <c r="N1538" s="48"/>
      <c r="O1538" s="58"/>
      <c r="P1538" s="61"/>
    </row>
    <row r="1539" spans="12:16" x14ac:dyDescent="0.25">
      <c r="L1539" s="55"/>
      <c r="M1539" s="46"/>
      <c r="N1539" s="48"/>
      <c r="O1539" s="58"/>
      <c r="P1539" s="61"/>
    </row>
    <row r="1540" spans="12:16" x14ac:dyDescent="0.25">
      <c r="L1540" s="55"/>
      <c r="M1540" s="46"/>
      <c r="N1540" s="48"/>
      <c r="O1540" s="58"/>
      <c r="P1540" s="61"/>
    </row>
    <row r="1541" spans="12:16" x14ac:dyDescent="0.25">
      <c r="L1541" s="55"/>
      <c r="M1541" s="46"/>
      <c r="N1541" s="48"/>
      <c r="O1541" s="58"/>
      <c r="P1541" s="61"/>
    </row>
    <row r="1542" spans="12:16" x14ac:dyDescent="0.25">
      <c r="L1542" s="55"/>
      <c r="M1542" s="46"/>
      <c r="N1542" s="48"/>
      <c r="O1542" s="58"/>
      <c r="P1542" s="61"/>
    </row>
    <row r="1543" spans="12:16" x14ac:dyDescent="0.25">
      <c r="L1543" s="55"/>
      <c r="M1543" s="46"/>
      <c r="N1543" s="48"/>
      <c r="O1543" s="58"/>
      <c r="P1543" s="61"/>
    </row>
    <row r="1544" spans="12:16" x14ac:dyDescent="0.25">
      <c r="L1544" s="55"/>
      <c r="M1544" s="46"/>
      <c r="N1544" s="48"/>
      <c r="O1544" s="58"/>
      <c r="P1544" s="61"/>
    </row>
    <row r="1545" spans="12:16" x14ac:dyDescent="0.25">
      <c r="L1545" s="55"/>
      <c r="M1545" s="46"/>
      <c r="N1545" s="48"/>
      <c r="O1545" s="58"/>
      <c r="P1545" s="61"/>
    </row>
    <row r="1546" spans="12:16" x14ac:dyDescent="0.25">
      <c r="L1546" s="55"/>
      <c r="M1546" s="46"/>
      <c r="N1546" s="48"/>
      <c r="O1546" s="58"/>
      <c r="P1546" s="61"/>
    </row>
    <row r="1547" spans="12:16" x14ac:dyDescent="0.25">
      <c r="L1547" s="55"/>
      <c r="M1547" s="46"/>
      <c r="N1547" s="48"/>
      <c r="O1547" s="58"/>
      <c r="P1547" s="61"/>
    </row>
    <row r="1548" spans="12:16" x14ac:dyDescent="0.25">
      <c r="L1548" s="55"/>
      <c r="M1548" s="46"/>
      <c r="N1548" s="48"/>
      <c r="O1548" s="58"/>
      <c r="P1548" s="61"/>
    </row>
    <row r="1549" spans="12:16" x14ac:dyDescent="0.25">
      <c r="L1549" s="55"/>
      <c r="M1549" s="46"/>
      <c r="N1549" s="48"/>
      <c r="O1549" s="58"/>
      <c r="P1549" s="61"/>
    </row>
    <row r="1550" spans="12:16" x14ac:dyDescent="0.25">
      <c r="L1550" s="55"/>
      <c r="M1550" s="46"/>
      <c r="N1550" s="48"/>
      <c r="O1550" s="58"/>
      <c r="P1550" s="61"/>
    </row>
    <row r="1551" spans="12:16" x14ac:dyDescent="0.25">
      <c r="L1551" s="55"/>
      <c r="M1551" s="46"/>
      <c r="N1551" s="48"/>
      <c r="O1551" s="58"/>
      <c r="P1551" s="61"/>
    </row>
    <row r="1552" spans="12:16" x14ac:dyDescent="0.25">
      <c r="L1552" s="55"/>
      <c r="M1552" s="46"/>
      <c r="N1552" s="48"/>
      <c r="O1552" s="58"/>
      <c r="P1552" s="61"/>
    </row>
    <row r="1553" spans="12:16" x14ac:dyDescent="0.25">
      <c r="L1553" s="55"/>
      <c r="M1553" s="46"/>
      <c r="N1553" s="48"/>
      <c r="O1553" s="58"/>
      <c r="P1553" s="61"/>
    </row>
    <row r="1554" spans="12:16" x14ac:dyDescent="0.25">
      <c r="L1554" s="55"/>
      <c r="M1554" s="46"/>
      <c r="N1554" s="48"/>
      <c r="O1554" s="58"/>
      <c r="P1554" s="61"/>
    </row>
    <row r="1555" spans="12:16" x14ac:dyDescent="0.25">
      <c r="L1555" s="55"/>
      <c r="M1555" s="46"/>
      <c r="N1555" s="48"/>
      <c r="O1555" s="58"/>
      <c r="P1555" s="61"/>
    </row>
    <row r="1556" spans="12:16" x14ac:dyDescent="0.25">
      <c r="L1556" s="55"/>
      <c r="M1556" s="46"/>
      <c r="N1556" s="48"/>
      <c r="O1556" s="58"/>
      <c r="P1556" s="61"/>
    </row>
    <row r="1557" spans="12:16" x14ac:dyDescent="0.25">
      <c r="L1557" s="55"/>
      <c r="M1557" s="46"/>
      <c r="N1557" s="48"/>
      <c r="O1557" s="58"/>
      <c r="P1557" s="61"/>
    </row>
    <row r="1558" spans="12:16" x14ac:dyDescent="0.25">
      <c r="L1558" s="55"/>
      <c r="M1558" s="46"/>
      <c r="N1558" s="48"/>
      <c r="O1558" s="58"/>
      <c r="P1558" s="61"/>
    </row>
    <row r="1559" spans="12:16" x14ac:dyDescent="0.25">
      <c r="L1559" s="55"/>
      <c r="M1559" s="46"/>
      <c r="N1559" s="48"/>
      <c r="O1559" s="58"/>
      <c r="P1559" s="61"/>
    </row>
    <row r="1560" spans="12:16" x14ac:dyDescent="0.25">
      <c r="L1560" s="55"/>
      <c r="M1560" s="46"/>
      <c r="N1560" s="48"/>
      <c r="O1560" s="58"/>
      <c r="P1560" s="61"/>
    </row>
    <row r="1561" spans="12:16" x14ac:dyDescent="0.25">
      <c r="L1561" s="55"/>
      <c r="M1561" s="46"/>
      <c r="N1561" s="48"/>
      <c r="O1561" s="58"/>
      <c r="P1561" s="61"/>
    </row>
    <row r="1562" spans="12:16" x14ac:dyDescent="0.25">
      <c r="L1562" s="55"/>
      <c r="M1562" s="46"/>
      <c r="N1562" s="48"/>
      <c r="O1562" s="58"/>
      <c r="P1562" s="61"/>
    </row>
    <row r="1563" spans="12:16" x14ac:dyDescent="0.25">
      <c r="L1563" s="55"/>
      <c r="M1563" s="46"/>
      <c r="N1563" s="48"/>
      <c r="O1563" s="58"/>
      <c r="P1563" s="61"/>
    </row>
    <row r="1564" spans="12:16" x14ac:dyDescent="0.25">
      <c r="L1564" s="55"/>
      <c r="M1564" s="46"/>
      <c r="N1564" s="48"/>
      <c r="O1564" s="58"/>
      <c r="P1564" s="61"/>
    </row>
    <row r="1565" spans="12:16" x14ac:dyDescent="0.25">
      <c r="L1565" s="55"/>
      <c r="M1565" s="46"/>
      <c r="N1565" s="48"/>
      <c r="O1565" s="58"/>
      <c r="P1565" s="61"/>
    </row>
    <row r="1566" spans="12:16" x14ac:dyDescent="0.25">
      <c r="L1566" s="55"/>
      <c r="M1566" s="46"/>
      <c r="N1566" s="48"/>
      <c r="O1566" s="58"/>
      <c r="P1566" s="61"/>
    </row>
    <row r="1567" spans="12:16" x14ac:dyDescent="0.25">
      <c r="L1567" s="55"/>
      <c r="M1567" s="46"/>
      <c r="N1567" s="48"/>
      <c r="O1567" s="58"/>
      <c r="P1567" s="61"/>
    </row>
    <row r="1568" spans="12:16" x14ac:dyDescent="0.25">
      <c r="L1568" s="55"/>
      <c r="M1568" s="46"/>
      <c r="N1568" s="48"/>
      <c r="O1568" s="58"/>
      <c r="P1568" s="61"/>
    </row>
    <row r="1569" spans="12:16" x14ac:dyDescent="0.25">
      <c r="L1569" s="55"/>
      <c r="M1569" s="46"/>
      <c r="N1569" s="48"/>
      <c r="O1569" s="58"/>
      <c r="P1569" s="61"/>
    </row>
    <row r="1570" spans="12:16" x14ac:dyDescent="0.25">
      <c r="L1570" s="55"/>
      <c r="M1570" s="46"/>
      <c r="N1570" s="48"/>
      <c r="O1570" s="58"/>
      <c r="P1570" s="61"/>
    </row>
    <row r="1571" spans="12:16" x14ac:dyDescent="0.25">
      <c r="L1571" s="55"/>
      <c r="M1571" s="46"/>
      <c r="N1571" s="48"/>
      <c r="O1571" s="58"/>
      <c r="P1571" s="61"/>
    </row>
    <row r="1572" spans="12:16" x14ac:dyDescent="0.25">
      <c r="L1572" s="55"/>
      <c r="M1572" s="46"/>
      <c r="N1572" s="48"/>
      <c r="O1572" s="58"/>
      <c r="P1572" s="61"/>
    </row>
    <row r="1573" spans="12:16" x14ac:dyDescent="0.25">
      <c r="L1573" s="55"/>
      <c r="M1573" s="46"/>
      <c r="N1573" s="48"/>
      <c r="O1573" s="58"/>
      <c r="P1573" s="61"/>
    </row>
    <row r="1574" spans="12:16" x14ac:dyDescent="0.25">
      <c r="L1574" s="55"/>
      <c r="M1574" s="46"/>
      <c r="N1574" s="48"/>
      <c r="O1574" s="58"/>
      <c r="P1574" s="61"/>
    </row>
    <row r="1575" spans="12:16" x14ac:dyDescent="0.25">
      <c r="L1575" s="55"/>
      <c r="M1575" s="46"/>
      <c r="N1575" s="48"/>
      <c r="O1575" s="58"/>
      <c r="P1575" s="61"/>
    </row>
    <row r="1576" spans="12:16" x14ac:dyDescent="0.25">
      <c r="L1576" s="55"/>
      <c r="M1576" s="46"/>
      <c r="N1576" s="48"/>
      <c r="O1576" s="58"/>
      <c r="P1576" s="61"/>
    </row>
    <row r="1577" spans="12:16" x14ac:dyDescent="0.25">
      <c r="L1577" s="55"/>
      <c r="M1577" s="46"/>
      <c r="N1577" s="48"/>
      <c r="O1577" s="58"/>
      <c r="P1577" s="61"/>
    </row>
    <row r="1578" spans="12:16" x14ac:dyDescent="0.25">
      <c r="L1578" s="55"/>
      <c r="M1578" s="46"/>
      <c r="N1578" s="48"/>
      <c r="O1578" s="58"/>
      <c r="P1578" s="61"/>
    </row>
    <row r="1579" spans="12:16" x14ac:dyDescent="0.25">
      <c r="L1579" s="55"/>
      <c r="M1579" s="46"/>
      <c r="N1579" s="48"/>
      <c r="O1579" s="58"/>
      <c r="P1579" s="61"/>
    </row>
    <row r="1580" spans="12:16" x14ac:dyDescent="0.25">
      <c r="L1580" s="55"/>
      <c r="M1580" s="46"/>
      <c r="N1580" s="48"/>
      <c r="O1580" s="58"/>
      <c r="P1580" s="61"/>
    </row>
    <row r="1581" spans="12:16" x14ac:dyDescent="0.25">
      <c r="L1581" s="55"/>
      <c r="M1581" s="46"/>
      <c r="N1581" s="48"/>
      <c r="O1581" s="58"/>
      <c r="P1581" s="61"/>
    </row>
    <row r="1582" spans="12:16" x14ac:dyDescent="0.25">
      <c r="L1582" s="55"/>
      <c r="M1582" s="46"/>
      <c r="N1582" s="48"/>
      <c r="O1582" s="58"/>
      <c r="P1582" s="61"/>
    </row>
    <row r="1583" spans="12:16" x14ac:dyDescent="0.25">
      <c r="L1583" s="55"/>
      <c r="M1583" s="46"/>
      <c r="N1583" s="48"/>
      <c r="O1583" s="58"/>
      <c r="P1583" s="61"/>
    </row>
    <row r="1584" spans="12:16" x14ac:dyDescent="0.25">
      <c r="L1584" s="55"/>
      <c r="M1584" s="46"/>
      <c r="N1584" s="48"/>
      <c r="O1584" s="58"/>
      <c r="P1584" s="61"/>
    </row>
    <row r="1585" spans="12:16" x14ac:dyDescent="0.25">
      <c r="L1585" s="55"/>
      <c r="M1585" s="46"/>
      <c r="N1585" s="48"/>
      <c r="O1585" s="58"/>
      <c r="P1585" s="61"/>
    </row>
    <row r="1586" spans="12:16" x14ac:dyDescent="0.25">
      <c r="L1586" s="55"/>
      <c r="M1586" s="46"/>
      <c r="N1586" s="48"/>
      <c r="O1586" s="58"/>
      <c r="P1586" s="61"/>
    </row>
    <row r="1587" spans="12:16" x14ac:dyDescent="0.25">
      <c r="L1587" s="55"/>
      <c r="M1587" s="46"/>
      <c r="N1587" s="48"/>
      <c r="O1587" s="58"/>
      <c r="P1587" s="61"/>
    </row>
    <row r="1588" spans="12:16" x14ac:dyDescent="0.25">
      <c r="L1588" s="55"/>
      <c r="M1588" s="46"/>
      <c r="N1588" s="48"/>
      <c r="O1588" s="58"/>
      <c r="P1588" s="61"/>
    </row>
    <row r="1589" spans="12:16" x14ac:dyDescent="0.25">
      <c r="L1589" s="55"/>
      <c r="M1589" s="46"/>
      <c r="N1589" s="48"/>
      <c r="O1589" s="58"/>
      <c r="P1589" s="61"/>
    </row>
    <row r="1590" spans="12:16" x14ac:dyDescent="0.25">
      <c r="L1590" s="55"/>
      <c r="M1590" s="46"/>
      <c r="N1590" s="48"/>
      <c r="O1590" s="58"/>
      <c r="P1590" s="61"/>
    </row>
    <row r="1591" spans="12:16" x14ac:dyDescent="0.25">
      <c r="L1591" s="55"/>
      <c r="M1591" s="46"/>
      <c r="N1591" s="48"/>
      <c r="O1591" s="58"/>
      <c r="P1591" s="61"/>
    </row>
    <row r="1592" spans="12:16" x14ac:dyDescent="0.25">
      <c r="L1592" s="55"/>
      <c r="M1592" s="46"/>
      <c r="N1592" s="48"/>
      <c r="O1592" s="58"/>
      <c r="P1592" s="61"/>
    </row>
    <row r="1593" spans="12:16" x14ac:dyDescent="0.25">
      <c r="L1593" s="55"/>
      <c r="M1593" s="46"/>
      <c r="N1593" s="48"/>
      <c r="O1593" s="58"/>
      <c r="P1593" s="61"/>
    </row>
    <row r="1594" spans="12:16" x14ac:dyDescent="0.25">
      <c r="L1594" s="55"/>
      <c r="M1594" s="46"/>
      <c r="N1594" s="48"/>
      <c r="O1594" s="58"/>
      <c r="P1594" s="61"/>
    </row>
    <row r="1595" spans="12:16" x14ac:dyDescent="0.25">
      <c r="L1595" s="55"/>
      <c r="M1595" s="46"/>
      <c r="N1595" s="48"/>
      <c r="O1595" s="58"/>
      <c r="P1595" s="61"/>
    </row>
    <row r="1596" spans="12:16" x14ac:dyDescent="0.25">
      <c r="L1596" s="55"/>
      <c r="M1596" s="46"/>
      <c r="N1596" s="48"/>
      <c r="O1596" s="58"/>
      <c r="P1596" s="61"/>
    </row>
    <row r="1597" spans="12:16" x14ac:dyDescent="0.25">
      <c r="L1597" s="55"/>
      <c r="M1597" s="46"/>
      <c r="N1597" s="48"/>
      <c r="O1597" s="58"/>
      <c r="P1597" s="61"/>
    </row>
    <row r="1598" spans="12:16" x14ac:dyDescent="0.25">
      <c r="L1598" s="55"/>
      <c r="M1598" s="46"/>
      <c r="N1598" s="48"/>
      <c r="O1598" s="58"/>
      <c r="P1598" s="61"/>
    </row>
    <row r="1599" spans="12:16" x14ac:dyDescent="0.25">
      <c r="L1599" s="55"/>
      <c r="M1599" s="46"/>
      <c r="N1599" s="48"/>
      <c r="O1599" s="58"/>
      <c r="P1599" s="61"/>
    </row>
    <row r="1600" spans="12:16" x14ac:dyDescent="0.25">
      <c r="L1600" s="55"/>
      <c r="M1600" s="46"/>
      <c r="N1600" s="48"/>
      <c r="O1600" s="58"/>
      <c r="P1600" s="61"/>
    </row>
    <row r="1601" spans="12:16" x14ac:dyDescent="0.25">
      <c r="L1601" s="55"/>
      <c r="M1601" s="46"/>
      <c r="N1601" s="48"/>
      <c r="O1601" s="58"/>
      <c r="P1601" s="61"/>
    </row>
    <row r="1602" spans="12:16" x14ac:dyDescent="0.25">
      <c r="L1602" s="55"/>
      <c r="M1602" s="46"/>
      <c r="N1602" s="48"/>
      <c r="O1602" s="58"/>
      <c r="P1602" s="61"/>
    </row>
    <row r="1603" spans="12:16" x14ac:dyDescent="0.25">
      <c r="L1603" s="55"/>
      <c r="M1603" s="46"/>
      <c r="N1603" s="48"/>
      <c r="O1603" s="58"/>
      <c r="P1603" s="61"/>
    </row>
    <row r="1604" spans="12:16" x14ac:dyDescent="0.25">
      <c r="L1604" s="55"/>
      <c r="M1604" s="46"/>
      <c r="N1604" s="48"/>
      <c r="O1604" s="58"/>
      <c r="P1604" s="61"/>
    </row>
    <row r="1605" spans="12:16" x14ac:dyDescent="0.25">
      <c r="L1605" s="55"/>
      <c r="M1605" s="46"/>
      <c r="N1605" s="48"/>
      <c r="O1605" s="58"/>
      <c r="P1605" s="61"/>
    </row>
    <row r="1606" spans="12:16" x14ac:dyDescent="0.25">
      <c r="L1606" s="55"/>
      <c r="M1606" s="46"/>
      <c r="N1606" s="48"/>
      <c r="O1606" s="58"/>
      <c r="P1606" s="61"/>
    </row>
    <row r="1607" spans="12:16" x14ac:dyDescent="0.25">
      <c r="L1607" s="55"/>
      <c r="M1607" s="46"/>
      <c r="N1607" s="48"/>
      <c r="O1607" s="58"/>
      <c r="P1607" s="61"/>
    </row>
    <row r="1608" spans="12:16" x14ac:dyDescent="0.25">
      <c r="L1608" s="55"/>
      <c r="M1608" s="46"/>
      <c r="N1608" s="48"/>
      <c r="O1608" s="58"/>
      <c r="P1608" s="61"/>
    </row>
    <row r="1609" spans="12:16" x14ac:dyDescent="0.25">
      <c r="L1609" s="55"/>
      <c r="M1609" s="46"/>
      <c r="N1609" s="48"/>
      <c r="O1609" s="58"/>
      <c r="P1609" s="61"/>
    </row>
    <row r="1610" spans="12:16" x14ac:dyDescent="0.25">
      <c r="L1610" s="55"/>
      <c r="M1610" s="46"/>
      <c r="N1610" s="48"/>
      <c r="O1610" s="58"/>
      <c r="P1610" s="61"/>
    </row>
    <row r="1611" spans="12:16" x14ac:dyDescent="0.25">
      <c r="L1611" s="55"/>
      <c r="M1611" s="46"/>
      <c r="N1611" s="48"/>
      <c r="O1611" s="58"/>
      <c r="P1611" s="61"/>
    </row>
    <row r="1612" spans="12:16" x14ac:dyDescent="0.25">
      <c r="L1612" s="55"/>
      <c r="M1612" s="46"/>
      <c r="N1612" s="48"/>
      <c r="O1612" s="58"/>
      <c r="P1612" s="61"/>
    </row>
    <row r="1613" spans="12:16" x14ac:dyDescent="0.25">
      <c r="L1613" s="55"/>
      <c r="M1613" s="46"/>
      <c r="N1613" s="48"/>
      <c r="O1613" s="58"/>
      <c r="P1613" s="61"/>
    </row>
    <row r="1614" spans="12:16" x14ac:dyDescent="0.25">
      <c r="L1614" s="55"/>
      <c r="M1614" s="46"/>
      <c r="N1614" s="48"/>
      <c r="O1614" s="58"/>
      <c r="P1614" s="61"/>
    </row>
    <row r="1615" spans="12:16" x14ac:dyDescent="0.25">
      <c r="L1615" s="55"/>
      <c r="M1615" s="46"/>
      <c r="N1615" s="48"/>
      <c r="O1615" s="58"/>
      <c r="P1615" s="61"/>
    </row>
    <row r="1616" spans="12:16" x14ac:dyDescent="0.25">
      <c r="L1616" s="55"/>
      <c r="M1616" s="46"/>
      <c r="N1616" s="48"/>
      <c r="O1616" s="58"/>
      <c r="P1616" s="61"/>
    </row>
    <row r="1617" spans="12:16" x14ac:dyDescent="0.25">
      <c r="L1617" s="55"/>
      <c r="M1617" s="46"/>
      <c r="N1617" s="48"/>
      <c r="O1617" s="58"/>
      <c r="P1617" s="61"/>
    </row>
    <row r="1618" spans="12:16" x14ac:dyDescent="0.25">
      <c r="L1618" s="55"/>
      <c r="M1618" s="46"/>
      <c r="N1618" s="48"/>
      <c r="O1618" s="58"/>
      <c r="P1618" s="61"/>
    </row>
    <row r="1619" spans="12:16" x14ac:dyDescent="0.25">
      <c r="L1619" s="55"/>
      <c r="M1619" s="46"/>
      <c r="N1619" s="48"/>
      <c r="O1619" s="58"/>
      <c r="P1619" s="61"/>
    </row>
    <row r="1620" spans="12:16" x14ac:dyDescent="0.25">
      <c r="L1620" s="55"/>
      <c r="M1620" s="46"/>
      <c r="N1620" s="48"/>
      <c r="O1620" s="58"/>
      <c r="P1620" s="61"/>
    </row>
    <row r="1621" spans="12:16" x14ac:dyDescent="0.25">
      <c r="L1621" s="55"/>
      <c r="M1621" s="46"/>
      <c r="N1621" s="48"/>
      <c r="O1621" s="58"/>
      <c r="P1621" s="61"/>
    </row>
    <row r="1622" spans="12:16" x14ac:dyDescent="0.25">
      <c r="L1622" s="55"/>
      <c r="M1622" s="46"/>
      <c r="N1622" s="48"/>
      <c r="O1622" s="58"/>
      <c r="P1622" s="61"/>
    </row>
    <row r="1623" spans="12:16" x14ac:dyDescent="0.25">
      <c r="L1623" s="55"/>
      <c r="M1623" s="46"/>
      <c r="N1623" s="48"/>
      <c r="O1623" s="58"/>
      <c r="P1623" s="61"/>
    </row>
    <row r="1624" spans="12:16" x14ac:dyDescent="0.25">
      <c r="L1624" s="55"/>
      <c r="M1624" s="46"/>
      <c r="N1624" s="48"/>
      <c r="O1624" s="58"/>
      <c r="P1624" s="61"/>
    </row>
    <row r="1625" spans="12:16" x14ac:dyDescent="0.25">
      <c r="L1625" s="55"/>
      <c r="M1625" s="46"/>
      <c r="N1625" s="48"/>
      <c r="O1625" s="58"/>
      <c r="P1625" s="61"/>
    </row>
    <row r="1626" spans="12:16" x14ac:dyDescent="0.25">
      <c r="L1626" s="55"/>
      <c r="M1626" s="46"/>
      <c r="N1626" s="48"/>
      <c r="O1626" s="58"/>
      <c r="P1626" s="61"/>
    </row>
    <row r="1627" spans="12:16" x14ac:dyDescent="0.25">
      <c r="L1627" s="55"/>
      <c r="M1627" s="46"/>
      <c r="N1627" s="48"/>
      <c r="O1627" s="58"/>
      <c r="P1627" s="61"/>
    </row>
    <row r="1628" spans="12:16" x14ac:dyDescent="0.25">
      <c r="L1628" s="55"/>
      <c r="M1628" s="46"/>
      <c r="N1628" s="48"/>
      <c r="O1628" s="58"/>
      <c r="P1628" s="61"/>
    </row>
    <row r="1629" spans="12:16" x14ac:dyDescent="0.25">
      <c r="L1629" s="55"/>
      <c r="M1629" s="46"/>
      <c r="N1629" s="48"/>
      <c r="O1629" s="58"/>
      <c r="P1629" s="61"/>
    </row>
    <row r="1630" spans="12:16" x14ac:dyDescent="0.25">
      <c r="L1630" s="55"/>
      <c r="M1630" s="46"/>
      <c r="N1630" s="48"/>
      <c r="O1630" s="58"/>
      <c r="P1630" s="61"/>
    </row>
    <row r="1631" spans="12:16" x14ac:dyDescent="0.25">
      <c r="L1631" s="55"/>
      <c r="M1631" s="46"/>
      <c r="N1631" s="48"/>
      <c r="O1631" s="58"/>
      <c r="P1631" s="61"/>
    </row>
    <row r="1632" spans="12:16" x14ac:dyDescent="0.25">
      <c r="L1632" s="55"/>
      <c r="M1632" s="46"/>
      <c r="N1632" s="48"/>
      <c r="O1632" s="58"/>
      <c r="P1632" s="61"/>
    </row>
    <row r="1633" spans="12:16" x14ac:dyDescent="0.25">
      <c r="L1633" s="55"/>
      <c r="M1633" s="46"/>
      <c r="N1633" s="48"/>
      <c r="O1633" s="58"/>
      <c r="P1633" s="61"/>
    </row>
    <row r="1634" spans="12:16" x14ac:dyDescent="0.25">
      <c r="L1634" s="55"/>
      <c r="M1634" s="46"/>
      <c r="N1634" s="48"/>
      <c r="O1634" s="58"/>
      <c r="P1634" s="61"/>
    </row>
    <row r="1635" spans="12:16" x14ac:dyDescent="0.25">
      <c r="L1635" s="55"/>
      <c r="M1635" s="46"/>
      <c r="N1635" s="48"/>
      <c r="O1635" s="58"/>
      <c r="P1635" s="61"/>
    </row>
    <row r="1636" spans="12:16" x14ac:dyDescent="0.25">
      <c r="L1636" s="55"/>
      <c r="M1636" s="46"/>
      <c r="N1636" s="48"/>
      <c r="O1636" s="58"/>
      <c r="P1636" s="61"/>
    </row>
    <row r="1637" spans="12:16" x14ac:dyDescent="0.25">
      <c r="L1637" s="55"/>
      <c r="M1637" s="46"/>
      <c r="N1637" s="48"/>
      <c r="O1637" s="58"/>
      <c r="P1637" s="61"/>
    </row>
    <row r="1638" spans="12:16" x14ac:dyDescent="0.25">
      <c r="L1638" s="55"/>
      <c r="M1638" s="46"/>
      <c r="N1638" s="48"/>
      <c r="O1638" s="58"/>
      <c r="P1638" s="61"/>
    </row>
    <row r="1639" spans="12:16" x14ac:dyDescent="0.25">
      <c r="L1639" s="55"/>
      <c r="M1639" s="46"/>
      <c r="N1639" s="48"/>
      <c r="O1639" s="58"/>
      <c r="P1639" s="61"/>
    </row>
    <row r="1640" spans="12:16" x14ac:dyDescent="0.25">
      <c r="L1640" s="55"/>
      <c r="M1640" s="46"/>
      <c r="N1640" s="48"/>
      <c r="O1640" s="58"/>
      <c r="P1640" s="61"/>
    </row>
    <row r="1641" spans="12:16" x14ac:dyDescent="0.25">
      <c r="L1641" s="55"/>
      <c r="M1641" s="46"/>
      <c r="N1641" s="48"/>
      <c r="O1641" s="58"/>
      <c r="P1641" s="61"/>
    </row>
    <row r="1642" spans="12:16" x14ac:dyDescent="0.25">
      <c r="L1642" s="55"/>
      <c r="M1642" s="46"/>
      <c r="N1642" s="48"/>
      <c r="O1642" s="58"/>
      <c r="P1642" s="61"/>
    </row>
    <row r="1643" spans="12:16" x14ac:dyDescent="0.25">
      <c r="L1643" s="55"/>
      <c r="M1643" s="46"/>
      <c r="N1643" s="48"/>
      <c r="O1643" s="58"/>
      <c r="P1643" s="61"/>
    </row>
    <row r="1644" spans="12:16" x14ac:dyDescent="0.25">
      <c r="L1644" s="55"/>
      <c r="M1644" s="46"/>
      <c r="N1644" s="48"/>
      <c r="O1644" s="58"/>
      <c r="P1644" s="61"/>
    </row>
    <row r="1645" spans="12:16" x14ac:dyDescent="0.25">
      <c r="L1645" s="55"/>
      <c r="M1645" s="46"/>
      <c r="N1645" s="48"/>
      <c r="O1645" s="58"/>
      <c r="P1645" s="61"/>
    </row>
    <row r="1646" spans="12:16" x14ac:dyDescent="0.25">
      <c r="L1646" s="55"/>
      <c r="M1646" s="46"/>
      <c r="N1646" s="48"/>
      <c r="O1646" s="58"/>
      <c r="P1646" s="61"/>
    </row>
    <row r="1647" spans="12:16" x14ac:dyDescent="0.25">
      <c r="L1647" s="55"/>
      <c r="M1647" s="46"/>
      <c r="N1647" s="48"/>
      <c r="O1647" s="58"/>
      <c r="P1647" s="61"/>
    </row>
    <row r="1648" spans="12:16" x14ac:dyDescent="0.25">
      <c r="L1648" s="55"/>
      <c r="M1648" s="46"/>
      <c r="N1648" s="48"/>
      <c r="O1648" s="58"/>
      <c r="P1648" s="61"/>
    </row>
    <row r="1649" spans="12:16" x14ac:dyDescent="0.25">
      <c r="L1649" s="55"/>
      <c r="M1649" s="46"/>
      <c r="N1649" s="48"/>
      <c r="O1649" s="58"/>
      <c r="P1649" s="61"/>
    </row>
    <row r="1650" spans="12:16" x14ac:dyDescent="0.25">
      <c r="L1650" s="55"/>
      <c r="M1650" s="46"/>
      <c r="N1650" s="48"/>
      <c r="O1650" s="58"/>
      <c r="P1650" s="61"/>
    </row>
    <row r="1651" spans="12:16" x14ac:dyDescent="0.25">
      <c r="L1651" s="55"/>
      <c r="M1651" s="46"/>
      <c r="N1651" s="48"/>
      <c r="O1651" s="58"/>
      <c r="P1651" s="61"/>
    </row>
    <row r="1652" spans="12:16" x14ac:dyDescent="0.25">
      <c r="L1652" s="55"/>
      <c r="M1652" s="46"/>
      <c r="N1652" s="48"/>
      <c r="O1652" s="58"/>
      <c r="P1652" s="61"/>
    </row>
    <row r="1653" spans="12:16" x14ac:dyDescent="0.25">
      <c r="L1653" s="55"/>
      <c r="M1653" s="46"/>
      <c r="N1653" s="48"/>
      <c r="O1653" s="58"/>
      <c r="P1653" s="61"/>
    </row>
    <row r="1654" spans="12:16" x14ac:dyDescent="0.25">
      <c r="L1654" s="55"/>
      <c r="M1654" s="46"/>
      <c r="N1654" s="48"/>
      <c r="O1654" s="58"/>
      <c r="P1654" s="61"/>
    </row>
    <row r="1655" spans="12:16" x14ac:dyDescent="0.25">
      <c r="L1655" s="55"/>
      <c r="M1655" s="46"/>
      <c r="N1655" s="48"/>
      <c r="O1655" s="58"/>
      <c r="P1655" s="61"/>
    </row>
    <row r="1656" spans="12:16" x14ac:dyDescent="0.25">
      <c r="L1656" s="55"/>
      <c r="M1656" s="46"/>
      <c r="N1656" s="48"/>
      <c r="O1656" s="58"/>
      <c r="P1656" s="61"/>
    </row>
    <row r="1657" spans="12:16" x14ac:dyDescent="0.25">
      <c r="L1657" s="55"/>
      <c r="M1657" s="46"/>
      <c r="N1657" s="48"/>
      <c r="O1657" s="58"/>
      <c r="P1657" s="61"/>
    </row>
    <row r="1658" spans="12:16" x14ac:dyDescent="0.25">
      <c r="L1658" s="55"/>
      <c r="M1658" s="46"/>
      <c r="N1658" s="48"/>
      <c r="O1658" s="58"/>
      <c r="P1658" s="61"/>
    </row>
    <row r="1659" spans="12:16" x14ac:dyDescent="0.25">
      <c r="L1659" s="55"/>
      <c r="M1659" s="46"/>
      <c r="N1659" s="48"/>
      <c r="O1659" s="58"/>
      <c r="P1659" s="61"/>
    </row>
    <row r="1660" spans="12:16" x14ac:dyDescent="0.25">
      <c r="L1660" s="55"/>
      <c r="M1660" s="46"/>
      <c r="N1660" s="48"/>
      <c r="O1660" s="58"/>
      <c r="P1660" s="61"/>
    </row>
    <row r="1661" spans="12:16" x14ac:dyDescent="0.25">
      <c r="L1661" s="55"/>
      <c r="M1661" s="46"/>
      <c r="N1661" s="48"/>
      <c r="O1661" s="58"/>
      <c r="P1661" s="61"/>
    </row>
    <row r="1662" spans="12:16" x14ac:dyDescent="0.25">
      <c r="L1662" s="55"/>
      <c r="M1662" s="46"/>
      <c r="N1662" s="48"/>
      <c r="O1662" s="58"/>
      <c r="P1662" s="61"/>
    </row>
    <row r="1663" spans="12:16" x14ac:dyDescent="0.25">
      <c r="L1663" s="55"/>
      <c r="M1663" s="46"/>
      <c r="N1663" s="48"/>
      <c r="O1663" s="58"/>
      <c r="P1663" s="61"/>
    </row>
    <row r="1664" spans="12:16" x14ac:dyDescent="0.25">
      <c r="L1664" s="55"/>
      <c r="M1664" s="46"/>
      <c r="N1664" s="48"/>
      <c r="O1664" s="58"/>
      <c r="P1664" s="61"/>
    </row>
    <row r="1665" spans="12:16" x14ac:dyDescent="0.25">
      <c r="L1665" s="55"/>
      <c r="M1665" s="46"/>
      <c r="N1665" s="48"/>
      <c r="O1665" s="58"/>
      <c r="P1665" s="61"/>
    </row>
    <row r="1666" spans="12:16" x14ac:dyDescent="0.25">
      <c r="L1666" s="55"/>
      <c r="M1666" s="46"/>
      <c r="N1666" s="48"/>
      <c r="O1666" s="58"/>
      <c r="P1666" s="61"/>
    </row>
    <row r="1667" spans="12:16" x14ac:dyDescent="0.25">
      <c r="L1667" s="55"/>
      <c r="M1667" s="46"/>
      <c r="N1667" s="48"/>
      <c r="O1667" s="58"/>
      <c r="P1667" s="61"/>
    </row>
    <row r="1668" spans="12:16" x14ac:dyDescent="0.25">
      <c r="L1668" s="55"/>
      <c r="M1668" s="46"/>
      <c r="N1668" s="48"/>
      <c r="O1668" s="58"/>
      <c r="P1668" s="61"/>
    </row>
    <row r="1669" spans="12:16" x14ac:dyDescent="0.25">
      <c r="L1669" s="55"/>
      <c r="M1669" s="46"/>
      <c r="N1669" s="48"/>
      <c r="O1669" s="58"/>
      <c r="P1669" s="61"/>
    </row>
    <row r="1670" spans="12:16" x14ac:dyDescent="0.25">
      <c r="L1670" s="55"/>
      <c r="M1670" s="46"/>
      <c r="N1670" s="48"/>
      <c r="O1670" s="58"/>
      <c r="P1670" s="61"/>
    </row>
    <row r="1671" spans="12:16" x14ac:dyDescent="0.25">
      <c r="L1671" s="55"/>
      <c r="M1671" s="46"/>
      <c r="N1671" s="48"/>
      <c r="O1671" s="58"/>
      <c r="P1671" s="61"/>
    </row>
    <row r="1672" spans="12:16" x14ac:dyDescent="0.25">
      <c r="L1672" s="55"/>
      <c r="M1672" s="46"/>
      <c r="N1672" s="48"/>
      <c r="O1672" s="58"/>
      <c r="P1672" s="61"/>
    </row>
    <row r="1673" spans="12:16" x14ac:dyDescent="0.25">
      <c r="L1673" s="55"/>
      <c r="M1673" s="46"/>
      <c r="N1673" s="48"/>
      <c r="O1673" s="58"/>
      <c r="P1673" s="61"/>
    </row>
    <row r="1674" spans="12:16" x14ac:dyDescent="0.25">
      <c r="L1674" s="55"/>
      <c r="M1674" s="46"/>
      <c r="N1674" s="48"/>
      <c r="O1674" s="58"/>
      <c r="P1674" s="61"/>
    </row>
    <row r="1675" spans="12:16" x14ac:dyDescent="0.25">
      <c r="L1675" s="55"/>
      <c r="M1675" s="46"/>
      <c r="N1675" s="48"/>
      <c r="O1675" s="58"/>
      <c r="P1675" s="61"/>
    </row>
    <row r="1676" spans="12:16" x14ac:dyDescent="0.25">
      <c r="L1676" s="55"/>
      <c r="M1676" s="46"/>
      <c r="N1676" s="48"/>
      <c r="O1676" s="58"/>
      <c r="P1676" s="61"/>
    </row>
    <row r="1677" spans="12:16" x14ac:dyDescent="0.25">
      <c r="L1677" s="55"/>
      <c r="M1677" s="46"/>
      <c r="N1677" s="48"/>
      <c r="O1677" s="58"/>
      <c r="P1677" s="61"/>
    </row>
    <row r="1678" spans="12:16" x14ac:dyDescent="0.25">
      <c r="L1678" s="55"/>
      <c r="M1678" s="46"/>
      <c r="N1678" s="48"/>
      <c r="O1678" s="58"/>
      <c r="P1678" s="61"/>
    </row>
    <row r="1679" spans="12:16" x14ac:dyDescent="0.25">
      <c r="L1679" s="55"/>
      <c r="M1679" s="46"/>
      <c r="N1679" s="48"/>
      <c r="O1679" s="58"/>
      <c r="P1679" s="61"/>
    </row>
    <row r="1680" spans="12:16" x14ac:dyDescent="0.25">
      <c r="L1680" s="55"/>
      <c r="M1680" s="46"/>
      <c r="N1680" s="48"/>
      <c r="O1680" s="58"/>
      <c r="P1680" s="61"/>
    </row>
    <row r="1681" spans="12:16" x14ac:dyDescent="0.25">
      <c r="L1681" s="55"/>
      <c r="M1681" s="46"/>
      <c r="N1681" s="48"/>
      <c r="O1681" s="58"/>
      <c r="P1681" s="61"/>
    </row>
    <row r="1682" spans="12:16" x14ac:dyDescent="0.25">
      <c r="L1682" s="55"/>
      <c r="M1682" s="46"/>
      <c r="N1682" s="48"/>
      <c r="O1682" s="58"/>
      <c r="P1682" s="61"/>
    </row>
    <row r="1683" spans="12:16" x14ac:dyDescent="0.25">
      <c r="L1683" s="55"/>
      <c r="M1683" s="46"/>
      <c r="N1683" s="48"/>
      <c r="O1683" s="58"/>
      <c r="P1683" s="61"/>
    </row>
    <row r="1684" spans="12:16" x14ac:dyDescent="0.25">
      <c r="L1684" s="55"/>
      <c r="M1684" s="46"/>
      <c r="N1684" s="48"/>
      <c r="O1684" s="58"/>
      <c r="P1684" s="61"/>
    </row>
    <row r="1685" spans="12:16" x14ac:dyDescent="0.25">
      <c r="L1685" s="55"/>
      <c r="M1685" s="46"/>
      <c r="N1685" s="48"/>
      <c r="O1685" s="58"/>
      <c r="P1685" s="61"/>
    </row>
    <row r="1686" spans="12:16" x14ac:dyDescent="0.25">
      <c r="L1686" s="55"/>
      <c r="M1686" s="46"/>
      <c r="N1686" s="48"/>
      <c r="O1686" s="58"/>
      <c r="P1686" s="61"/>
    </row>
    <row r="1687" spans="12:16" x14ac:dyDescent="0.25">
      <c r="L1687" s="55"/>
      <c r="M1687" s="46"/>
      <c r="N1687" s="48"/>
      <c r="O1687" s="58"/>
      <c r="P1687" s="61"/>
    </row>
    <row r="1688" spans="12:16" x14ac:dyDescent="0.25">
      <c r="L1688" s="55"/>
      <c r="M1688" s="46"/>
      <c r="N1688" s="48"/>
      <c r="O1688" s="58"/>
      <c r="P1688" s="61"/>
    </row>
    <row r="1689" spans="12:16" x14ac:dyDescent="0.25">
      <c r="L1689" s="55"/>
      <c r="M1689" s="46"/>
      <c r="N1689" s="48"/>
      <c r="O1689" s="58"/>
      <c r="P1689" s="61"/>
    </row>
    <row r="1690" spans="12:16" x14ac:dyDescent="0.25">
      <c r="L1690" s="55"/>
      <c r="M1690" s="46"/>
      <c r="N1690" s="48"/>
      <c r="O1690" s="58"/>
      <c r="P1690" s="61"/>
    </row>
    <row r="1691" spans="12:16" x14ac:dyDescent="0.25">
      <c r="L1691" s="55"/>
      <c r="M1691" s="46"/>
      <c r="N1691" s="48"/>
      <c r="O1691" s="58"/>
      <c r="P1691" s="61"/>
    </row>
    <row r="1692" spans="12:16" x14ac:dyDescent="0.25">
      <c r="L1692" s="55"/>
      <c r="M1692" s="46"/>
      <c r="N1692" s="48"/>
      <c r="O1692" s="58"/>
      <c r="P1692" s="61"/>
    </row>
    <row r="1693" spans="12:16" x14ac:dyDescent="0.25">
      <c r="L1693" s="55"/>
      <c r="M1693" s="46"/>
      <c r="N1693" s="48"/>
      <c r="O1693" s="58"/>
      <c r="P1693" s="61"/>
    </row>
    <row r="1694" spans="12:16" x14ac:dyDescent="0.25">
      <c r="L1694" s="55"/>
      <c r="M1694" s="46"/>
      <c r="N1694" s="48"/>
      <c r="O1694" s="58"/>
      <c r="P1694" s="61"/>
    </row>
    <row r="1695" spans="12:16" x14ac:dyDescent="0.25">
      <c r="L1695" s="55"/>
      <c r="M1695" s="46"/>
      <c r="N1695" s="48"/>
      <c r="O1695" s="58"/>
      <c r="P1695" s="61"/>
    </row>
    <row r="1696" spans="12:16" x14ac:dyDescent="0.25">
      <c r="L1696" s="55"/>
      <c r="M1696" s="46"/>
      <c r="N1696" s="48"/>
      <c r="O1696" s="58"/>
      <c r="P1696" s="61"/>
    </row>
    <row r="1697" spans="12:16" x14ac:dyDescent="0.25">
      <c r="L1697" s="55"/>
      <c r="M1697" s="46"/>
      <c r="N1697" s="48"/>
      <c r="O1697" s="58"/>
      <c r="P1697" s="61"/>
    </row>
    <row r="1698" spans="12:16" x14ac:dyDescent="0.25">
      <c r="L1698" s="55"/>
      <c r="M1698" s="46"/>
      <c r="N1698" s="48"/>
      <c r="O1698" s="58"/>
      <c r="P1698" s="61"/>
    </row>
    <row r="1699" spans="12:16" x14ac:dyDescent="0.25">
      <c r="L1699" s="55"/>
      <c r="M1699" s="46"/>
      <c r="N1699" s="48"/>
      <c r="O1699" s="58"/>
      <c r="P1699" s="61"/>
    </row>
    <row r="1700" spans="12:16" x14ac:dyDescent="0.25">
      <c r="L1700" s="55"/>
      <c r="M1700" s="46"/>
      <c r="N1700" s="48"/>
      <c r="O1700" s="58"/>
      <c r="P1700" s="61"/>
    </row>
    <row r="1701" spans="12:16" x14ac:dyDescent="0.25">
      <c r="L1701" s="55"/>
      <c r="M1701" s="46"/>
      <c r="N1701" s="48"/>
      <c r="O1701" s="58"/>
      <c r="P1701" s="61"/>
    </row>
    <row r="1702" spans="12:16" x14ac:dyDescent="0.25">
      <c r="L1702" s="55"/>
      <c r="M1702" s="46"/>
      <c r="N1702" s="48"/>
      <c r="O1702" s="58"/>
      <c r="P1702" s="61"/>
    </row>
    <row r="1703" spans="12:16" x14ac:dyDescent="0.25">
      <c r="L1703" s="55"/>
      <c r="M1703" s="46"/>
      <c r="N1703" s="48"/>
      <c r="O1703" s="58"/>
      <c r="P1703" s="61"/>
    </row>
    <row r="1704" spans="12:16" x14ac:dyDescent="0.25">
      <c r="L1704" s="55"/>
      <c r="M1704" s="46"/>
      <c r="N1704" s="48"/>
      <c r="O1704" s="58"/>
      <c r="P1704" s="61"/>
    </row>
    <row r="1705" spans="12:16" x14ac:dyDescent="0.25">
      <c r="L1705" s="55"/>
      <c r="M1705" s="46"/>
      <c r="N1705" s="48"/>
      <c r="O1705" s="58"/>
      <c r="P1705" s="61"/>
    </row>
    <row r="1706" spans="12:16" x14ac:dyDescent="0.25">
      <c r="L1706" s="55"/>
      <c r="M1706" s="46"/>
      <c r="N1706" s="48"/>
      <c r="O1706" s="58"/>
      <c r="P1706" s="61"/>
    </row>
    <row r="1707" spans="12:16" x14ac:dyDescent="0.25">
      <c r="L1707" s="55"/>
      <c r="M1707" s="46"/>
      <c r="N1707" s="48"/>
      <c r="O1707" s="58"/>
      <c r="P1707" s="61"/>
    </row>
    <row r="1708" spans="12:16" x14ac:dyDescent="0.25">
      <c r="L1708" s="55"/>
      <c r="M1708" s="46"/>
      <c r="N1708" s="48"/>
      <c r="O1708" s="58"/>
      <c r="P1708" s="61"/>
    </row>
    <row r="1709" spans="12:16" x14ac:dyDescent="0.25">
      <c r="L1709" s="55"/>
      <c r="M1709" s="46"/>
      <c r="N1709" s="48"/>
      <c r="O1709" s="58"/>
      <c r="P1709" s="61"/>
    </row>
    <row r="1710" spans="12:16" x14ac:dyDescent="0.25">
      <c r="L1710" s="55"/>
      <c r="M1710" s="46"/>
      <c r="N1710" s="48"/>
      <c r="O1710" s="58"/>
      <c r="P1710" s="61"/>
    </row>
    <row r="1711" spans="12:16" x14ac:dyDescent="0.25">
      <c r="L1711" s="55"/>
      <c r="M1711" s="46"/>
      <c r="N1711" s="48"/>
      <c r="O1711" s="58"/>
      <c r="P1711" s="61"/>
    </row>
    <row r="1712" spans="12:16" x14ac:dyDescent="0.25">
      <c r="L1712" s="55"/>
      <c r="M1712" s="46"/>
      <c r="N1712" s="48"/>
      <c r="O1712" s="58"/>
      <c r="P1712" s="61"/>
    </row>
    <row r="1713" spans="12:16" x14ac:dyDescent="0.25">
      <c r="L1713" s="55"/>
      <c r="M1713" s="46"/>
      <c r="N1713" s="48"/>
      <c r="O1713" s="58"/>
      <c r="P1713" s="61"/>
    </row>
    <row r="1714" spans="12:16" x14ac:dyDescent="0.25">
      <c r="L1714" s="55"/>
      <c r="M1714" s="46"/>
      <c r="N1714" s="48"/>
      <c r="O1714" s="58"/>
      <c r="P1714" s="61"/>
    </row>
    <row r="1715" spans="12:16" x14ac:dyDescent="0.25">
      <c r="L1715" s="55"/>
      <c r="M1715" s="46"/>
      <c r="N1715" s="48"/>
      <c r="O1715" s="58"/>
      <c r="P1715" s="61"/>
    </row>
    <row r="1716" spans="12:16" x14ac:dyDescent="0.25">
      <c r="L1716" s="55"/>
      <c r="M1716" s="46"/>
      <c r="N1716" s="48"/>
      <c r="O1716" s="58"/>
      <c r="P1716" s="61"/>
    </row>
    <row r="1717" spans="12:16" x14ac:dyDescent="0.25">
      <c r="L1717" s="55"/>
      <c r="M1717" s="46"/>
      <c r="N1717" s="48"/>
      <c r="O1717" s="58"/>
      <c r="P1717" s="61"/>
    </row>
    <row r="1718" spans="12:16" x14ac:dyDescent="0.25">
      <c r="L1718" s="55"/>
      <c r="M1718" s="46"/>
      <c r="N1718" s="48"/>
      <c r="O1718" s="58"/>
      <c r="P1718" s="61"/>
    </row>
    <row r="1719" spans="12:16" x14ac:dyDescent="0.25">
      <c r="L1719" s="55"/>
      <c r="M1719" s="46"/>
      <c r="N1719" s="48"/>
      <c r="O1719" s="58"/>
      <c r="P1719" s="61"/>
    </row>
    <row r="1720" spans="12:16" x14ac:dyDescent="0.25">
      <c r="L1720" s="55"/>
      <c r="M1720" s="46"/>
      <c r="N1720" s="48"/>
      <c r="O1720" s="58"/>
      <c r="P1720" s="61"/>
    </row>
    <row r="1721" spans="12:16" x14ac:dyDescent="0.25">
      <c r="L1721" s="55"/>
      <c r="M1721" s="46"/>
      <c r="N1721" s="48"/>
      <c r="O1721" s="58"/>
      <c r="P1721" s="61"/>
    </row>
    <row r="1722" spans="12:16" x14ac:dyDescent="0.25">
      <c r="L1722" s="55"/>
      <c r="M1722" s="46"/>
      <c r="N1722" s="48"/>
      <c r="O1722" s="58"/>
      <c r="P1722" s="61"/>
    </row>
    <row r="1723" spans="12:16" x14ac:dyDescent="0.25">
      <c r="L1723" s="55"/>
      <c r="M1723" s="46"/>
      <c r="N1723" s="48"/>
      <c r="O1723" s="58"/>
      <c r="P1723" s="61"/>
    </row>
    <row r="1724" spans="12:16" x14ac:dyDescent="0.25">
      <c r="L1724" s="55"/>
      <c r="M1724" s="46"/>
      <c r="N1724" s="48"/>
      <c r="O1724" s="58"/>
      <c r="P1724" s="61"/>
    </row>
    <row r="1725" spans="12:16" x14ac:dyDescent="0.25">
      <c r="L1725" s="55"/>
      <c r="M1725" s="46"/>
      <c r="N1725" s="48"/>
      <c r="O1725" s="58"/>
      <c r="P1725" s="61"/>
    </row>
    <row r="1726" spans="12:16" x14ac:dyDescent="0.25">
      <c r="L1726" s="55"/>
      <c r="M1726" s="46"/>
      <c r="N1726" s="48"/>
      <c r="O1726" s="58"/>
      <c r="P1726" s="61"/>
    </row>
    <row r="1727" spans="12:16" x14ac:dyDescent="0.25">
      <c r="L1727" s="55"/>
      <c r="M1727" s="46"/>
      <c r="N1727" s="48"/>
      <c r="O1727" s="58"/>
      <c r="P1727" s="61"/>
    </row>
    <row r="1728" spans="12:16" x14ac:dyDescent="0.25">
      <c r="L1728" s="55"/>
      <c r="M1728" s="46"/>
      <c r="N1728" s="48"/>
      <c r="O1728" s="58"/>
      <c r="P1728" s="61"/>
    </row>
    <row r="1729" spans="12:16" x14ac:dyDescent="0.25">
      <c r="L1729" s="55"/>
      <c r="M1729" s="46"/>
      <c r="N1729" s="48"/>
      <c r="O1729" s="58"/>
      <c r="P1729" s="61"/>
    </row>
    <row r="1730" spans="12:16" x14ac:dyDescent="0.25">
      <c r="L1730" s="55"/>
      <c r="M1730" s="46"/>
      <c r="N1730" s="48"/>
      <c r="O1730" s="58"/>
      <c r="P1730" s="61"/>
    </row>
    <row r="1731" spans="12:16" x14ac:dyDescent="0.25">
      <c r="L1731" s="55"/>
      <c r="M1731" s="46"/>
      <c r="N1731" s="48"/>
      <c r="O1731" s="58"/>
      <c r="P1731" s="61"/>
    </row>
    <row r="1732" spans="12:16" x14ac:dyDescent="0.25">
      <c r="L1732" s="55"/>
      <c r="M1732" s="46"/>
      <c r="N1732" s="48"/>
      <c r="O1732" s="58"/>
      <c r="P1732" s="61"/>
    </row>
    <row r="1733" spans="12:16" x14ac:dyDescent="0.25">
      <c r="L1733" s="55"/>
      <c r="M1733" s="46"/>
      <c r="N1733" s="48"/>
      <c r="O1733" s="58"/>
      <c r="P1733" s="61"/>
    </row>
    <row r="1734" spans="12:16" x14ac:dyDescent="0.25">
      <c r="L1734" s="55"/>
      <c r="M1734" s="46"/>
      <c r="N1734" s="48"/>
      <c r="O1734" s="58"/>
      <c r="P1734" s="61"/>
    </row>
    <row r="1735" spans="12:16" x14ac:dyDescent="0.25">
      <c r="L1735" s="55"/>
      <c r="M1735" s="46"/>
      <c r="N1735" s="48"/>
      <c r="O1735" s="58"/>
      <c r="P1735" s="61"/>
    </row>
    <row r="1736" spans="12:16" x14ac:dyDescent="0.25">
      <c r="L1736" s="55"/>
      <c r="M1736" s="46"/>
      <c r="N1736" s="48"/>
      <c r="O1736" s="58"/>
      <c r="P1736" s="61"/>
    </row>
    <row r="1737" spans="12:16" x14ac:dyDescent="0.25">
      <c r="L1737" s="55"/>
      <c r="M1737" s="46"/>
      <c r="N1737" s="48"/>
      <c r="O1737" s="58"/>
      <c r="P1737" s="61"/>
    </row>
    <row r="1738" spans="12:16" x14ac:dyDescent="0.25">
      <c r="L1738" s="55"/>
      <c r="M1738" s="46"/>
      <c r="N1738" s="48"/>
      <c r="O1738" s="58"/>
      <c r="P1738" s="61"/>
    </row>
    <row r="1739" spans="12:16" x14ac:dyDescent="0.25">
      <c r="L1739" s="55"/>
      <c r="M1739" s="46"/>
      <c r="N1739" s="48"/>
      <c r="O1739" s="58"/>
      <c r="P1739" s="61"/>
    </row>
    <row r="1740" spans="12:16" x14ac:dyDescent="0.25">
      <c r="L1740" s="55"/>
      <c r="M1740" s="46"/>
      <c r="N1740" s="48"/>
      <c r="O1740" s="58"/>
      <c r="P1740" s="61"/>
    </row>
    <row r="1741" spans="12:16" x14ac:dyDescent="0.25">
      <c r="L1741" s="55"/>
      <c r="M1741" s="46"/>
      <c r="N1741" s="48"/>
      <c r="O1741" s="58"/>
      <c r="P1741" s="61"/>
    </row>
    <row r="1742" spans="12:16" x14ac:dyDescent="0.25">
      <c r="L1742" s="55"/>
      <c r="M1742" s="46"/>
      <c r="N1742" s="48"/>
      <c r="O1742" s="58"/>
      <c r="P1742" s="61"/>
    </row>
    <row r="1743" spans="12:16" x14ac:dyDescent="0.25">
      <c r="L1743" s="55"/>
      <c r="M1743" s="46"/>
      <c r="N1743" s="48"/>
      <c r="O1743" s="58"/>
      <c r="P1743" s="61"/>
    </row>
    <row r="1744" spans="12:16" x14ac:dyDescent="0.25">
      <c r="L1744" s="55"/>
      <c r="M1744" s="46"/>
      <c r="N1744" s="48"/>
      <c r="O1744" s="58"/>
      <c r="P1744" s="61"/>
    </row>
    <row r="1745" spans="12:16" x14ac:dyDescent="0.25">
      <c r="L1745" s="55"/>
      <c r="M1745" s="46"/>
      <c r="N1745" s="48"/>
      <c r="O1745" s="58"/>
      <c r="P1745" s="61"/>
    </row>
    <row r="1746" spans="12:16" x14ac:dyDescent="0.25">
      <c r="L1746" s="55"/>
      <c r="M1746" s="46"/>
      <c r="N1746" s="48"/>
      <c r="O1746" s="58"/>
      <c r="P1746" s="61"/>
    </row>
    <row r="1747" spans="12:16" x14ac:dyDescent="0.25">
      <c r="L1747" s="55"/>
      <c r="M1747" s="46"/>
      <c r="N1747" s="48"/>
      <c r="O1747" s="58"/>
      <c r="P1747" s="61"/>
    </row>
    <row r="1748" spans="12:16" x14ac:dyDescent="0.25">
      <c r="L1748" s="55"/>
      <c r="M1748" s="46"/>
      <c r="N1748" s="48"/>
      <c r="O1748" s="58"/>
      <c r="P1748" s="61"/>
    </row>
    <row r="1749" spans="12:16" x14ac:dyDescent="0.25">
      <c r="L1749" s="55"/>
      <c r="M1749" s="46"/>
      <c r="N1749" s="48"/>
      <c r="O1749" s="58"/>
      <c r="P1749" s="61"/>
    </row>
    <row r="1750" spans="12:16" x14ac:dyDescent="0.25">
      <c r="L1750" s="55"/>
      <c r="M1750" s="46"/>
      <c r="N1750" s="48"/>
      <c r="O1750" s="58"/>
      <c r="P1750" s="61"/>
    </row>
    <row r="1751" spans="12:16" x14ac:dyDescent="0.25">
      <c r="L1751" s="55"/>
      <c r="M1751" s="46"/>
      <c r="N1751" s="48"/>
      <c r="O1751" s="58"/>
      <c r="P1751" s="61"/>
    </row>
    <row r="1752" spans="12:16" x14ac:dyDescent="0.25">
      <c r="L1752" s="55"/>
      <c r="M1752" s="46"/>
      <c r="N1752" s="48"/>
      <c r="O1752" s="58"/>
      <c r="P1752" s="61"/>
    </row>
    <row r="1753" spans="12:16" x14ac:dyDescent="0.25">
      <c r="L1753" s="55"/>
      <c r="M1753" s="46"/>
      <c r="N1753" s="48"/>
      <c r="O1753" s="58"/>
      <c r="P1753" s="61"/>
    </row>
    <row r="1754" spans="12:16" x14ac:dyDescent="0.25">
      <c r="L1754" s="55"/>
      <c r="M1754" s="46"/>
      <c r="N1754" s="48"/>
      <c r="O1754" s="58"/>
      <c r="P1754" s="61"/>
    </row>
    <row r="1755" spans="12:16" x14ac:dyDescent="0.25">
      <c r="L1755" s="55"/>
      <c r="M1755" s="46"/>
      <c r="N1755" s="48"/>
      <c r="O1755" s="58"/>
      <c r="P1755" s="61"/>
    </row>
    <row r="1756" spans="12:16" x14ac:dyDescent="0.25">
      <c r="L1756" s="55"/>
      <c r="M1756" s="46"/>
      <c r="N1756" s="48"/>
      <c r="O1756" s="58"/>
      <c r="P1756" s="61"/>
    </row>
    <row r="1757" spans="12:16" x14ac:dyDescent="0.25">
      <c r="L1757" s="55"/>
      <c r="M1757" s="46"/>
      <c r="N1757" s="48"/>
      <c r="O1757" s="58"/>
      <c r="P1757" s="61"/>
    </row>
    <row r="1758" spans="12:16" x14ac:dyDescent="0.25">
      <c r="L1758" s="55"/>
      <c r="M1758" s="46"/>
      <c r="N1758" s="48"/>
      <c r="O1758" s="58"/>
      <c r="P1758" s="61"/>
    </row>
    <row r="1759" spans="12:16" x14ac:dyDescent="0.25">
      <c r="L1759" s="55"/>
      <c r="M1759" s="46"/>
      <c r="N1759" s="48"/>
      <c r="O1759" s="58"/>
      <c r="P1759" s="61"/>
    </row>
    <row r="1760" spans="12:16" x14ac:dyDescent="0.25">
      <c r="L1760" s="55"/>
      <c r="M1760" s="46"/>
      <c r="N1760" s="48"/>
      <c r="O1760" s="58"/>
      <c r="P1760" s="61"/>
    </row>
    <row r="1761" spans="12:16" x14ac:dyDescent="0.25">
      <c r="L1761" s="55"/>
      <c r="M1761" s="46"/>
      <c r="N1761" s="48"/>
      <c r="O1761" s="58"/>
      <c r="P1761" s="61"/>
    </row>
    <row r="1762" spans="12:16" x14ac:dyDescent="0.25">
      <c r="L1762" s="55"/>
      <c r="M1762" s="46"/>
      <c r="N1762" s="48"/>
      <c r="O1762" s="58"/>
      <c r="P1762" s="61"/>
    </row>
    <row r="1763" spans="12:16" x14ac:dyDescent="0.25">
      <c r="L1763" s="55"/>
      <c r="M1763" s="46"/>
      <c r="N1763" s="48"/>
      <c r="O1763" s="58"/>
      <c r="P1763" s="61"/>
    </row>
    <row r="1764" spans="12:16" x14ac:dyDescent="0.25">
      <c r="L1764" s="55"/>
      <c r="M1764" s="46"/>
      <c r="N1764" s="48"/>
      <c r="O1764" s="58"/>
      <c r="P1764" s="61"/>
    </row>
    <row r="1765" spans="12:16" x14ac:dyDescent="0.25">
      <c r="L1765" s="55"/>
      <c r="M1765" s="46"/>
      <c r="N1765" s="48"/>
      <c r="O1765" s="58"/>
      <c r="P1765" s="61"/>
    </row>
    <row r="1766" spans="12:16" x14ac:dyDescent="0.25">
      <c r="L1766" s="55"/>
      <c r="M1766" s="46"/>
      <c r="N1766" s="48"/>
      <c r="O1766" s="58"/>
      <c r="P1766" s="61"/>
    </row>
    <row r="1767" spans="12:16" x14ac:dyDescent="0.25">
      <c r="L1767" s="55"/>
      <c r="M1767" s="46"/>
      <c r="N1767" s="48"/>
      <c r="O1767" s="58"/>
      <c r="P1767" s="61"/>
    </row>
    <row r="1768" spans="12:16" x14ac:dyDescent="0.25">
      <c r="L1768" s="55"/>
      <c r="M1768" s="46"/>
      <c r="N1768" s="48"/>
      <c r="O1768" s="58"/>
      <c r="P1768" s="61"/>
    </row>
    <row r="1769" spans="12:16" x14ac:dyDescent="0.25">
      <c r="L1769" s="55"/>
      <c r="M1769" s="46"/>
      <c r="N1769" s="48"/>
      <c r="O1769" s="58"/>
      <c r="P1769" s="61"/>
    </row>
    <row r="1770" spans="12:16" x14ac:dyDescent="0.25">
      <c r="L1770" s="55"/>
      <c r="M1770" s="46"/>
      <c r="N1770" s="48"/>
      <c r="O1770" s="58"/>
      <c r="P1770" s="61"/>
    </row>
    <row r="1771" spans="12:16" x14ac:dyDescent="0.25">
      <c r="L1771" s="55"/>
      <c r="M1771" s="46"/>
      <c r="N1771" s="48"/>
      <c r="O1771" s="58"/>
      <c r="P1771" s="61"/>
    </row>
    <row r="1772" spans="12:16" x14ac:dyDescent="0.25">
      <c r="L1772" s="55"/>
      <c r="M1772" s="46"/>
      <c r="N1772" s="48"/>
      <c r="O1772" s="58"/>
      <c r="P1772" s="61"/>
    </row>
    <row r="1773" spans="12:16" x14ac:dyDescent="0.25">
      <c r="L1773" s="55"/>
      <c r="M1773" s="46"/>
      <c r="N1773" s="48"/>
      <c r="O1773" s="58"/>
      <c r="P1773" s="61"/>
    </row>
    <row r="1774" spans="12:16" x14ac:dyDescent="0.25">
      <c r="L1774" s="55"/>
      <c r="M1774" s="46"/>
      <c r="N1774" s="48"/>
      <c r="O1774" s="58"/>
      <c r="P1774" s="61"/>
    </row>
    <row r="1775" spans="12:16" x14ac:dyDescent="0.25">
      <c r="L1775" s="55"/>
      <c r="M1775" s="46"/>
      <c r="N1775" s="48"/>
      <c r="O1775" s="58"/>
      <c r="P1775" s="61"/>
    </row>
    <row r="1776" spans="12:16" x14ac:dyDescent="0.25">
      <c r="L1776" s="55"/>
      <c r="M1776" s="46"/>
      <c r="N1776" s="48"/>
      <c r="O1776" s="58"/>
      <c r="P1776" s="61"/>
    </row>
    <row r="1777" spans="12:16" x14ac:dyDescent="0.25">
      <c r="L1777" s="55"/>
      <c r="M1777" s="46"/>
      <c r="N1777" s="48"/>
      <c r="O1777" s="58"/>
      <c r="P1777" s="61"/>
    </row>
    <row r="1778" spans="12:16" x14ac:dyDescent="0.25">
      <c r="L1778" s="55"/>
      <c r="M1778" s="46"/>
      <c r="N1778" s="48"/>
      <c r="O1778" s="58"/>
      <c r="P1778" s="61"/>
    </row>
    <row r="1779" spans="12:16" x14ac:dyDescent="0.25">
      <c r="L1779" s="55"/>
      <c r="M1779" s="46"/>
      <c r="N1779" s="48"/>
      <c r="O1779" s="58"/>
      <c r="P1779" s="61"/>
    </row>
    <row r="1780" spans="12:16" x14ac:dyDescent="0.25">
      <c r="L1780" s="55"/>
      <c r="M1780" s="46"/>
      <c r="N1780" s="48"/>
      <c r="O1780" s="58"/>
      <c r="P1780" s="61"/>
    </row>
    <row r="1781" spans="12:16" x14ac:dyDescent="0.25">
      <c r="L1781" s="55"/>
      <c r="M1781" s="46"/>
      <c r="N1781" s="48"/>
      <c r="O1781" s="58"/>
      <c r="P1781" s="61"/>
    </row>
    <row r="1782" spans="12:16" x14ac:dyDescent="0.25">
      <c r="L1782" s="55"/>
      <c r="M1782" s="46"/>
      <c r="N1782" s="48"/>
      <c r="O1782" s="58"/>
      <c r="P1782" s="61"/>
    </row>
    <row r="1783" spans="12:16" x14ac:dyDescent="0.25">
      <c r="L1783" s="55"/>
      <c r="M1783" s="46"/>
      <c r="N1783" s="48"/>
      <c r="O1783" s="58"/>
      <c r="P1783" s="61"/>
    </row>
    <row r="1784" spans="12:16" x14ac:dyDescent="0.25">
      <c r="L1784" s="55"/>
      <c r="M1784" s="46"/>
      <c r="N1784" s="48"/>
      <c r="O1784" s="58"/>
      <c r="P1784" s="61"/>
    </row>
    <row r="1785" spans="12:16" x14ac:dyDescent="0.25">
      <c r="L1785" s="55"/>
      <c r="M1785" s="46"/>
      <c r="N1785" s="48"/>
      <c r="O1785" s="58"/>
      <c r="P1785" s="61"/>
    </row>
    <row r="1786" spans="12:16" x14ac:dyDescent="0.25">
      <c r="L1786" s="55"/>
      <c r="M1786" s="46"/>
      <c r="N1786" s="48"/>
      <c r="O1786" s="58"/>
      <c r="P1786" s="61"/>
    </row>
    <row r="1787" spans="12:16" x14ac:dyDescent="0.25">
      <c r="L1787" s="55"/>
      <c r="M1787" s="46"/>
      <c r="N1787" s="48"/>
      <c r="O1787" s="58"/>
      <c r="P1787" s="61"/>
    </row>
    <row r="1788" spans="12:16" x14ac:dyDescent="0.25">
      <c r="L1788" s="55"/>
      <c r="M1788" s="46"/>
      <c r="N1788" s="48"/>
      <c r="O1788" s="58"/>
      <c r="P1788" s="61"/>
    </row>
    <row r="1789" spans="12:16" x14ac:dyDescent="0.25">
      <c r="L1789" s="55"/>
      <c r="M1789" s="46"/>
      <c r="N1789" s="48"/>
      <c r="O1789" s="58"/>
      <c r="P1789" s="61"/>
    </row>
    <row r="1790" spans="12:16" x14ac:dyDescent="0.25">
      <c r="L1790" s="55"/>
      <c r="M1790" s="46"/>
      <c r="N1790" s="48"/>
      <c r="O1790" s="58"/>
      <c r="P1790" s="61"/>
    </row>
    <row r="1791" spans="12:16" x14ac:dyDescent="0.25">
      <c r="L1791" s="55"/>
      <c r="M1791" s="46"/>
      <c r="N1791" s="48"/>
      <c r="O1791" s="58"/>
      <c r="P1791" s="61"/>
    </row>
    <row r="1792" spans="12:16" x14ac:dyDescent="0.25">
      <c r="L1792" s="55"/>
      <c r="M1792" s="46"/>
      <c r="N1792" s="48"/>
      <c r="O1792" s="58"/>
      <c r="P1792" s="61"/>
    </row>
    <row r="1793" spans="12:16" x14ac:dyDescent="0.25">
      <c r="L1793" s="55"/>
      <c r="M1793" s="46"/>
      <c r="N1793" s="48"/>
      <c r="O1793" s="58"/>
      <c r="P1793" s="61"/>
    </row>
    <row r="1794" spans="12:16" x14ac:dyDescent="0.25">
      <c r="L1794" s="55"/>
      <c r="M1794" s="46"/>
      <c r="N1794" s="48"/>
      <c r="O1794" s="58"/>
      <c r="P1794" s="61"/>
    </row>
    <row r="1795" spans="12:16" x14ac:dyDescent="0.25">
      <c r="L1795" s="55"/>
      <c r="M1795" s="46"/>
      <c r="N1795" s="48"/>
      <c r="O1795" s="58"/>
      <c r="P1795" s="61"/>
    </row>
    <row r="1796" spans="12:16" x14ac:dyDescent="0.25">
      <c r="L1796" s="55"/>
      <c r="M1796" s="46"/>
      <c r="N1796" s="48"/>
      <c r="O1796" s="58"/>
      <c r="P1796" s="61"/>
    </row>
    <row r="1797" spans="12:16" x14ac:dyDescent="0.25">
      <c r="L1797" s="55"/>
      <c r="M1797" s="46"/>
      <c r="N1797" s="48"/>
      <c r="O1797" s="58"/>
      <c r="P1797" s="61"/>
    </row>
    <row r="1798" spans="12:16" x14ac:dyDescent="0.25">
      <c r="L1798" s="55"/>
      <c r="M1798" s="46"/>
      <c r="N1798" s="48"/>
      <c r="O1798" s="58"/>
      <c r="P1798" s="61"/>
    </row>
    <row r="1799" spans="12:16" x14ac:dyDescent="0.25">
      <c r="L1799" s="55"/>
      <c r="M1799" s="46"/>
      <c r="N1799" s="48"/>
      <c r="O1799" s="58"/>
      <c r="P1799" s="61"/>
    </row>
    <row r="1800" spans="12:16" x14ac:dyDescent="0.25">
      <c r="L1800" s="55"/>
      <c r="M1800" s="46"/>
      <c r="N1800" s="48"/>
      <c r="O1800" s="58"/>
      <c r="P1800" s="61"/>
    </row>
    <row r="1801" spans="12:16" x14ac:dyDescent="0.25">
      <c r="L1801" s="55"/>
      <c r="M1801" s="46"/>
      <c r="N1801" s="48"/>
      <c r="O1801" s="58"/>
      <c r="P1801" s="61"/>
    </row>
    <row r="1802" spans="12:16" x14ac:dyDescent="0.25">
      <c r="L1802" s="55"/>
      <c r="M1802" s="46"/>
      <c r="N1802" s="48"/>
      <c r="O1802" s="58"/>
      <c r="P1802" s="61"/>
    </row>
    <row r="1803" spans="12:16" x14ac:dyDescent="0.25">
      <c r="L1803" s="55"/>
      <c r="M1803" s="46"/>
      <c r="N1803" s="48"/>
      <c r="O1803" s="58"/>
      <c r="P1803" s="61"/>
    </row>
    <row r="1804" spans="12:16" x14ac:dyDescent="0.25">
      <c r="L1804" s="55"/>
      <c r="M1804" s="46"/>
      <c r="N1804" s="48"/>
      <c r="O1804" s="58"/>
      <c r="P1804" s="61"/>
    </row>
    <row r="1805" spans="12:16" x14ac:dyDescent="0.25">
      <c r="L1805" s="55"/>
      <c r="M1805" s="46"/>
      <c r="N1805" s="48"/>
      <c r="O1805" s="58"/>
      <c r="P1805" s="61"/>
    </row>
    <row r="1806" spans="12:16" x14ac:dyDescent="0.25">
      <c r="L1806" s="55"/>
      <c r="M1806" s="46"/>
      <c r="N1806" s="48"/>
      <c r="O1806" s="58"/>
      <c r="P1806" s="61"/>
    </row>
    <row r="1807" spans="12:16" x14ac:dyDescent="0.25">
      <c r="L1807" s="55"/>
      <c r="M1807" s="46"/>
      <c r="N1807" s="48"/>
      <c r="O1807" s="58"/>
      <c r="P1807" s="61"/>
    </row>
    <row r="1808" spans="12:16" x14ac:dyDescent="0.25">
      <c r="L1808" s="55"/>
      <c r="M1808" s="46"/>
      <c r="N1808" s="48"/>
      <c r="O1808" s="58"/>
      <c r="P1808" s="61"/>
    </row>
    <row r="1809" spans="12:16" x14ac:dyDescent="0.25">
      <c r="L1809" s="55"/>
      <c r="M1809" s="46"/>
      <c r="N1809" s="48"/>
      <c r="O1809" s="58"/>
      <c r="P1809" s="61"/>
    </row>
    <row r="1810" spans="12:16" x14ac:dyDescent="0.25">
      <c r="L1810" s="55"/>
      <c r="M1810" s="46"/>
      <c r="N1810" s="48"/>
      <c r="O1810" s="58"/>
      <c r="P1810" s="61"/>
    </row>
    <row r="1811" spans="12:16" x14ac:dyDescent="0.25">
      <c r="L1811" s="55"/>
      <c r="M1811" s="46"/>
      <c r="N1811" s="48"/>
      <c r="O1811" s="58"/>
      <c r="P1811" s="61"/>
    </row>
    <row r="1812" spans="12:16" x14ac:dyDescent="0.25">
      <c r="L1812" s="55"/>
      <c r="M1812" s="46"/>
      <c r="N1812" s="48"/>
      <c r="O1812" s="58"/>
      <c r="P1812" s="61"/>
    </row>
    <row r="1813" spans="12:16" x14ac:dyDescent="0.25">
      <c r="L1813" s="55"/>
      <c r="M1813" s="46"/>
      <c r="N1813" s="48"/>
      <c r="O1813" s="58"/>
      <c r="P1813" s="61"/>
    </row>
    <row r="1814" spans="12:16" x14ac:dyDescent="0.25">
      <c r="L1814" s="55"/>
      <c r="M1814" s="46"/>
      <c r="N1814" s="48"/>
      <c r="O1814" s="58"/>
      <c r="P1814" s="61"/>
    </row>
    <row r="1815" spans="12:16" x14ac:dyDescent="0.25">
      <c r="L1815" s="55"/>
      <c r="M1815" s="46"/>
      <c r="N1815" s="48"/>
      <c r="O1815" s="58"/>
      <c r="P1815" s="61"/>
    </row>
    <row r="1816" spans="12:16" x14ac:dyDescent="0.25">
      <c r="L1816" s="55"/>
      <c r="M1816" s="46"/>
      <c r="N1816" s="48"/>
      <c r="O1816" s="58"/>
      <c r="P1816" s="61"/>
    </row>
    <row r="1817" spans="12:16" x14ac:dyDescent="0.25">
      <c r="L1817" s="55"/>
      <c r="M1817" s="46"/>
      <c r="N1817" s="48"/>
      <c r="O1817" s="58"/>
      <c r="P1817" s="61"/>
    </row>
    <row r="1818" spans="12:16" x14ac:dyDescent="0.25">
      <c r="L1818" s="55"/>
      <c r="M1818" s="46"/>
      <c r="N1818" s="48"/>
      <c r="O1818" s="58"/>
      <c r="P1818" s="61"/>
    </row>
    <row r="1819" spans="12:16" x14ac:dyDescent="0.25">
      <c r="L1819" s="55"/>
      <c r="M1819" s="46"/>
      <c r="N1819" s="48"/>
      <c r="O1819" s="58"/>
      <c r="P1819" s="61"/>
    </row>
    <row r="1820" spans="12:16" x14ac:dyDescent="0.25">
      <c r="L1820" s="55"/>
      <c r="M1820" s="46"/>
      <c r="N1820" s="48"/>
      <c r="O1820" s="58"/>
      <c r="P1820" s="61"/>
    </row>
    <row r="1821" spans="12:16" x14ac:dyDescent="0.25">
      <c r="L1821" s="55"/>
      <c r="M1821" s="46"/>
      <c r="N1821" s="48"/>
      <c r="O1821" s="58"/>
      <c r="P1821" s="61"/>
    </row>
    <row r="1822" spans="12:16" x14ac:dyDescent="0.25">
      <c r="L1822" s="55"/>
      <c r="M1822" s="46"/>
      <c r="N1822" s="48"/>
      <c r="O1822" s="58"/>
      <c r="P1822" s="61"/>
    </row>
    <row r="1823" spans="12:16" x14ac:dyDescent="0.25">
      <c r="L1823" s="55"/>
      <c r="M1823" s="46"/>
      <c r="N1823" s="48"/>
      <c r="O1823" s="58"/>
      <c r="P1823" s="61"/>
    </row>
    <row r="1824" spans="12:16" x14ac:dyDescent="0.25">
      <c r="L1824" s="55"/>
      <c r="M1824" s="46"/>
      <c r="N1824" s="48"/>
      <c r="O1824" s="58"/>
      <c r="P1824" s="61"/>
    </row>
    <row r="1825" spans="12:16" x14ac:dyDescent="0.25">
      <c r="L1825" s="55"/>
      <c r="M1825" s="46"/>
      <c r="N1825" s="48"/>
      <c r="O1825" s="58"/>
      <c r="P1825" s="61"/>
    </row>
    <row r="1826" spans="12:16" x14ac:dyDescent="0.25">
      <c r="L1826" s="55"/>
      <c r="M1826" s="46"/>
      <c r="N1826" s="48"/>
      <c r="O1826" s="58"/>
      <c r="P1826" s="61"/>
    </row>
    <row r="1827" spans="12:16" x14ac:dyDescent="0.25">
      <c r="L1827" s="55"/>
      <c r="M1827" s="46"/>
      <c r="N1827" s="48"/>
      <c r="O1827" s="58"/>
      <c r="P1827" s="61"/>
    </row>
    <row r="1828" spans="12:16" x14ac:dyDescent="0.25">
      <c r="L1828" s="55"/>
      <c r="M1828" s="46"/>
      <c r="N1828" s="48"/>
      <c r="O1828" s="58"/>
      <c r="P1828" s="61"/>
    </row>
    <row r="1829" spans="12:16" x14ac:dyDescent="0.25">
      <c r="L1829" s="55"/>
      <c r="M1829" s="46"/>
      <c r="N1829" s="48"/>
      <c r="O1829" s="58"/>
      <c r="P1829" s="61"/>
    </row>
    <row r="1830" spans="12:16" x14ac:dyDescent="0.25">
      <c r="L1830" s="55"/>
      <c r="M1830" s="46"/>
      <c r="N1830" s="48"/>
      <c r="O1830" s="58"/>
      <c r="P1830" s="61"/>
    </row>
    <row r="1831" spans="12:16" x14ac:dyDescent="0.25">
      <c r="L1831" s="55"/>
      <c r="M1831" s="46"/>
      <c r="N1831" s="48"/>
      <c r="O1831" s="58"/>
      <c r="P1831" s="61"/>
    </row>
    <row r="1832" spans="12:16" x14ac:dyDescent="0.25">
      <c r="L1832" s="55"/>
      <c r="M1832" s="46"/>
      <c r="N1832" s="48"/>
      <c r="O1832" s="58"/>
      <c r="P1832" s="61"/>
    </row>
    <row r="1833" spans="12:16" x14ac:dyDescent="0.25">
      <c r="L1833" s="55"/>
      <c r="M1833" s="46"/>
      <c r="N1833" s="48"/>
      <c r="O1833" s="58"/>
      <c r="P1833" s="61"/>
    </row>
    <row r="1834" spans="12:16" x14ac:dyDescent="0.25">
      <c r="L1834" s="55"/>
      <c r="M1834" s="46"/>
      <c r="N1834" s="48"/>
      <c r="O1834" s="58"/>
      <c r="P1834" s="61"/>
    </row>
    <row r="1835" spans="12:16" x14ac:dyDescent="0.25">
      <c r="L1835" s="55"/>
      <c r="M1835" s="46"/>
      <c r="N1835" s="48"/>
      <c r="O1835" s="58"/>
      <c r="P1835" s="61"/>
    </row>
    <row r="1836" spans="12:16" x14ac:dyDescent="0.25">
      <c r="L1836" s="55"/>
      <c r="M1836" s="46"/>
      <c r="N1836" s="48"/>
      <c r="O1836" s="58"/>
      <c r="P1836" s="61"/>
    </row>
    <row r="1837" spans="12:16" x14ac:dyDescent="0.25">
      <c r="L1837" s="55"/>
      <c r="M1837" s="46"/>
      <c r="N1837" s="48"/>
      <c r="O1837" s="58"/>
      <c r="P1837" s="61"/>
    </row>
    <row r="1838" spans="12:16" x14ac:dyDescent="0.25">
      <c r="L1838" s="55"/>
      <c r="M1838" s="46"/>
      <c r="N1838" s="48"/>
      <c r="O1838" s="58"/>
      <c r="P1838" s="61"/>
    </row>
    <row r="1839" spans="12:16" x14ac:dyDescent="0.25">
      <c r="L1839" s="55"/>
      <c r="M1839" s="46"/>
      <c r="N1839" s="48"/>
      <c r="O1839" s="58"/>
      <c r="P1839" s="61"/>
    </row>
    <row r="1840" spans="12:16" x14ac:dyDescent="0.25">
      <c r="L1840" s="55"/>
      <c r="M1840" s="46"/>
      <c r="N1840" s="48"/>
      <c r="O1840" s="58"/>
      <c r="P1840" s="61"/>
    </row>
    <row r="1841" spans="12:16" x14ac:dyDescent="0.25">
      <c r="L1841" s="55"/>
      <c r="M1841" s="46"/>
      <c r="N1841" s="48"/>
      <c r="O1841" s="58"/>
      <c r="P1841" s="61"/>
    </row>
    <row r="1842" spans="12:16" x14ac:dyDescent="0.25">
      <c r="L1842" s="55"/>
      <c r="M1842" s="46"/>
      <c r="N1842" s="48"/>
      <c r="O1842" s="58"/>
      <c r="P1842" s="61"/>
    </row>
    <row r="1843" spans="12:16" x14ac:dyDescent="0.25">
      <c r="L1843" s="55"/>
      <c r="M1843" s="46"/>
      <c r="N1843" s="48"/>
      <c r="O1843" s="58"/>
      <c r="P1843" s="61"/>
    </row>
    <row r="1844" spans="12:16" x14ac:dyDescent="0.25">
      <c r="L1844" s="55"/>
      <c r="M1844" s="46"/>
      <c r="N1844" s="48"/>
      <c r="O1844" s="58"/>
      <c r="P1844" s="61"/>
    </row>
    <row r="1845" spans="12:16" x14ac:dyDescent="0.25">
      <c r="L1845" s="55"/>
      <c r="M1845" s="46"/>
      <c r="N1845" s="48"/>
      <c r="O1845" s="58"/>
      <c r="P1845" s="61"/>
    </row>
    <row r="1846" spans="12:16" x14ac:dyDescent="0.25">
      <c r="L1846" s="55"/>
      <c r="M1846" s="46"/>
      <c r="N1846" s="48"/>
      <c r="O1846" s="58"/>
      <c r="P1846" s="61"/>
    </row>
    <row r="1847" spans="12:16" x14ac:dyDescent="0.25">
      <c r="L1847" s="55"/>
      <c r="M1847" s="46"/>
      <c r="N1847" s="48"/>
      <c r="O1847" s="58"/>
      <c r="P1847" s="61"/>
    </row>
    <row r="1848" spans="12:16" x14ac:dyDescent="0.25">
      <c r="L1848" s="55"/>
      <c r="M1848" s="46"/>
      <c r="N1848" s="48"/>
      <c r="O1848" s="58"/>
      <c r="P1848" s="61"/>
    </row>
    <row r="1849" spans="12:16" x14ac:dyDescent="0.25">
      <c r="L1849" s="55"/>
      <c r="M1849" s="46"/>
      <c r="N1849" s="48"/>
      <c r="O1849" s="58"/>
      <c r="P1849" s="61"/>
    </row>
    <row r="1850" spans="12:16" x14ac:dyDescent="0.25">
      <c r="L1850" s="55"/>
      <c r="M1850" s="46"/>
      <c r="N1850" s="48"/>
      <c r="O1850" s="58"/>
      <c r="P1850" s="61"/>
    </row>
    <row r="1851" spans="12:16" x14ac:dyDescent="0.25">
      <c r="L1851" s="55"/>
      <c r="M1851" s="46"/>
      <c r="N1851" s="48"/>
      <c r="O1851" s="58"/>
      <c r="P1851" s="61"/>
    </row>
    <row r="1852" spans="12:16" x14ac:dyDescent="0.25">
      <c r="L1852" s="55"/>
      <c r="M1852" s="46"/>
      <c r="N1852" s="48"/>
      <c r="O1852" s="58"/>
      <c r="P1852" s="61"/>
    </row>
    <row r="1853" spans="12:16" x14ac:dyDescent="0.25">
      <c r="L1853" s="55"/>
      <c r="M1853" s="46"/>
      <c r="N1853" s="48"/>
      <c r="O1853" s="58"/>
      <c r="P1853" s="61"/>
    </row>
    <row r="1854" spans="12:16" x14ac:dyDescent="0.25">
      <c r="L1854" s="55"/>
      <c r="M1854" s="46"/>
      <c r="N1854" s="48"/>
      <c r="O1854" s="58"/>
      <c r="P1854" s="61"/>
    </row>
    <row r="1855" spans="12:16" x14ac:dyDescent="0.25">
      <c r="L1855" s="55"/>
      <c r="M1855" s="46"/>
      <c r="N1855" s="48"/>
      <c r="O1855" s="58"/>
      <c r="P1855" s="61"/>
    </row>
    <row r="1856" spans="12:16" x14ac:dyDescent="0.25">
      <c r="L1856" s="55"/>
      <c r="M1856" s="46"/>
      <c r="N1856" s="48"/>
      <c r="O1856" s="58"/>
      <c r="P1856" s="61"/>
    </row>
    <row r="1857" spans="12:16" x14ac:dyDescent="0.25">
      <c r="L1857" s="55"/>
      <c r="M1857" s="46"/>
      <c r="N1857" s="48"/>
      <c r="O1857" s="58"/>
      <c r="P1857" s="61"/>
    </row>
    <row r="1858" spans="12:16" x14ac:dyDescent="0.25">
      <c r="L1858" s="55"/>
      <c r="M1858" s="46"/>
      <c r="N1858" s="48"/>
      <c r="O1858" s="58"/>
      <c r="P1858" s="61"/>
    </row>
    <row r="1859" spans="12:16" x14ac:dyDescent="0.25">
      <c r="L1859" s="55"/>
      <c r="M1859" s="46"/>
      <c r="N1859" s="48"/>
      <c r="O1859" s="58"/>
      <c r="P1859" s="61"/>
    </row>
    <row r="1860" spans="12:16" x14ac:dyDescent="0.25">
      <c r="L1860" s="55"/>
      <c r="M1860" s="46"/>
      <c r="N1860" s="48"/>
      <c r="O1860" s="58"/>
      <c r="P1860" s="61"/>
    </row>
    <row r="1861" spans="12:16" x14ac:dyDescent="0.25">
      <c r="L1861" s="55"/>
      <c r="M1861" s="46"/>
      <c r="N1861" s="48"/>
      <c r="O1861" s="58"/>
      <c r="P1861" s="61"/>
    </row>
    <row r="1862" spans="12:16" x14ac:dyDescent="0.25">
      <c r="L1862" s="55"/>
      <c r="M1862" s="46"/>
      <c r="N1862" s="48"/>
      <c r="O1862" s="58"/>
      <c r="P1862" s="61"/>
    </row>
    <row r="1863" spans="12:16" x14ac:dyDescent="0.25">
      <c r="L1863" s="55"/>
      <c r="M1863" s="46"/>
      <c r="N1863" s="48"/>
      <c r="O1863" s="58"/>
      <c r="P1863" s="61"/>
    </row>
    <row r="1864" spans="12:16" x14ac:dyDescent="0.25">
      <c r="L1864" s="55"/>
      <c r="M1864" s="46"/>
      <c r="N1864" s="48"/>
      <c r="O1864" s="58"/>
      <c r="P1864" s="61"/>
    </row>
    <row r="1865" spans="12:16" x14ac:dyDescent="0.25">
      <c r="L1865" s="55"/>
      <c r="M1865" s="46"/>
      <c r="N1865" s="48"/>
      <c r="O1865" s="58"/>
      <c r="P1865" s="61"/>
    </row>
    <row r="1866" spans="12:16" x14ac:dyDescent="0.25">
      <c r="L1866" s="55"/>
      <c r="M1866" s="46"/>
      <c r="N1866" s="48"/>
      <c r="O1866" s="58"/>
      <c r="P1866" s="61"/>
    </row>
    <row r="1867" spans="12:16" x14ac:dyDescent="0.25">
      <c r="L1867" s="55"/>
      <c r="M1867" s="46"/>
      <c r="N1867" s="48"/>
      <c r="O1867" s="58"/>
      <c r="P1867" s="61"/>
    </row>
    <row r="1868" spans="12:16" x14ac:dyDescent="0.25">
      <c r="L1868" s="55"/>
      <c r="M1868" s="46"/>
      <c r="N1868" s="48"/>
      <c r="O1868" s="58"/>
      <c r="P1868" s="61"/>
    </row>
    <row r="1869" spans="12:16" x14ac:dyDescent="0.25">
      <c r="L1869" s="55"/>
      <c r="M1869" s="46"/>
      <c r="N1869" s="48"/>
      <c r="O1869" s="58"/>
      <c r="P1869" s="61"/>
    </row>
    <row r="1870" spans="12:16" x14ac:dyDescent="0.25">
      <c r="L1870" s="55"/>
      <c r="M1870" s="46"/>
      <c r="N1870" s="48"/>
      <c r="O1870" s="58"/>
      <c r="P1870" s="61"/>
    </row>
    <row r="1871" spans="12:16" x14ac:dyDescent="0.25">
      <c r="L1871" s="55"/>
      <c r="M1871" s="46"/>
      <c r="N1871" s="48"/>
      <c r="O1871" s="58"/>
      <c r="P1871" s="61"/>
    </row>
    <row r="1872" spans="12:16" x14ac:dyDescent="0.25">
      <c r="L1872" s="55"/>
      <c r="M1872" s="46"/>
      <c r="N1872" s="48"/>
      <c r="O1872" s="58"/>
      <c r="P1872" s="61"/>
    </row>
    <row r="1873" spans="12:16" x14ac:dyDescent="0.25">
      <c r="L1873" s="55"/>
      <c r="M1873" s="46"/>
      <c r="N1873" s="48"/>
      <c r="O1873" s="58"/>
      <c r="P1873" s="61"/>
    </row>
    <row r="1874" spans="12:16" x14ac:dyDescent="0.25">
      <c r="L1874" s="55"/>
      <c r="M1874" s="46"/>
      <c r="N1874" s="48"/>
      <c r="O1874" s="58"/>
      <c r="P1874" s="61"/>
    </row>
    <row r="1875" spans="12:16" x14ac:dyDescent="0.25">
      <c r="L1875" s="55"/>
      <c r="M1875" s="46"/>
      <c r="N1875" s="48"/>
      <c r="O1875" s="58"/>
      <c r="P1875" s="61"/>
    </row>
    <row r="1876" spans="12:16" x14ac:dyDescent="0.25">
      <c r="L1876" s="55"/>
      <c r="M1876" s="46"/>
      <c r="N1876" s="48"/>
      <c r="O1876" s="58"/>
      <c r="P1876" s="61"/>
    </row>
    <row r="1877" spans="12:16" x14ac:dyDescent="0.25">
      <c r="L1877" s="55"/>
      <c r="M1877" s="46"/>
      <c r="N1877" s="48"/>
      <c r="O1877" s="58"/>
      <c r="P1877" s="61"/>
    </row>
    <row r="1878" spans="12:16" x14ac:dyDescent="0.25">
      <c r="L1878" s="55"/>
      <c r="M1878" s="46"/>
      <c r="N1878" s="48"/>
      <c r="O1878" s="58"/>
      <c r="P1878" s="61"/>
    </row>
    <row r="1879" spans="12:16" x14ac:dyDescent="0.25">
      <c r="L1879" s="55"/>
      <c r="M1879" s="46"/>
      <c r="N1879" s="48"/>
      <c r="O1879" s="58"/>
      <c r="P1879" s="61"/>
    </row>
    <row r="1880" spans="12:16" x14ac:dyDescent="0.25">
      <c r="L1880" s="55"/>
      <c r="M1880" s="46"/>
      <c r="N1880" s="48"/>
      <c r="O1880" s="58"/>
      <c r="P1880" s="61"/>
    </row>
    <row r="1881" spans="12:16" x14ac:dyDescent="0.25">
      <c r="L1881" s="55"/>
      <c r="M1881" s="46"/>
      <c r="N1881" s="48"/>
      <c r="O1881" s="58"/>
      <c r="P1881" s="61"/>
    </row>
    <row r="1882" spans="12:16" x14ac:dyDescent="0.25">
      <c r="L1882" s="55"/>
      <c r="M1882" s="46"/>
      <c r="N1882" s="48"/>
      <c r="O1882" s="58"/>
      <c r="P1882" s="61"/>
    </row>
    <row r="1883" spans="12:16" x14ac:dyDescent="0.25">
      <c r="L1883" s="55"/>
      <c r="M1883" s="46"/>
      <c r="N1883" s="48"/>
      <c r="O1883" s="58"/>
      <c r="P1883" s="61"/>
    </row>
    <row r="1884" spans="12:16" x14ac:dyDescent="0.25">
      <c r="L1884" s="55"/>
      <c r="M1884" s="46"/>
      <c r="N1884" s="48"/>
      <c r="O1884" s="58"/>
      <c r="P1884" s="61"/>
    </row>
    <row r="1885" spans="12:16" x14ac:dyDescent="0.25">
      <c r="L1885" s="55"/>
      <c r="M1885" s="46"/>
      <c r="N1885" s="48"/>
      <c r="O1885" s="58"/>
      <c r="P1885" s="61"/>
    </row>
    <row r="1886" spans="12:16" x14ac:dyDescent="0.25">
      <c r="L1886" s="55"/>
      <c r="M1886" s="46"/>
      <c r="N1886" s="48"/>
      <c r="O1886" s="58"/>
      <c r="P1886" s="61"/>
    </row>
    <row r="1887" spans="12:16" x14ac:dyDescent="0.25">
      <c r="L1887" s="55"/>
      <c r="M1887" s="46"/>
      <c r="N1887" s="48"/>
      <c r="O1887" s="58"/>
      <c r="P1887" s="61"/>
    </row>
    <row r="1888" spans="12:16" x14ac:dyDescent="0.25">
      <c r="L1888" s="55"/>
      <c r="M1888" s="46"/>
      <c r="N1888" s="48"/>
      <c r="O1888" s="58"/>
      <c r="P1888" s="61"/>
    </row>
    <row r="1889" spans="12:16" x14ac:dyDescent="0.25">
      <c r="L1889" s="55"/>
      <c r="M1889" s="46"/>
      <c r="N1889" s="48"/>
      <c r="O1889" s="58"/>
      <c r="P1889" s="61"/>
    </row>
    <row r="1890" spans="12:16" x14ac:dyDescent="0.25">
      <c r="L1890" s="55"/>
      <c r="M1890" s="46"/>
      <c r="N1890" s="48"/>
      <c r="O1890" s="58"/>
      <c r="P1890" s="61"/>
    </row>
    <row r="1891" spans="12:16" x14ac:dyDescent="0.25">
      <c r="L1891" s="55"/>
      <c r="M1891" s="46"/>
      <c r="N1891" s="48"/>
      <c r="O1891" s="58"/>
      <c r="P1891" s="61"/>
    </row>
    <row r="1892" spans="12:16" x14ac:dyDescent="0.25">
      <c r="L1892" s="55"/>
      <c r="M1892" s="46"/>
      <c r="N1892" s="48"/>
      <c r="O1892" s="58"/>
      <c r="P1892" s="61"/>
    </row>
    <row r="1893" spans="12:16" x14ac:dyDescent="0.25">
      <c r="L1893" s="55"/>
      <c r="M1893" s="46"/>
      <c r="N1893" s="48"/>
      <c r="O1893" s="58"/>
      <c r="P1893" s="61"/>
    </row>
    <row r="1894" spans="12:16" x14ac:dyDescent="0.25">
      <c r="L1894" s="55"/>
      <c r="M1894" s="46"/>
      <c r="N1894" s="48"/>
      <c r="O1894" s="58"/>
      <c r="P1894" s="61"/>
    </row>
    <row r="1895" spans="12:16" x14ac:dyDescent="0.25">
      <c r="L1895" s="55"/>
      <c r="M1895" s="46"/>
      <c r="N1895" s="48"/>
      <c r="O1895" s="58"/>
      <c r="P1895" s="61"/>
    </row>
    <row r="1896" spans="12:16" x14ac:dyDescent="0.25">
      <c r="L1896" s="55"/>
      <c r="M1896" s="46"/>
      <c r="N1896" s="48"/>
      <c r="O1896" s="58"/>
      <c r="P1896" s="61"/>
    </row>
    <row r="1897" spans="12:16" x14ac:dyDescent="0.25">
      <c r="L1897" s="55"/>
      <c r="M1897" s="46"/>
      <c r="N1897" s="48"/>
      <c r="O1897" s="58"/>
      <c r="P1897" s="61"/>
    </row>
    <row r="1898" spans="12:16" x14ac:dyDescent="0.25">
      <c r="L1898" s="55"/>
      <c r="M1898" s="46"/>
      <c r="N1898" s="48"/>
      <c r="O1898" s="58"/>
      <c r="P1898" s="61"/>
    </row>
    <row r="1899" spans="12:16" x14ac:dyDescent="0.25">
      <c r="L1899" s="55"/>
      <c r="M1899" s="46"/>
      <c r="N1899" s="48"/>
      <c r="O1899" s="58"/>
      <c r="P1899" s="61"/>
    </row>
    <row r="1900" spans="12:16" x14ac:dyDescent="0.25">
      <c r="L1900" s="55"/>
      <c r="M1900" s="46"/>
      <c r="N1900" s="48"/>
      <c r="O1900" s="58"/>
      <c r="P1900" s="61"/>
    </row>
    <row r="1901" spans="12:16" x14ac:dyDescent="0.25">
      <c r="L1901" s="55"/>
      <c r="M1901" s="46"/>
      <c r="N1901" s="48"/>
      <c r="O1901" s="58"/>
      <c r="P1901" s="61"/>
    </row>
    <row r="1902" spans="12:16" x14ac:dyDescent="0.25">
      <c r="L1902" s="55"/>
      <c r="M1902" s="46"/>
      <c r="N1902" s="48"/>
      <c r="O1902" s="58"/>
      <c r="P1902" s="61"/>
    </row>
    <row r="1903" spans="12:16" x14ac:dyDescent="0.25">
      <c r="L1903" s="55"/>
      <c r="M1903" s="46"/>
      <c r="N1903" s="48"/>
      <c r="O1903" s="58"/>
      <c r="P1903" s="61"/>
    </row>
    <row r="1904" spans="12:16" x14ac:dyDescent="0.25">
      <c r="L1904" s="55"/>
      <c r="M1904" s="46"/>
      <c r="N1904" s="48"/>
      <c r="O1904" s="58"/>
      <c r="P1904" s="61"/>
    </row>
    <row r="1905" spans="12:16" x14ac:dyDescent="0.25">
      <c r="L1905" s="55"/>
      <c r="M1905" s="46"/>
      <c r="N1905" s="48"/>
      <c r="O1905" s="58"/>
      <c r="P1905" s="61"/>
    </row>
    <row r="1906" spans="12:16" x14ac:dyDescent="0.25">
      <c r="L1906" s="55"/>
      <c r="M1906" s="46"/>
      <c r="N1906" s="48"/>
      <c r="O1906" s="58"/>
      <c r="P1906" s="61"/>
    </row>
    <row r="1907" spans="12:16" x14ac:dyDescent="0.25">
      <c r="L1907" s="55"/>
      <c r="M1907" s="46"/>
      <c r="N1907" s="48"/>
      <c r="O1907" s="58"/>
      <c r="P1907" s="61"/>
    </row>
    <row r="1908" spans="12:16" x14ac:dyDescent="0.25">
      <c r="L1908" s="55"/>
      <c r="M1908" s="46"/>
      <c r="N1908" s="48"/>
      <c r="O1908" s="58"/>
      <c r="P1908" s="61"/>
    </row>
    <row r="1909" spans="12:16" x14ac:dyDescent="0.25">
      <c r="L1909" s="55"/>
      <c r="M1909" s="46"/>
      <c r="N1909" s="48"/>
      <c r="O1909" s="58"/>
      <c r="P1909" s="61"/>
    </row>
    <row r="1910" spans="12:16" x14ac:dyDescent="0.25">
      <c r="L1910" s="55"/>
      <c r="M1910" s="46"/>
      <c r="N1910" s="48"/>
      <c r="O1910" s="58"/>
      <c r="P1910" s="61"/>
    </row>
    <row r="1911" spans="12:16" x14ac:dyDescent="0.25">
      <c r="L1911" s="55"/>
      <c r="M1911" s="46"/>
      <c r="N1911" s="48"/>
      <c r="O1911" s="58"/>
      <c r="P1911" s="61"/>
    </row>
    <row r="1912" spans="12:16" x14ac:dyDescent="0.25">
      <c r="L1912" s="55"/>
      <c r="M1912" s="46"/>
      <c r="N1912" s="48"/>
      <c r="O1912" s="58"/>
      <c r="P1912" s="61"/>
    </row>
    <row r="1913" spans="12:16" x14ac:dyDescent="0.25">
      <c r="L1913" s="55"/>
      <c r="M1913" s="46"/>
      <c r="N1913" s="48"/>
      <c r="O1913" s="58"/>
      <c r="P1913" s="61"/>
    </row>
    <row r="1914" spans="12:16" x14ac:dyDescent="0.25">
      <c r="L1914" s="55"/>
      <c r="M1914" s="46"/>
      <c r="N1914" s="48"/>
      <c r="O1914" s="58"/>
      <c r="P1914" s="61"/>
    </row>
    <row r="1915" spans="12:16" x14ac:dyDescent="0.25">
      <c r="L1915" s="55"/>
      <c r="M1915" s="46"/>
      <c r="N1915" s="48"/>
      <c r="O1915" s="58"/>
      <c r="P1915" s="61"/>
    </row>
    <row r="1916" spans="12:16" x14ac:dyDescent="0.25">
      <c r="L1916" s="55"/>
      <c r="M1916" s="46"/>
      <c r="N1916" s="48"/>
      <c r="O1916" s="58"/>
      <c r="P1916" s="61"/>
    </row>
    <row r="1917" spans="12:16" x14ac:dyDescent="0.25">
      <c r="L1917" s="55"/>
      <c r="M1917" s="46"/>
      <c r="N1917" s="48"/>
      <c r="O1917" s="58"/>
      <c r="P1917" s="61"/>
    </row>
    <row r="1918" spans="12:16" x14ac:dyDescent="0.25">
      <c r="L1918" s="55"/>
      <c r="M1918" s="46"/>
      <c r="N1918" s="48"/>
      <c r="O1918" s="58"/>
      <c r="P1918" s="61"/>
    </row>
    <row r="1919" spans="12:16" x14ac:dyDescent="0.25">
      <c r="L1919" s="55"/>
      <c r="M1919" s="46"/>
      <c r="N1919" s="48"/>
      <c r="O1919" s="58"/>
      <c r="P1919" s="61"/>
    </row>
    <row r="1920" spans="12:16" x14ac:dyDescent="0.25">
      <c r="L1920" s="55"/>
      <c r="M1920" s="46"/>
      <c r="N1920" s="48"/>
      <c r="O1920" s="58"/>
      <c r="P1920" s="61"/>
    </row>
    <row r="1921" spans="12:16" x14ac:dyDescent="0.25">
      <c r="L1921" s="55"/>
      <c r="M1921" s="46"/>
      <c r="N1921" s="48"/>
      <c r="O1921" s="58"/>
      <c r="P1921" s="61"/>
    </row>
    <row r="1922" spans="12:16" x14ac:dyDescent="0.25">
      <c r="L1922" s="55"/>
      <c r="M1922" s="46"/>
      <c r="N1922" s="48"/>
      <c r="O1922" s="58"/>
      <c r="P1922" s="61"/>
    </row>
    <row r="1923" spans="12:16" x14ac:dyDescent="0.25">
      <c r="L1923" s="55"/>
      <c r="M1923" s="46"/>
      <c r="N1923" s="48"/>
      <c r="O1923" s="58"/>
      <c r="P1923" s="61"/>
    </row>
    <row r="1924" spans="12:16" x14ac:dyDescent="0.25">
      <c r="L1924" s="55"/>
      <c r="M1924" s="46"/>
      <c r="N1924" s="48"/>
      <c r="O1924" s="58"/>
      <c r="P1924" s="61"/>
    </row>
    <row r="1925" spans="12:16" x14ac:dyDescent="0.25">
      <c r="L1925" s="55"/>
      <c r="M1925" s="46"/>
      <c r="N1925" s="48"/>
      <c r="O1925" s="58"/>
      <c r="P1925" s="61"/>
    </row>
    <row r="1926" spans="12:16" x14ac:dyDescent="0.25">
      <c r="L1926" s="55"/>
      <c r="M1926" s="46"/>
      <c r="N1926" s="48"/>
      <c r="O1926" s="58"/>
      <c r="P1926" s="61"/>
    </row>
    <row r="1927" spans="12:16" x14ac:dyDescent="0.25">
      <c r="L1927" s="55"/>
      <c r="M1927" s="46"/>
      <c r="N1927" s="48"/>
      <c r="O1927" s="58"/>
      <c r="P1927" s="61"/>
    </row>
    <row r="1928" spans="12:16" x14ac:dyDescent="0.25">
      <c r="L1928" s="55"/>
      <c r="M1928" s="46"/>
      <c r="N1928" s="48"/>
      <c r="O1928" s="58"/>
      <c r="P1928" s="61"/>
    </row>
    <row r="1929" spans="12:16" x14ac:dyDescent="0.25">
      <c r="L1929" s="55"/>
      <c r="M1929" s="46"/>
      <c r="N1929" s="48"/>
      <c r="O1929" s="58"/>
      <c r="P1929" s="61"/>
    </row>
    <row r="1930" spans="12:16" x14ac:dyDescent="0.25">
      <c r="L1930" s="55"/>
      <c r="M1930" s="46"/>
      <c r="N1930" s="48"/>
      <c r="O1930" s="58"/>
      <c r="P1930" s="61"/>
    </row>
    <row r="1931" spans="12:16" x14ac:dyDescent="0.25">
      <c r="L1931" s="55"/>
      <c r="M1931" s="46"/>
      <c r="N1931" s="48"/>
      <c r="O1931" s="58"/>
      <c r="P1931" s="61"/>
    </row>
    <row r="1932" spans="12:16" x14ac:dyDescent="0.25">
      <c r="L1932" s="55"/>
      <c r="M1932" s="46"/>
      <c r="N1932" s="48"/>
      <c r="O1932" s="58"/>
      <c r="P1932" s="61"/>
    </row>
    <row r="1933" spans="12:16" x14ac:dyDescent="0.25">
      <c r="L1933" s="55"/>
      <c r="M1933" s="46"/>
      <c r="N1933" s="48"/>
      <c r="O1933" s="58"/>
      <c r="P1933" s="61"/>
    </row>
    <row r="1934" spans="12:16" x14ac:dyDescent="0.25">
      <c r="L1934" s="55"/>
      <c r="M1934" s="46"/>
      <c r="N1934" s="48"/>
      <c r="O1934" s="58"/>
      <c r="P1934" s="61"/>
    </row>
    <row r="1935" spans="12:16" x14ac:dyDescent="0.25">
      <c r="L1935" s="55"/>
      <c r="M1935" s="46"/>
      <c r="N1935" s="48"/>
      <c r="O1935" s="58"/>
      <c r="P1935" s="61"/>
    </row>
    <row r="1936" spans="12:16" x14ac:dyDescent="0.25">
      <c r="L1936" s="55"/>
      <c r="M1936" s="46"/>
      <c r="N1936" s="48"/>
      <c r="O1936" s="58"/>
      <c r="P1936" s="61"/>
    </row>
    <row r="1937" spans="12:16" x14ac:dyDescent="0.25">
      <c r="L1937" s="55"/>
      <c r="M1937" s="46"/>
      <c r="N1937" s="48"/>
      <c r="O1937" s="58"/>
      <c r="P1937" s="61"/>
    </row>
    <row r="1938" spans="12:16" x14ac:dyDescent="0.25">
      <c r="L1938" s="55"/>
      <c r="M1938" s="46"/>
      <c r="N1938" s="48"/>
      <c r="O1938" s="58"/>
      <c r="P1938" s="61"/>
    </row>
    <row r="1939" spans="12:16" x14ac:dyDescent="0.25">
      <c r="L1939" s="55"/>
      <c r="M1939" s="46"/>
      <c r="N1939" s="48"/>
      <c r="O1939" s="58"/>
      <c r="P1939" s="61"/>
    </row>
    <row r="1940" spans="12:16" x14ac:dyDescent="0.25">
      <c r="L1940" s="55"/>
      <c r="M1940" s="46"/>
      <c r="N1940" s="48"/>
      <c r="O1940" s="58"/>
      <c r="P1940" s="61"/>
    </row>
    <row r="1941" spans="12:16" x14ac:dyDescent="0.25">
      <c r="L1941" s="55"/>
      <c r="M1941" s="46"/>
      <c r="N1941" s="48"/>
      <c r="O1941" s="58"/>
      <c r="P1941" s="61"/>
    </row>
    <row r="1942" spans="12:16" x14ac:dyDescent="0.25">
      <c r="L1942" s="55"/>
      <c r="M1942" s="46"/>
      <c r="N1942" s="48"/>
      <c r="O1942" s="58"/>
      <c r="P1942" s="61"/>
    </row>
    <row r="1943" spans="12:16" x14ac:dyDescent="0.25">
      <c r="L1943" s="55"/>
      <c r="M1943" s="46"/>
      <c r="N1943" s="48"/>
      <c r="O1943" s="58"/>
      <c r="P1943" s="61"/>
    </row>
    <row r="1944" spans="12:16" x14ac:dyDescent="0.25">
      <c r="L1944" s="55"/>
      <c r="M1944" s="46"/>
      <c r="N1944" s="48"/>
      <c r="O1944" s="58"/>
      <c r="P1944" s="61"/>
    </row>
    <row r="1945" spans="12:16" x14ac:dyDescent="0.25">
      <c r="L1945" s="55"/>
      <c r="M1945" s="46"/>
      <c r="N1945" s="48"/>
      <c r="O1945" s="58"/>
      <c r="P1945" s="61"/>
    </row>
    <row r="1946" spans="12:16" x14ac:dyDescent="0.25">
      <c r="L1946" s="55"/>
      <c r="M1946" s="46"/>
      <c r="N1946" s="48"/>
      <c r="O1946" s="58"/>
      <c r="P1946" s="61"/>
    </row>
    <row r="1947" spans="12:16" x14ac:dyDescent="0.25">
      <c r="L1947" s="55"/>
      <c r="M1947" s="46"/>
      <c r="N1947" s="48"/>
      <c r="O1947" s="58"/>
      <c r="P1947" s="61"/>
    </row>
    <row r="1948" spans="12:16" x14ac:dyDescent="0.25">
      <c r="L1948" s="55"/>
      <c r="M1948" s="46"/>
      <c r="N1948" s="48"/>
      <c r="O1948" s="58"/>
      <c r="P1948" s="61"/>
    </row>
    <row r="1949" spans="12:16" x14ac:dyDescent="0.25">
      <c r="L1949" s="55"/>
      <c r="M1949" s="46"/>
      <c r="N1949" s="48"/>
      <c r="O1949" s="58"/>
      <c r="P1949" s="61"/>
    </row>
    <row r="1950" spans="12:16" x14ac:dyDescent="0.25">
      <c r="L1950" s="55"/>
      <c r="M1950" s="46"/>
      <c r="N1950" s="48"/>
      <c r="O1950" s="58"/>
      <c r="P1950" s="61"/>
    </row>
    <row r="1951" spans="12:16" x14ac:dyDescent="0.25">
      <c r="L1951" s="55"/>
      <c r="M1951" s="46"/>
      <c r="N1951" s="48"/>
      <c r="O1951" s="58"/>
      <c r="P1951" s="61"/>
    </row>
    <row r="1952" spans="12:16" x14ac:dyDescent="0.25">
      <c r="L1952" s="55"/>
      <c r="M1952" s="46"/>
      <c r="N1952" s="48"/>
      <c r="O1952" s="58"/>
      <c r="P1952" s="61"/>
    </row>
    <row r="1953" spans="12:16" x14ac:dyDescent="0.25">
      <c r="L1953" s="55"/>
      <c r="M1953" s="46"/>
      <c r="N1953" s="48"/>
      <c r="O1953" s="58"/>
      <c r="P1953" s="61"/>
    </row>
    <row r="1954" spans="12:16" x14ac:dyDescent="0.25">
      <c r="L1954" s="55"/>
      <c r="M1954" s="46"/>
      <c r="N1954" s="48"/>
      <c r="O1954" s="58"/>
      <c r="P1954" s="61"/>
    </row>
    <row r="1955" spans="12:16" x14ac:dyDescent="0.25">
      <c r="L1955" s="55"/>
      <c r="M1955" s="46"/>
      <c r="N1955" s="48"/>
      <c r="O1955" s="58"/>
      <c r="P1955" s="61"/>
    </row>
    <row r="1956" spans="12:16" x14ac:dyDescent="0.25">
      <c r="L1956" s="55"/>
      <c r="M1956" s="46"/>
      <c r="N1956" s="48"/>
      <c r="O1956" s="58"/>
      <c r="P1956" s="61"/>
    </row>
    <row r="1957" spans="12:16" x14ac:dyDescent="0.25">
      <c r="L1957" s="55"/>
      <c r="M1957" s="46"/>
      <c r="N1957" s="48"/>
      <c r="O1957" s="58"/>
      <c r="P1957" s="61"/>
    </row>
    <row r="1958" spans="12:16" x14ac:dyDescent="0.25">
      <c r="L1958" s="55"/>
      <c r="M1958" s="46"/>
      <c r="N1958" s="48"/>
      <c r="O1958" s="58"/>
      <c r="P1958" s="61"/>
    </row>
    <row r="1959" spans="12:16" x14ac:dyDescent="0.25">
      <c r="L1959" s="55"/>
      <c r="M1959" s="46"/>
      <c r="N1959" s="48"/>
      <c r="O1959" s="58"/>
      <c r="P1959" s="61"/>
    </row>
    <row r="1960" spans="12:16" x14ac:dyDescent="0.25">
      <c r="L1960" s="55"/>
      <c r="M1960" s="46"/>
      <c r="N1960" s="48"/>
      <c r="O1960" s="58"/>
      <c r="P1960" s="61"/>
    </row>
    <row r="1961" spans="12:16" x14ac:dyDescent="0.25">
      <c r="L1961" s="55"/>
      <c r="M1961" s="46"/>
      <c r="N1961" s="48"/>
      <c r="O1961" s="58"/>
      <c r="P1961" s="61"/>
    </row>
    <row r="1962" spans="12:16" x14ac:dyDescent="0.25">
      <c r="L1962" s="55"/>
      <c r="M1962" s="46"/>
      <c r="N1962" s="48"/>
      <c r="O1962" s="58"/>
      <c r="P1962" s="61"/>
    </row>
    <row r="1963" spans="12:16" x14ac:dyDescent="0.25">
      <c r="L1963" s="55"/>
      <c r="M1963" s="46"/>
      <c r="N1963" s="48"/>
      <c r="O1963" s="58"/>
      <c r="P1963" s="61"/>
    </row>
    <row r="1964" spans="12:16" x14ac:dyDescent="0.25">
      <c r="L1964" s="55"/>
      <c r="M1964" s="46"/>
      <c r="N1964" s="48"/>
      <c r="O1964" s="58"/>
      <c r="P1964" s="61"/>
    </row>
    <row r="1965" spans="12:16" x14ac:dyDescent="0.25">
      <c r="L1965" s="55"/>
      <c r="M1965" s="46"/>
      <c r="N1965" s="48"/>
      <c r="O1965" s="58"/>
      <c r="P1965" s="61"/>
    </row>
    <row r="1966" spans="12:16" x14ac:dyDescent="0.25">
      <c r="L1966" s="55"/>
      <c r="M1966" s="46"/>
      <c r="N1966" s="48"/>
      <c r="O1966" s="58"/>
      <c r="P1966" s="61"/>
    </row>
    <row r="1967" spans="12:16" x14ac:dyDescent="0.25">
      <c r="L1967" s="55"/>
      <c r="M1967" s="46"/>
      <c r="N1967" s="48"/>
      <c r="O1967" s="58"/>
      <c r="P1967" s="61"/>
    </row>
    <row r="1968" spans="12:16" x14ac:dyDescent="0.25">
      <c r="L1968" s="55"/>
      <c r="M1968" s="46"/>
      <c r="N1968" s="48"/>
      <c r="O1968" s="58"/>
      <c r="P1968" s="61"/>
    </row>
    <row r="1969" spans="12:16" x14ac:dyDescent="0.25">
      <c r="L1969" s="55"/>
      <c r="M1969" s="46"/>
      <c r="N1969" s="48"/>
      <c r="O1969" s="58"/>
      <c r="P1969" s="61"/>
    </row>
    <row r="1970" spans="12:16" x14ac:dyDescent="0.25">
      <c r="L1970" s="55"/>
      <c r="M1970" s="46"/>
      <c r="N1970" s="48"/>
      <c r="O1970" s="58"/>
      <c r="P1970" s="61"/>
    </row>
    <row r="1971" spans="12:16" x14ac:dyDescent="0.25">
      <c r="L1971" s="55"/>
      <c r="M1971" s="46"/>
      <c r="N1971" s="48"/>
      <c r="O1971" s="58"/>
      <c r="P1971" s="61"/>
    </row>
    <row r="1972" spans="12:16" x14ac:dyDescent="0.25">
      <c r="L1972" s="55"/>
      <c r="M1972" s="46"/>
      <c r="N1972" s="48"/>
      <c r="O1972" s="58"/>
      <c r="P1972" s="61"/>
    </row>
    <row r="1973" spans="12:16" x14ac:dyDescent="0.25">
      <c r="L1973" s="55"/>
      <c r="M1973" s="46"/>
      <c r="N1973" s="48"/>
      <c r="O1973" s="58"/>
      <c r="P1973" s="61"/>
    </row>
    <row r="1974" spans="12:16" x14ac:dyDescent="0.25">
      <c r="L1974" s="55"/>
      <c r="M1974" s="46"/>
      <c r="N1974" s="48"/>
      <c r="O1974" s="58"/>
      <c r="P1974" s="61"/>
    </row>
    <row r="1975" spans="12:16" x14ac:dyDescent="0.25">
      <c r="L1975" s="55"/>
      <c r="M1975" s="46"/>
      <c r="N1975" s="48"/>
      <c r="O1975" s="58"/>
      <c r="P1975" s="61"/>
    </row>
    <row r="1976" spans="12:16" x14ac:dyDescent="0.25">
      <c r="L1976" s="55"/>
      <c r="M1976" s="46"/>
      <c r="N1976" s="48"/>
      <c r="O1976" s="58"/>
      <c r="P1976" s="61"/>
    </row>
    <row r="1977" spans="12:16" x14ac:dyDescent="0.25">
      <c r="L1977" s="55"/>
      <c r="M1977" s="46"/>
      <c r="N1977" s="48"/>
      <c r="O1977" s="58"/>
      <c r="P1977" s="61"/>
    </row>
    <row r="1978" spans="12:16" x14ac:dyDescent="0.25">
      <c r="L1978" s="55"/>
      <c r="M1978" s="46"/>
      <c r="N1978" s="48"/>
      <c r="O1978" s="58"/>
      <c r="P1978" s="61"/>
    </row>
    <row r="1979" spans="12:16" x14ac:dyDescent="0.25">
      <c r="L1979" s="55"/>
      <c r="M1979" s="46"/>
      <c r="N1979" s="48"/>
      <c r="O1979" s="58"/>
      <c r="P1979" s="61"/>
    </row>
    <row r="1980" spans="12:16" x14ac:dyDescent="0.25">
      <c r="L1980" s="55"/>
      <c r="M1980" s="46"/>
      <c r="N1980" s="48"/>
      <c r="O1980" s="58"/>
      <c r="P1980" s="61"/>
    </row>
    <row r="1981" spans="12:16" x14ac:dyDescent="0.25">
      <c r="L1981" s="55"/>
      <c r="M1981" s="46"/>
      <c r="N1981" s="48"/>
      <c r="O1981" s="58"/>
      <c r="P1981" s="61"/>
    </row>
    <row r="1982" spans="12:16" x14ac:dyDescent="0.25">
      <c r="L1982" s="55"/>
      <c r="M1982" s="46"/>
      <c r="N1982" s="48"/>
      <c r="O1982" s="58"/>
      <c r="P1982" s="61"/>
    </row>
    <row r="1983" spans="12:16" x14ac:dyDescent="0.25">
      <c r="L1983" s="55"/>
      <c r="M1983" s="46"/>
      <c r="N1983" s="48"/>
      <c r="O1983" s="58"/>
      <c r="P1983" s="61"/>
    </row>
    <row r="1984" spans="12:16" x14ac:dyDescent="0.25">
      <c r="L1984" s="55"/>
      <c r="M1984" s="46"/>
      <c r="N1984" s="48"/>
      <c r="O1984" s="58"/>
      <c r="P1984" s="61"/>
    </row>
    <row r="1985" spans="12:16" x14ac:dyDescent="0.25">
      <c r="L1985" s="55"/>
      <c r="M1985" s="46"/>
      <c r="N1985" s="48"/>
      <c r="O1985" s="58"/>
      <c r="P1985" s="61"/>
    </row>
    <row r="1986" spans="12:16" x14ac:dyDescent="0.25">
      <c r="L1986" s="55"/>
      <c r="M1986" s="46"/>
      <c r="N1986" s="48"/>
      <c r="O1986" s="58"/>
      <c r="P1986" s="61"/>
    </row>
    <row r="1987" spans="12:16" x14ac:dyDescent="0.25">
      <c r="L1987" s="55"/>
      <c r="M1987" s="46"/>
      <c r="N1987" s="48"/>
      <c r="O1987" s="58"/>
      <c r="P1987" s="61"/>
    </row>
    <row r="1988" spans="12:16" x14ac:dyDescent="0.25">
      <c r="L1988" s="55"/>
      <c r="M1988" s="46"/>
      <c r="N1988" s="48"/>
      <c r="O1988" s="58"/>
      <c r="P1988" s="61"/>
    </row>
    <row r="1989" spans="12:16" x14ac:dyDescent="0.25">
      <c r="L1989" s="55"/>
      <c r="M1989" s="46"/>
      <c r="N1989" s="48"/>
      <c r="O1989" s="58"/>
      <c r="P1989" s="61"/>
    </row>
    <row r="1990" spans="12:16" x14ac:dyDescent="0.25">
      <c r="L1990" s="55"/>
      <c r="M1990" s="46"/>
      <c r="N1990" s="48"/>
      <c r="O1990" s="58"/>
      <c r="P1990" s="61"/>
    </row>
    <row r="1991" spans="12:16" x14ac:dyDescent="0.25">
      <c r="L1991" s="55"/>
      <c r="M1991" s="46"/>
      <c r="N1991" s="48"/>
      <c r="O1991" s="58"/>
      <c r="P1991" s="61"/>
    </row>
    <row r="1992" spans="12:16" x14ac:dyDescent="0.25">
      <c r="L1992" s="55"/>
      <c r="M1992" s="46"/>
      <c r="N1992" s="48"/>
      <c r="O1992" s="58"/>
      <c r="P1992" s="61"/>
    </row>
    <row r="1993" spans="12:16" x14ac:dyDescent="0.25">
      <c r="L1993" s="55"/>
      <c r="M1993" s="46"/>
      <c r="N1993" s="48"/>
      <c r="O1993" s="58"/>
      <c r="P1993" s="61"/>
    </row>
    <row r="1994" spans="12:16" x14ac:dyDescent="0.25">
      <c r="L1994" s="55"/>
      <c r="M1994" s="46"/>
      <c r="N1994" s="48"/>
      <c r="O1994" s="58"/>
      <c r="P1994" s="61"/>
    </row>
    <row r="1995" spans="12:16" x14ac:dyDescent="0.25">
      <c r="L1995" s="55"/>
      <c r="M1995" s="46"/>
      <c r="N1995" s="48"/>
      <c r="O1995" s="58"/>
      <c r="P1995" s="61"/>
    </row>
    <row r="1996" spans="12:16" x14ac:dyDescent="0.25">
      <c r="L1996" s="55"/>
      <c r="M1996" s="46"/>
      <c r="N1996" s="48"/>
      <c r="O1996" s="58"/>
      <c r="P1996" s="61"/>
    </row>
    <row r="1997" spans="12:16" x14ac:dyDescent="0.25">
      <c r="L1997" s="55"/>
      <c r="M1997" s="46"/>
      <c r="N1997" s="48"/>
      <c r="O1997" s="58"/>
      <c r="P1997" s="61"/>
    </row>
    <row r="1998" spans="12:16" x14ac:dyDescent="0.25">
      <c r="L1998" s="55"/>
      <c r="M1998" s="46"/>
      <c r="N1998" s="48"/>
      <c r="O1998" s="58"/>
      <c r="P1998" s="61"/>
    </row>
    <row r="1999" spans="12:16" x14ac:dyDescent="0.25">
      <c r="L1999" s="55"/>
      <c r="M1999" s="46"/>
      <c r="N1999" s="48"/>
      <c r="O1999" s="58"/>
      <c r="P1999" s="61"/>
    </row>
    <row r="2000" spans="12:16" x14ac:dyDescent="0.25">
      <c r="L2000" s="55"/>
      <c r="M2000" s="46"/>
      <c r="N2000" s="48"/>
      <c r="O2000" s="58"/>
      <c r="P2000" s="61"/>
    </row>
    <row r="2001" spans="12:16" x14ac:dyDescent="0.25">
      <c r="L2001" s="55"/>
      <c r="M2001" s="46"/>
      <c r="N2001" s="48"/>
      <c r="O2001" s="58"/>
      <c r="P2001" s="61"/>
    </row>
    <row r="2002" spans="12:16" x14ac:dyDescent="0.25">
      <c r="L2002" s="55"/>
      <c r="M2002" s="46"/>
      <c r="N2002" s="48"/>
      <c r="O2002" s="58"/>
      <c r="P2002" s="61"/>
    </row>
    <row r="2003" spans="12:16" x14ac:dyDescent="0.25">
      <c r="L2003" s="55"/>
      <c r="M2003" s="46"/>
      <c r="N2003" s="48"/>
      <c r="O2003" s="58"/>
      <c r="P2003" s="61"/>
    </row>
    <row r="2004" spans="12:16" x14ac:dyDescent="0.25">
      <c r="L2004" s="55"/>
      <c r="M2004" s="46"/>
      <c r="N2004" s="48"/>
      <c r="O2004" s="58"/>
      <c r="P2004" s="61"/>
    </row>
    <row r="2005" spans="12:16" x14ac:dyDescent="0.25">
      <c r="L2005" s="55"/>
      <c r="M2005" s="46"/>
      <c r="N2005" s="48"/>
      <c r="O2005" s="58"/>
      <c r="P2005" s="61"/>
    </row>
    <row r="2006" spans="12:16" x14ac:dyDescent="0.25">
      <c r="L2006" s="55"/>
      <c r="M2006" s="46"/>
      <c r="N2006" s="48"/>
      <c r="O2006" s="58"/>
      <c r="P2006" s="61"/>
    </row>
    <row r="2007" spans="12:16" x14ac:dyDescent="0.25">
      <c r="L2007" s="55"/>
      <c r="M2007" s="46"/>
      <c r="N2007" s="48"/>
      <c r="O2007" s="58"/>
      <c r="P2007" s="61"/>
    </row>
    <row r="2008" spans="12:16" x14ac:dyDescent="0.25">
      <c r="L2008" s="55"/>
      <c r="M2008" s="46"/>
      <c r="N2008" s="48"/>
      <c r="O2008" s="58"/>
      <c r="P2008" s="61"/>
    </row>
    <row r="2009" spans="12:16" x14ac:dyDescent="0.25">
      <c r="L2009" s="55"/>
      <c r="M2009" s="46"/>
      <c r="N2009" s="48"/>
      <c r="O2009" s="58"/>
      <c r="P2009" s="61"/>
    </row>
    <row r="2010" spans="12:16" x14ac:dyDescent="0.25">
      <c r="L2010" s="55"/>
      <c r="M2010" s="46"/>
      <c r="N2010" s="48"/>
      <c r="O2010" s="58"/>
      <c r="P2010" s="61"/>
    </row>
    <row r="2011" spans="12:16" x14ac:dyDescent="0.25">
      <c r="L2011" s="55"/>
      <c r="M2011" s="46"/>
      <c r="N2011" s="48"/>
      <c r="O2011" s="58"/>
      <c r="P2011" s="61"/>
    </row>
    <row r="2012" spans="12:16" x14ac:dyDescent="0.25">
      <c r="L2012" s="55"/>
      <c r="M2012" s="46"/>
      <c r="N2012" s="48"/>
      <c r="O2012" s="58"/>
      <c r="P2012" s="61"/>
    </row>
    <row r="2013" spans="12:16" x14ac:dyDescent="0.25">
      <c r="L2013" s="55"/>
      <c r="M2013" s="46"/>
      <c r="N2013" s="48"/>
      <c r="O2013" s="58"/>
      <c r="P2013" s="61"/>
    </row>
    <row r="2014" spans="12:16" x14ac:dyDescent="0.25">
      <c r="L2014" s="55"/>
      <c r="M2014" s="46"/>
      <c r="N2014" s="48"/>
      <c r="O2014" s="58"/>
      <c r="P2014" s="61"/>
    </row>
    <row r="2015" spans="12:16" x14ac:dyDescent="0.25">
      <c r="L2015" s="55"/>
      <c r="M2015" s="46"/>
      <c r="N2015" s="48"/>
      <c r="O2015" s="58"/>
      <c r="P2015" s="61"/>
    </row>
    <row r="2016" spans="12:16" x14ac:dyDescent="0.25">
      <c r="L2016" s="55"/>
      <c r="M2016" s="46"/>
      <c r="N2016" s="48"/>
      <c r="O2016" s="58"/>
      <c r="P2016" s="61"/>
    </row>
    <row r="2017" spans="12:16" x14ac:dyDescent="0.25">
      <c r="L2017" s="55"/>
      <c r="M2017" s="46"/>
      <c r="N2017" s="48"/>
      <c r="O2017" s="58"/>
      <c r="P2017" s="61"/>
    </row>
    <row r="2018" spans="12:16" x14ac:dyDescent="0.25">
      <c r="L2018" s="55"/>
      <c r="M2018" s="46"/>
      <c r="N2018" s="48"/>
      <c r="O2018" s="58"/>
      <c r="P2018" s="61"/>
    </row>
    <row r="2019" spans="12:16" x14ac:dyDescent="0.25">
      <c r="L2019" s="55"/>
      <c r="M2019" s="46"/>
      <c r="N2019" s="48"/>
      <c r="O2019" s="58"/>
      <c r="P2019" s="61"/>
    </row>
    <row r="2020" spans="12:16" x14ac:dyDescent="0.25">
      <c r="L2020" s="55"/>
      <c r="M2020" s="46"/>
      <c r="N2020" s="48"/>
      <c r="O2020" s="58"/>
      <c r="P2020" s="61"/>
    </row>
    <row r="2021" spans="12:16" x14ac:dyDescent="0.25">
      <c r="L2021" s="55"/>
      <c r="M2021" s="46"/>
      <c r="N2021" s="48"/>
      <c r="O2021" s="58"/>
      <c r="P2021" s="61"/>
    </row>
    <row r="2022" spans="12:16" x14ac:dyDescent="0.25">
      <c r="L2022" s="55"/>
      <c r="M2022" s="46"/>
      <c r="N2022" s="48"/>
      <c r="O2022" s="58"/>
      <c r="P2022" s="61"/>
    </row>
    <row r="2023" spans="12:16" x14ac:dyDescent="0.25">
      <c r="L2023" s="55"/>
      <c r="M2023" s="46"/>
      <c r="N2023" s="48"/>
      <c r="O2023" s="58"/>
      <c r="P2023" s="61"/>
    </row>
    <row r="2024" spans="12:16" x14ac:dyDescent="0.25">
      <c r="L2024" s="55"/>
      <c r="M2024" s="46"/>
      <c r="N2024" s="48"/>
      <c r="O2024" s="58"/>
      <c r="P2024" s="61"/>
    </row>
    <row r="2025" spans="12:16" x14ac:dyDescent="0.25">
      <c r="L2025" s="55"/>
      <c r="M2025" s="46"/>
      <c r="N2025" s="48"/>
      <c r="O2025" s="58"/>
      <c r="P2025" s="61"/>
    </row>
    <row r="2026" spans="12:16" x14ac:dyDescent="0.25">
      <c r="L2026" s="55"/>
      <c r="M2026" s="46"/>
      <c r="N2026" s="48"/>
      <c r="O2026" s="58"/>
      <c r="P2026" s="61"/>
    </row>
    <row r="2027" spans="12:16" x14ac:dyDescent="0.25">
      <c r="L2027" s="55"/>
      <c r="M2027" s="46"/>
      <c r="N2027" s="48"/>
      <c r="O2027" s="58"/>
      <c r="P2027" s="61"/>
    </row>
    <row r="2028" spans="12:16" x14ac:dyDescent="0.25">
      <c r="L2028" s="55"/>
      <c r="M2028" s="46"/>
      <c r="N2028" s="48"/>
      <c r="O2028" s="58"/>
      <c r="P2028" s="61"/>
    </row>
    <row r="2029" spans="12:16" x14ac:dyDescent="0.25">
      <c r="L2029" s="55"/>
      <c r="M2029" s="46"/>
      <c r="N2029" s="48"/>
      <c r="O2029" s="58"/>
      <c r="P2029" s="61"/>
    </row>
    <row r="2030" spans="12:16" x14ac:dyDescent="0.25">
      <c r="L2030" s="55"/>
      <c r="M2030" s="46"/>
      <c r="N2030" s="48"/>
      <c r="O2030" s="58"/>
      <c r="P2030" s="61"/>
    </row>
    <row r="2031" spans="12:16" x14ac:dyDescent="0.25">
      <c r="L2031" s="55"/>
      <c r="M2031" s="46"/>
      <c r="N2031" s="48"/>
      <c r="O2031" s="58"/>
      <c r="P2031" s="61"/>
    </row>
    <row r="2032" spans="12:16" x14ac:dyDescent="0.25">
      <c r="L2032" s="55"/>
      <c r="M2032" s="46"/>
      <c r="N2032" s="48"/>
      <c r="O2032" s="58"/>
      <c r="P2032" s="61"/>
    </row>
    <row r="2033" spans="12:16" x14ac:dyDescent="0.25">
      <c r="L2033" s="55"/>
      <c r="M2033" s="46"/>
      <c r="N2033" s="48"/>
      <c r="O2033" s="58"/>
      <c r="P2033" s="61"/>
    </row>
    <row r="2034" spans="12:16" x14ac:dyDescent="0.25">
      <c r="L2034" s="55"/>
      <c r="M2034" s="46"/>
      <c r="N2034" s="48"/>
      <c r="O2034" s="58"/>
      <c r="P2034" s="61"/>
    </row>
    <row r="2035" spans="12:16" x14ac:dyDescent="0.25">
      <c r="L2035" s="55"/>
      <c r="M2035" s="46"/>
      <c r="N2035" s="48"/>
      <c r="O2035" s="58"/>
      <c r="P2035" s="61"/>
    </row>
    <row r="2036" spans="12:16" x14ac:dyDescent="0.25">
      <c r="L2036" s="55"/>
      <c r="M2036" s="46"/>
      <c r="N2036" s="48"/>
      <c r="O2036" s="58"/>
      <c r="P2036" s="61"/>
    </row>
    <row r="2037" spans="12:16" x14ac:dyDescent="0.25">
      <c r="L2037" s="55"/>
      <c r="M2037" s="46"/>
      <c r="N2037" s="48"/>
      <c r="O2037" s="58"/>
      <c r="P2037" s="61"/>
    </row>
    <row r="2038" spans="12:16" x14ac:dyDescent="0.25">
      <c r="L2038" s="55"/>
      <c r="M2038" s="46"/>
      <c r="N2038" s="48"/>
      <c r="O2038" s="58"/>
      <c r="P2038" s="61"/>
    </row>
    <row r="2039" spans="12:16" x14ac:dyDescent="0.25">
      <c r="L2039" s="55"/>
      <c r="M2039" s="46"/>
      <c r="N2039" s="48"/>
      <c r="O2039" s="58"/>
      <c r="P2039" s="61"/>
    </row>
    <row r="2040" spans="12:16" x14ac:dyDescent="0.25">
      <c r="L2040" s="55"/>
      <c r="M2040" s="46"/>
      <c r="N2040" s="48"/>
      <c r="O2040" s="58"/>
      <c r="P2040" s="61"/>
    </row>
    <row r="2041" spans="12:16" x14ac:dyDescent="0.25">
      <c r="L2041" s="55"/>
      <c r="M2041" s="46"/>
      <c r="N2041" s="48"/>
      <c r="O2041" s="58"/>
      <c r="P2041" s="61"/>
    </row>
    <row r="2042" spans="12:16" x14ac:dyDescent="0.25">
      <c r="L2042" s="55"/>
      <c r="M2042" s="46"/>
      <c r="N2042" s="48"/>
      <c r="O2042" s="58"/>
      <c r="P2042" s="61"/>
    </row>
    <row r="2043" spans="12:16" x14ac:dyDescent="0.25">
      <c r="L2043" s="55"/>
      <c r="M2043" s="46"/>
      <c r="N2043" s="48"/>
      <c r="O2043" s="58"/>
      <c r="P2043" s="61"/>
    </row>
    <row r="2044" spans="12:16" x14ac:dyDescent="0.25">
      <c r="L2044" s="55"/>
      <c r="M2044" s="46"/>
      <c r="N2044" s="48"/>
      <c r="O2044" s="58"/>
      <c r="P2044" s="61"/>
    </row>
    <row r="2045" spans="12:16" x14ac:dyDescent="0.25">
      <c r="L2045" s="55"/>
      <c r="M2045" s="46"/>
      <c r="N2045" s="48"/>
      <c r="O2045" s="58"/>
      <c r="P2045" s="61"/>
    </row>
    <row r="2046" spans="12:16" x14ac:dyDescent="0.25">
      <c r="L2046" s="55"/>
      <c r="M2046" s="46"/>
      <c r="N2046" s="48"/>
      <c r="O2046" s="58"/>
      <c r="P2046" s="61"/>
    </row>
    <row r="2047" spans="12:16" x14ac:dyDescent="0.25">
      <c r="L2047" s="55"/>
      <c r="M2047" s="46"/>
      <c r="N2047" s="48"/>
      <c r="O2047" s="58"/>
      <c r="P2047" s="61"/>
    </row>
    <row r="2048" spans="12:16" x14ac:dyDescent="0.25">
      <c r="L2048" s="55"/>
      <c r="M2048" s="46"/>
      <c r="N2048" s="48"/>
      <c r="O2048" s="58"/>
      <c r="P2048" s="61"/>
    </row>
    <row r="2049" spans="12:16" x14ac:dyDescent="0.25">
      <c r="L2049" s="55"/>
      <c r="M2049" s="46"/>
      <c r="N2049" s="48"/>
      <c r="O2049" s="58"/>
      <c r="P2049" s="61"/>
    </row>
    <row r="2050" spans="12:16" x14ac:dyDescent="0.25">
      <c r="L2050" s="55"/>
      <c r="M2050" s="46"/>
      <c r="N2050" s="48"/>
      <c r="O2050" s="58"/>
      <c r="P2050" s="61"/>
    </row>
    <row r="2051" spans="12:16" x14ac:dyDescent="0.25">
      <c r="L2051" s="55"/>
      <c r="M2051" s="46"/>
      <c r="N2051" s="48"/>
      <c r="O2051" s="58"/>
      <c r="P2051" s="61"/>
    </row>
    <row r="2052" spans="12:16" x14ac:dyDescent="0.25">
      <c r="L2052" s="55"/>
      <c r="M2052" s="46"/>
      <c r="N2052" s="48"/>
      <c r="O2052" s="58"/>
      <c r="P2052" s="61"/>
    </row>
    <row r="2053" spans="12:16" x14ac:dyDescent="0.25">
      <c r="L2053" s="55"/>
      <c r="M2053" s="46"/>
      <c r="N2053" s="48"/>
      <c r="O2053" s="58"/>
      <c r="P2053" s="61"/>
    </row>
    <row r="2054" spans="12:16" x14ac:dyDescent="0.25">
      <c r="L2054" s="55"/>
      <c r="M2054" s="46"/>
      <c r="N2054" s="48"/>
      <c r="O2054" s="58"/>
      <c r="P2054" s="61"/>
    </row>
    <row r="2055" spans="12:16" x14ac:dyDescent="0.25">
      <c r="L2055" s="55"/>
      <c r="M2055" s="46"/>
      <c r="N2055" s="48"/>
      <c r="O2055" s="58"/>
      <c r="P2055" s="61"/>
    </row>
    <row r="2056" spans="12:16" x14ac:dyDescent="0.25">
      <c r="L2056" s="55"/>
      <c r="M2056" s="46"/>
      <c r="N2056" s="48"/>
      <c r="O2056" s="58"/>
      <c r="P2056" s="61"/>
    </row>
    <row r="2057" spans="12:16" x14ac:dyDescent="0.25">
      <c r="L2057" s="55"/>
      <c r="M2057" s="46"/>
      <c r="N2057" s="48"/>
      <c r="O2057" s="58"/>
      <c r="P2057" s="61"/>
    </row>
    <row r="2058" spans="12:16" x14ac:dyDescent="0.25">
      <c r="L2058" s="55"/>
      <c r="M2058" s="46"/>
      <c r="N2058" s="48"/>
      <c r="O2058" s="58"/>
      <c r="P2058" s="61"/>
    </row>
    <row r="2059" spans="12:16" x14ac:dyDescent="0.25">
      <c r="L2059" s="55"/>
      <c r="M2059" s="46"/>
      <c r="N2059" s="48"/>
      <c r="O2059" s="58"/>
      <c r="P2059" s="61"/>
    </row>
    <row r="2060" spans="12:16" x14ac:dyDescent="0.25">
      <c r="L2060" s="55"/>
      <c r="M2060" s="46"/>
      <c r="N2060" s="48"/>
      <c r="O2060" s="58"/>
      <c r="P2060" s="61"/>
    </row>
    <row r="2061" spans="12:16" x14ac:dyDescent="0.25">
      <c r="L2061" s="55"/>
      <c r="M2061" s="46"/>
      <c r="N2061" s="48"/>
      <c r="O2061" s="58"/>
      <c r="P2061" s="61"/>
    </row>
    <row r="2062" spans="12:16" x14ac:dyDescent="0.25">
      <c r="L2062" s="55"/>
      <c r="M2062" s="46"/>
      <c r="N2062" s="48"/>
      <c r="O2062" s="58"/>
      <c r="P2062" s="61"/>
    </row>
    <row r="2063" spans="12:16" x14ac:dyDescent="0.25">
      <c r="L2063" s="55"/>
      <c r="M2063" s="46"/>
      <c r="N2063" s="48"/>
      <c r="O2063" s="58"/>
      <c r="P2063" s="61"/>
    </row>
    <row r="2064" spans="12:16" x14ac:dyDescent="0.25">
      <c r="L2064" s="55"/>
      <c r="M2064" s="46"/>
      <c r="N2064" s="48"/>
      <c r="O2064" s="58"/>
      <c r="P2064" s="61"/>
    </row>
    <row r="2065" spans="12:16" x14ac:dyDescent="0.25">
      <c r="L2065" s="55"/>
      <c r="M2065" s="46"/>
      <c r="N2065" s="48"/>
      <c r="O2065" s="58"/>
      <c r="P2065" s="61"/>
    </row>
    <row r="2066" spans="12:16" x14ac:dyDescent="0.25">
      <c r="L2066" s="55"/>
      <c r="M2066" s="46"/>
      <c r="N2066" s="48"/>
      <c r="O2066" s="58"/>
      <c r="P2066" s="61"/>
    </row>
    <row r="2067" spans="12:16" x14ac:dyDescent="0.25">
      <c r="L2067" s="55"/>
      <c r="M2067" s="46"/>
      <c r="N2067" s="48"/>
      <c r="O2067" s="58"/>
      <c r="P2067" s="61"/>
    </row>
    <row r="2068" spans="12:16" x14ac:dyDescent="0.25">
      <c r="L2068" s="55"/>
      <c r="M2068" s="46"/>
      <c r="N2068" s="48"/>
      <c r="O2068" s="58"/>
      <c r="P2068" s="61"/>
    </row>
    <row r="2069" spans="12:16" x14ac:dyDescent="0.25">
      <c r="L2069" s="55"/>
      <c r="M2069" s="46"/>
      <c r="N2069" s="48"/>
      <c r="O2069" s="58"/>
      <c r="P2069" s="61"/>
    </row>
    <row r="2070" spans="12:16" x14ac:dyDescent="0.25">
      <c r="L2070" s="55"/>
      <c r="M2070" s="46"/>
      <c r="N2070" s="48"/>
      <c r="O2070" s="58"/>
      <c r="P2070" s="61"/>
    </row>
    <row r="2071" spans="12:16" x14ac:dyDescent="0.25">
      <c r="L2071" s="55"/>
      <c r="M2071" s="46"/>
      <c r="N2071" s="48"/>
      <c r="O2071" s="58"/>
      <c r="P2071" s="61"/>
    </row>
    <row r="2072" spans="12:16" x14ac:dyDescent="0.25">
      <c r="L2072" s="55"/>
      <c r="M2072" s="46"/>
      <c r="N2072" s="48"/>
      <c r="O2072" s="58"/>
      <c r="P2072" s="61"/>
    </row>
    <row r="2073" spans="12:16" x14ac:dyDescent="0.25">
      <c r="L2073" s="55"/>
      <c r="M2073" s="46"/>
      <c r="N2073" s="48"/>
      <c r="O2073" s="58"/>
      <c r="P2073" s="61"/>
    </row>
    <row r="2074" spans="12:16" x14ac:dyDescent="0.25">
      <c r="L2074" s="55"/>
      <c r="M2074" s="46"/>
      <c r="N2074" s="48"/>
      <c r="O2074" s="58"/>
      <c r="P2074" s="61"/>
    </row>
    <row r="2075" spans="12:16" x14ac:dyDescent="0.25">
      <c r="L2075" s="55"/>
      <c r="M2075" s="46"/>
      <c r="N2075" s="48"/>
      <c r="O2075" s="58"/>
      <c r="P2075" s="61"/>
    </row>
    <row r="2076" spans="12:16" x14ac:dyDescent="0.25">
      <c r="L2076" s="55"/>
      <c r="M2076" s="46"/>
      <c r="N2076" s="48"/>
      <c r="O2076" s="58"/>
      <c r="P2076" s="61"/>
    </row>
    <row r="2077" spans="12:16" x14ac:dyDescent="0.25">
      <c r="L2077" s="55"/>
      <c r="M2077" s="46"/>
      <c r="N2077" s="48"/>
      <c r="O2077" s="58"/>
      <c r="P2077" s="61"/>
    </row>
    <row r="2078" spans="12:16" x14ac:dyDescent="0.25">
      <c r="L2078" s="55"/>
      <c r="M2078" s="46"/>
      <c r="N2078" s="48"/>
      <c r="O2078" s="58"/>
      <c r="P2078" s="61"/>
    </row>
    <row r="2079" spans="12:16" x14ac:dyDescent="0.25">
      <c r="L2079" s="55"/>
      <c r="M2079" s="46"/>
      <c r="N2079" s="48"/>
      <c r="O2079" s="58"/>
      <c r="P2079" s="61"/>
    </row>
    <row r="2080" spans="12:16" x14ac:dyDescent="0.25">
      <c r="L2080" s="55"/>
      <c r="M2080" s="46"/>
      <c r="N2080" s="48"/>
      <c r="O2080" s="58"/>
      <c r="P2080" s="61"/>
    </row>
    <row r="2081" spans="12:16" x14ac:dyDescent="0.25">
      <c r="L2081" s="55"/>
      <c r="M2081" s="46"/>
      <c r="N2081" s="48"/>
      <c r="O2081" s="58"/>
      <c r="P2081" s="61"/>
    </row>
    <row r="2082" spans="12:16" x14ac:dyDescent="0.25">
      <c r="L2082" s="55"/>
      <c r="M2082" s="46"/>
      <c r="N2082" s="48"/>
      <c r="O2082" s="58"/>
      <c r="P2082" s="61"/>
    </row>
    <row r="2083" spans="12:16" x14ac:dyDescent="0.25">
      <c r="L2083" s="55"/>
      <c r="M2083" s="46"/>
      <c r="N2083" s="48"/>
      <c r="O2083" s="58"/>
      <c r="P2083" s="61"/>
    </row>
    <row r="2084" spans="12:16" x14ac:dyDescent="0.25">
      <c r="L2084" s="55"/>
      <c r="M2084" s="46"/>
      <c r="N2084" s="48"/>
      <c r="O2084" s="58"/>
      <c r="P2084" s="61"/>
    </row>
    <row r="2085" spans="12:16" x14ac:dyDescent="0.25">
      <c r="L2085" s="55"/>
      <c r="M2085" s="46"/>
      <c r="N2085" s="48"/>
      <c r="O2085" s="58"/>
      <c r="P2085" s="61"/>
    </row>
    <row r="2086" spans="12:16" x14ac:dyDescent="0.25">
      <c r="L2086" s="55"/>
      <c r="M2086" s="46"/>
      <c r="N2086" s="48"/>
      <c r="O2086" s="58"/>
      <c r="P2086" s="61"/>
    </row>
    <row r="2087" spans="12:16" x14ac:dyDescent="0.25">
      <c r="L2087" s="55"/>
      <c r="M2087" s="46"/>
      <c r="N2087" s="48"/>
      <c r="O2087" s="58"/>
      <c r="P2087" s="61"/>
    </row>
    <row r="2088" spans="12:16" x14ac:dyDescent="0.25">
      <c r="L2088" s="55"/>
      <c r="M2088" s="46"/>
      <c r="N2088" s="48"/>
      <c r="O2088" s="58"/>
      <c r="P2088" s="61"/>
    </row>
    <row r="2089" spans="12:16" x14ac:dyDescent="0.25">
      <c r="L2089" s="55"/>
      <c r="M2089" s="46"/>
      <c r="N2089" s="48"/>
      <c r="O2089" s="58"/>
      <c r="P2089" s="61"/>
    </row>
    <row r="2090" spans="12:16" x14ac:dyDescent="0.25">
      <c r="L2090" s="55"/>
      <c r="M2090" s="46"/>
      <c r="N2090" s="48"/>
      <c r="O2090" s="58"/>
      <c r="P2090" s="61"/>
    </row>
    <row r="2091" spans="12:16" x14ac:dyDescent="0.25">
      <c r="L2091" s="55"/>
      <c r="M2091" s="46"/>
      <c r="N2091" s="48"/>
      <c r="O2091" s="58"/>
      <c r="P2091" s="61"/>
    </row>
    <row r="2092" spans="12:16" x14ac:dyDescent="0.25">
      <c r="L2092" s="55"/>
      <c r="M2092" s="46"/>
      <c r="N2092" s="48"/>
      <c r="O2092" s="58"/>
      <c r="P2092" s="61"/>
    </row>
    <row r="2093" spans="12:16" x14ac:dyDescent="0.25">
      <c r="L2093" s="55"/>
      <c r="M2093" s="46"/>
      <c r="N2093" s="48"/>
      <c r="O2093" s="58"/>
      <c r="P2093" s="61"/>
    </row>
    <row r="2094" spans="12:16" x14ac:dyDescent="0.25">
      <c r="L2094" s="55"/>
      <c r="M2094" s="46"/>
      <c r="N2094" s="48"/>
      <c r="O2094" s="58"/>
      <c r="P2094" s="61"/>
    </row>
    <row r="2095" spans="12:16" x14ac:dyDescent="0.25">
      <c r="L2095" s="55"/>
      <c r="M2095" s="46"/>
      <c r="N2095" s="48"/>
      <c r="O2095" s="58"/>
      <c r="P2095" s="61"/>
    </row>
    <row r="2096" spans="12:16" x14ac:dyDescent="0.25">
      <c r="L2096" s="55"/>
      <c r="M2096" s="46"/>
      <c r="N2096" s="48"/>
      <c r="O2096" s="58"/>
      <c r="P2096" s="61"/>
    </row>
    <row r="2097" spans="12:16" x14ac:dyDescent="0.25">
      <c r="L2097" s="55"/>
      <c r="M2097" s="46"/>
      <c r="N2097" s="48"/>
      <c r="O2097" s="58"/>
      <c r="P2097" s="61"/>
    </row>
    <row r="2098" spans="12:16" x14ac:dyDescent="0.25">
      <c r="L2098" s="55"/>
      <c r="M2098" s="46"/>
      <c r="N2098" s="48"/>
      <c r="O2098" s="58"/>
      <c r="P2098" s="61"/>
    </row>
    <row r="2099" spans="12:16" x14ac:dyDescent="0.25">
      <c r="L2099" s="55"/>
      <c r="M2099" s="46"/>
      <c r="N2099" s="48"/>
      <c r="O2099" s="58"/>
      <c r="P2099" s="61"/>
    </row>
    <row r="2100" spans="12:16" x14ac:dyDescent="0.25">
      <c r="L2100" s="55"/>
      <c r="M2100" s="46"/>
      <c r="N2100" s="48"/>
      <c r="O2100" s="58"/>
      <c r="P2100" s="61"/>
    </row>
    <row r="2101" spans="12:16" x14ac:dyDescent="0.25">
      <c r="L2101" s="55"/>
      <c r="M2101" s="46"/>
      <c r="N2101" s="48"/>
      <c r="O2101" s="58"/>
      <c r="P2101" s="61"/>
    </row>
    <row r="2102" spans="12:16" x14ac:dyDescent="0.25">
      <c r="L2102" s="55"/>
      <c r="M2102" s="46"/>
      <c r="N2102" s="48"/>
      <c r="O2102" s="58"/>
      <c r="P2102" s="61"/>
    </row>
    <row r="2103" spans="12:16" x14ac:dyDescent="0.25">
      <c r="L2103" s="55"/>
      <c r="M2103" s="46"/>
      <c r="N2103" s="48"/>
      <c r="O2103" s="58"/>
      <c r="P2103" s="61"/>
    </row>
    <row r="2104" spans="12:16" x14ac:dyDescent="0.25">
      <c r="L2104" s="55"/>
      <c r="M2104" s="46"/>
      <c r="N2104" s="48"/>
      <c r="O2104" s="58"/>
      <c r="P2104" s="61"/>
    </row>
    <row r="2105" spans="12:16" x14ac:dyDescent="0.25">
      <c r="L2105" s="55"/>
      <c r="M2105" s="46"/>
      <c r="N2105" s="48"/>
      <c r="O2105" s="58"/>
      <c r="P2105" s="61"/>
    </row>
    <row r="2106" spans="12:16" x14ac:dyDescent="0.25">
      <c r="L2106" s="55"/>
      <c r="M2106" s="46"/>
      <c r="N2106" s="48"/>
      <c r="O2106" s="58"/>
      <c r="P2106" s="61"/>
    </row>
    <row r="2107" spans="12:16" x14ac:dyDescent="0.25">
      <c r="L2107" s="55"/>
      <c r="M2107" s="46"/>
      <c r="N2107" s="48"/>
      <c r="O2107" s="58"/>
      <c r="P2107" s="61"/>
    </row>
    <row r="2108" spans="12:16" x14ac:dyDescent="0.25">
      <c r="L2108" s="55"/>
      <c r="M2108" s="46"/>
      <c r="N2108" s="48"/>
      <c r="O2108" s="58"/>
      <c r="P2108" s="61"/>
    </row>
    <row r="2109" spans="12:16" x14ac:dyDescent="0.25">
      <c r="L2109" s="55"/>
      <c r="M2109" s="46"/>
      <c r="N2109" s="48"/>
      <c r="O2109" s="58"/>
      <c r="P2109" s="61"/>
    </row>
    <row r="2110" spans="12:16" x14ac:dyDescent="0.25">
      <c r="L2110" s="55"/>
      <c r="M2110" s="46"/>
      <c r="N2110" s="48"/>
      <c r="O2110" s="58"/>
      <c r="P2110" s="61"/>
    </row>
    <row r="2111" spans="12:16" x14ac:dyDescent="0.25">
      <c r="L2111" s="55"/>
      <c r="M2111" s="46"/>
      <c r="N2111" s="48"/>
      <c r="O2111" s="58"/>
      <c r="P2111" s="61"/>
    </row>
    <row r="2112" spans="12:16" x14ac:dyDescent="0.25">
      <c r="L2112" s="55"/>
      <c r="M2112" s="46"/>
      <c r="N2112" s="48"/>
      <c r="O2112" s="58"/>
      <c r="P2112" s="61"/>
    </row>
    <row r="2113" spans="12:16" x14ac:dyDescent="0.25">
      <c r="L2113" s="55"/>
      <c r="M2113" s="46"/>
      <c r="N2113" s="48"/>
      <c r="O2113" s="58"/>
      <c r="P2113" s="61"/>
    </row>
    <row r="2114" spans="12:16" x14ac:dyDescent="0.25">
      <c r="L2114" s="55"/>
      <c r="M2114" s="46"/>
      <c r="N2114" s="48"/>
      <c r="O2114" s="58"/>
      <c r="P2114" s="61"/>
    </row>
    <row r="2115" spans="12:16" x14ac:dyDescent="0.25">
      <c r="L2115" s="55"/>
      <c r="M2115" s="46"/>
      <c r="N2115" s="48"/>
      <c r="O2115" s="58"/>
      <c r="P2115" s="61"/>
    </row>
    <row r="2116" spans="12:16" x14ac:dyDescent="0.25">
      <c r="L2116" s="55"/>
      <c r="M2116" s="46"/>
      <c r="N2116" s="48"/>
      <c r="O2116" s="58"/>
      <c r="P2116" s="61"/>
    </row>
    <row r="2117" spans="12:16" x14ac:dyDescent="0.25">
      <c r="L2117" s="55"/>
      <c r="M2117" s="46"/>
      <c r="N2117" s="48"/>
      <c r="O2117" s="58"/>
      <c r="P2117" s="61"/>
    </row>
    <row r="2118" spans="12:16" x14ac:dyDescent="0.25">
      <c r="L2118" s="55"/>
      <c r="M2118" s="46"/>
      <c r="N2118" s="48"/>
      <c r="O2118" s="58"/>
      <c r="P2118" s="61"/>
    </row>
    <row r="2119" spans="12:16" x14ac:dyDescent="0.25">
      <c r="L2119" s="55"/>
      <c r="M2119" s="46"/>
      <c r="N2119" s="48"/>
      <c r="O2119" s="58"/>
      <c r="P2119" s="61"/>
    </row>
    <row r="2120" spans="12:16" x14ac:dyDescent="0.25">
      <c r="L2120" s="55"/>
      <c r="M2120" s="46"/>
      <c r="N2120" s="48"/>
      <c r="O2120" s="58"/>
      <c r="P2120" s="61"/>
    </row>
    <row r="2121" spans="12:16" x14ac:dyDescent="0.25">
      <c r="L2121" s="55"/>
      <c r="M2121" s="46"/>
      <c r="N2121" s="48"/>
      <c r="O2121" s="58"/>
      <c r="P2121" s="61"/>
    </row>
    <row r="2122" spans="12:16" x14ac:dyDescent="0.25">
      <c r="L2122" s="55"/>
      <c r="M2122" s="46"/>
      <c r="N2122" s="48"/>
      <c r="O2122" s="58"/>
      <c r="P2122" s="61"/>
    </row>
    <row r="2123" spans="12:16" x14ac:dyDescent="0.25">
      <c r="L2123" s="55"/>
      <c r="M2123" s="46"/>
      <c r="N2123" s="48"/>
      <c r="O2123" s="58"/>
      <c r="P2123" s="61"/>
    </row>
    <row r="2124" spans="12:16" x14ac:dyDescent="0.25">
      <c r="L2124" s="55"/>
      <c r="M2124" s="46"/>
      <c r="N2124" s="48"/>
      <c r="O2124" s="58"/>
      <c r="P2124" s="61"/>
    </row>
    <row r="2125" spans="12:16" x14ac:dyDescent="0.25">
      <c r="L2125" s="55"/>
      <c r="M2125" s="46"/>
      <c r="N2125" s="48"/>
      <c r="O2125" s="58"/>
      <c r="P2125" s="61"/>
    </row>
    <row r="2126" spans="12:16" x14ac:dyDescent="0.25">
      <c r="L2126" s="55"/>
      <c r="M2126" s="46"/>
      <c r="N2126" s="48"/>
      <c r="O2126" s="58"/>
      <c r="P2126" s="61"/>
    </row>
    <row r="2127" spans="12:16" x14ac:dyDescent="0.25">
      <c r="L2127" s="55"/>
      <c r="M2127" s="46"/>
      <c r="N2127" s="48"/>
      <c r="O2127" s="58"/>
      <c r="P2127" s="61"/>
    </row>
    <row r="2128" spans="12:16" x14ac:dyDescent="0.25">
      <c r="L2128" s="55"/>
      <c r="M2128" s="46"/>
      <c r="N2128" s="48"/>
      <c r="O2128" s="58"/>
      <c r="P2128" s="61"/>
    </row>
    <row r="2129" spans="12:16" x14ac:dyDescent="0.25">
      <c r="L2129" s="55"/>
      <c r="M2129" s="46"/>
      <c r="N2129" s="48"/>
      <c r="O2129" s="58"/>
      <c r="P2129" s="61"/>
    </row>
    <row r="2130" spans="12:16" x14ac:dyDescent="0.25">
      <c r="L2130" s="55"/>
      <c r="M2130" s="46"/>
      <c r="N2130" s="48"/>
      <c r="O2130" s="58"/>
      <c r="P2130" s="61"/>
    </row>
    <row r="2131" spans="12:16" x14ac:dyDescent="0.25">
      <c r="L2131" s="55"/>
      <c r="M2131" s="46"/>
      <c r="N2131" s="48"/>
      <c r="O2131" s="58"/>
      <c r="P2131" s="61"/>
    </row>
    <row r="2132" spans="12:16" x14ac:dyDescent="0.25">
      <c r="L2132" s="55"/>
      <c r="M2132" s="46"/>
      <c r="N2132" s="48"/>
      <c r="O2132" s="58"/>
      <c r="P2132" s="61"/>
    </row>
    <row r="2133" spans="12:16" x14ac:dyDescent="0.25">
      <c r="L2133" s="55"/>
      <c r="M2133" s="46"/>
      <c r="N2133" s="48"/>
      <c r="O2133" s="58"/>
      <c r="P2133" s="61"/>
    </row>
    <row r="2134" spans="12:16" x14ac:dyDescent="0.25">
      <c r="L2134" s="55"/>
      <c r="M2134" s="46"/>
      <c r="N2134" s="48"/>
      <c r="O2134" s="58"/>
      <c r="P2134" s="61"/>
    </row>
    <row r="2135" spans="12:16" x14ac:dyDescent="0.25">
      <c r="L2135" s="55"/>
      <c r="M2135" s="46"/>
      <c r="N2135" s="48"/>
      <c r="O2135" s="58"/>
      <c r="P2135" s="61"/>
    </row>
    <row r="2136" spans="12:16" x14ac:dyDescent="0.25">
      <c r="L2136" s="55"/>
      <c r="M2136" s="46"/>
      <c r="N2136" s="48"/>
      <c r="O2136" s="58"/>
      <c r="P2136" s="61"/>
    </row>
    <row r="2137" spans="12:16" x14ac:dyDescent="0.25">
      <c r="L2137" s="55"/>
      <c r="M2137" s="46"/>
      <c r="N2137" s="48"/>
      <c r="O2137" s="58"/>
      <c r="P2137" s="61"/>
    </row>
  </sheetData>
  <autoFilter ref="A1:V476"/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_program">
                <anchor moveWithCells="1" sizeWithCells="1">
                  <from>
                    <xdr:col>18</xdr:col>
                    <xdr:colOff>228600</xdr:colOff>
                    <xdr:row>1</xdr:row>
                    <xdr:rowOff>47625</xdr:rowOff>
                  </from>
                  <to>
                    <xdr:col>19</xdr:col>
                    <xdr:colOff>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C000"/>
  </sheetPr>
  <dimension ref="A1:X91"/>
  <sheetViews>
    <sheetView workbookViewId="0">
      <pane ySplit="1" topLeftCell="A53" activePane="bottomLeft" state="frozen"/>
      <selection activeCell="Y1" sqref="Y1"/>
      <selection pane="bottomLeft" activeCell="A55" sqref="A55:B64"/>
    </sheetView>
  </sheetViews>
  <sheetFormatPr defaultRowHeight="15.75" x14ac:dyDescent="0.25"/>
  <cols>
    <col min="1" max="1" width="16.375" style="116" customWidth="1"/>
    <col min="2" max="2" width="12.625" style="116" customWidth="1"/>
    <col min="3" max="3" width="15.75" style="116" customWidth="1"/>
    <col min="4" max="4" width="14.875" style="116" customWidth="1"/>
    <col min="5" max="9" width="12.625" style="116" customWidth="1"/>
    <col min="10" max="10" width="12.625" style="117" customWidth="1"/>
    <col min="11" max="11" width="12.625" style="118" customWidth="1"/>
    <col min="12" max="13" width="12.625" style="119" customWidth="1"/>
    <col min="14" max="14" width="12.625" style="117" customWidth="1"/>
    <col min="15" max="15" width="10.625" style="117" customWidth="1"/>
    <col min="16" max="16" width="11.125" style="117" customWidth="1"/>
    <col min="17" max="18" width="12.625" style="117" customWidth="1"/>
    <col min="19" max="20" width="15.25" style="79" customWidth="1"/>
    <col min="21" max="21" width="13.5" hidden="1" customWidth="1"/>
    <col min="22" max="22" width="0" hidden="1" customWidth="1"/>
    <col min="23" max="24" width="13.625" customWidth="1"/>
  </cols>
  <sheetData>
    <row r="1" spans="1:24" x14ac:dyDescent="0.25">
      <c r="A1" s="110" t="s">
        <v>237</v>
      </c>
      <c r="B1" s="111" t="s">
        <v>234</v>
      </c>
      <c r="C1" s="111" t="s">
        <v>248</v>
      </c>
      <c r="D1" s="111" t="s">
        <v>156</v>
      </c>
      <c r="E1" s="111" t="s">
        <v>242</v>
      </c>
      <c r="F1" s="111" t="s">
        <v>249</v>
      </c>
      <c r="G1" s="111" t="s">
        <v>243</v>
      </c>
      <c r="H1" s="111" t="s">
        <v>250</v>
      </c>
      <c r="I1" s="111" t="s">
        <v>251</v>
      </c>
      <c r="J1" s="112" t="s">
        <v>238</v>
      </c>
      <c r="K1" s="113" t="s">
        <v>239</v>
      </c>
      <c r="L1" s="111" t="s">
        <v>236</v>
      </c>
      <c r="M1" s="111" t="s">
        <v>241</v>
      </c>
      <c r="N1" s="111" t="s">
        <v>240</v>
      </c>
      <c r="O1" s="111" t="s">
        <v>244</v>
      </c>
      <c r="P1" s="111" t="s">
        <v>245</v>
      </c>
      <c r="Q1" s="111" t="s">
        <v>246</v>
      </c>
      <c r="R1" s="111" t="s">
        <v>247</v>
      </c>
      <c r="S1" s="33" t="s">
        <v>619</v>
      </c>
      <c r="T1" s="33" t="s">
        <v>618</v>
      </c>
      <c r="U1" s="17"/>
      <c r="W1" s="33" t="s">
        <v>622</v>
      </c>
      <c r="X1" s="17" t="e">
        <f>SUM(X2:X10)</f>
        <v>#VALUE!</v>
      </c>
    </row>
    <row r="2" spans="1:24" x14ac:dyDescent="0.25">
      <c r="A2" s="114">
        <v>208702</v>
      </c>
      <c r="B2" s="115">
        <v>43132</v>
      </c>
      <c r="C2" s="115">
        <v>43136</v>
      </c>
      <c r="D2" s="115">
        <v>44963</v>
      </c>
      <c r="E2" s="109" t="s">
        <v>0</v>
      </c>
      <c r="F2" s="109">
        <v>300000000</v>
      </c>
      <c r="G2" s="109" t="s">
        <v>0</v>
      </c>
      <c r="H2" s="109">
        <v>300000000</v>
      </c>
      <c r="I2" s="109" t="s">
        <v>340</v>
      </c>
      <c r="J2" s="109">
        <v>1.06E-2</v>
      </c>
      <c r="K2" s="109" t="s">
        <v>333</v>
      </c>
      <c r="L2" s="109" t="s">
        <v>331</v>
      </c>
      <c r="M2" s="109" t="s">
        <v>169</v>
      </c>
      <c r="N2" s="109" t="s">
        <v>169</v>
      </c>
      <c r="O2" s="109">
        <v>1</v>
      </c>
      <c r="P2" s="109">
        <v>-1</v>
      </c>
      <c r="Q2" s="109" t="s">
        <v>338</v>
      </c>
      <c r="R2" s="109" t="s">
        <v>338</v>
      </c>
      <c r="S2" s="79" t="e">
        <f>B56</f>
        <v>#VALUE!</v>
      </c>
      <c r="T2" s="79" t="e">
        <f>IF(E2="TWD",S2,S2*'FX-ImpliedCurve'!D2)</f>
        <v>#VALUE!</v>
      </c>
      <c r="W2" s="79">
        <v>1823229</v>
      </c>
      <c r="X2" s="79" t="e">
        <f>T2</f>
        <v>#VALUE!</v>
      </c>
    </row>
    <row r="3" spans="1:24" x14ac:dyDescent="0.25">
      <c r="A3" s="114">
        <v>342359</v>
      </c>
      <c r="B3" s="115">
        <v>43455</v>
      </c>
      <c r="C3" s="115">
        <v>43459</v>
      </c>
      <c r="D3" s="115">
        <v>44921</v>
      </c>
      <c r="E3" s="109" t="s">
        <v>0</v>
      </c>
      <c r="F3" s="109">
        <v>300000000</v>
      </c>
      <c r="G3" s="109" t="s">
        <v>0</v>
      </c>
      <c r="H3" s="109">
        <v>300000000</v>
      </c>
      <c r="I3" s="109" t="s">
        <v>305</v>
      </c>
      <c r="J3" s="109">
        <v>7.7499999999999999E-3</v>
      </c>
      <c r="K3" s="109" t="s">
        <v>333</v>
      </c>
      <c r="L3" s="109" t="s">
        <v>329</v>
      </c>
      <c r="M3" s="109" t="s">
        <v>169</v>
      </c>
      <c r="N3" s="109" t="s">
        <v>169</v>
      </c>
      <c r="O3" s="109">
        <v>1</v>
      </c>
      <c r="P3" s="109">
        <v>-1</v>
      </c>
      <c r="Q3" s="109" t="s">
        <v>338</v>
      </c>
      <c r="R3" s="109" t="s">
        <v>338</v>
      </c>
      <c r="S3" s="79" t="e">
        <f t="shared" ref="S3:S10" si="0">B57</f>
        <v>#VALUE!</v>
      </c>
      <c r="T3" s="79" t="e">
        <f>IF(E3="TWD",S3,S3*'FX-ImpliedCurve'!D3)</f>
        <v>#VALUE!</v>
      </c>
      <c r="W3" s="79">
        <v>642957</v>
      </c>
      <c r="X3" s="79" t="e">
        <f t="shared" ref="X3:X10" si="1">T3</f>
        <v>#VALUE!</v>
      </c>
    </row>
    <row r="4" spans="1:24" x14ac:dyDescent="0.25">
      <c r="A4" s="114">
        <v>342361</v>
      </c>
      <c r="B4" s="115">
        <v>43455</v>
      </c>
      <c r="C4" s="115">
        <v>43459</v>
      </c>
      <c r="D4" s="115">
        <v>44921</v>
      </c>
      <c r="E4" s="109" t="s">
        <v>0</v>
      </c>
      <c r="F4" s="109">
        <v>400000000</v>
      </c>
      <c r="G4" s="109" t="s">
        <v>0</v>
      </c>
      <c r="H4" s="109">
        <v>400000000</v>
      </c>
      <c r="I4" s="109" t="s">
        <v>305</v>
      </c>
      <c r="J4" s="109">
        <v>7.7499999999999999E-3</v>
      </c>
      <c r="K4" s="109" t="s">
        <v>333</v>
      </c>
      <c r="L4" s="109" t="s">
        <v>334</v>
      </c>
      <c r="M4" s="109" t="s">
        <v>169</v>
      </c>
      <c r="N4" s="109" t="s">
        <v>169</v>
      </c>
      <c r="O4" s="109">
        <v>1</v>
      </c>
      <c r="P4" s="109">
        <v>-1</v>
      </c>
      <c r="Q4" s="109" t="s">
        <v>338</v>
      </c>
      <c r="R4" s="109" t="s">
        <v>338</v>
      </c>
      <c r="S4" s="79" t="e">
        <f t="shared" si="0"/>
        <v>#VALUE!</v>
      </c>
      <c r="T4" s="79" t="e">
        <f>IF(E4="TWD",S4,S4*'FX-ImpliedCurve'!D4)</f>
        <v>#VALUE!</v>
      </c>
      <c r="W4" s="79">
        <v>857274</v>
      </c>
      <c r="X4" s="79" t="e">
        <f t="shared" si="1"/>
        <v>#VALUE!</v>
      </c>
    </row>
    <row r="5" spans="1:24" x14ac:dyDescent="0.25">
      <c r="A5" s="114">
        <v>611755</v>
      </c>
      <c r="B5" s="115">
        <v>43937</v>
      </c>
      <c r="C5" s="115">
        <v>43941</v>
      </c>
      <c r="D5" s="115">
        <v>44561</v>
      </c>
      <c r="E5" s="109" t="s">
        <v>4</v>
      </c>
      <c r="F5" s="109">
        <v>10000000</v>
      </c>
      <c r="G5" s="109" t="s">
        <v>4</v>
      </c>
      <c r="H5" s="109">
        <v>10000000</v>
      </c>
      <c r="I5" s="109" t="s">
        <v>305</v>
      </c>
      <c r="J5" s="109">
        <v>5.0000000000000001E-3</v>
      </c>
      <c r="K5" s="109" t="s">
        <v>332</v>
      </c>
      <c r="L5" s="109" t="s">
        <v>335</v>
      </c>
      <c r="M5" s="109" t="s">
        <v>252</v>
      </c>
      <c r="N5" s="109" t="s">
        <v>252</v>
      </c>
      <c r="O5" s="109">
        <v>1</v>
      </c>
      <c r="P5" s="109">
        <v>-1</v>
      </c>
      <c r="Q5" s="109" t="s">
        <v>339</v>
      </c>
      <c r="R5" s="109" t="s">
        <v>339</v>
      </c>
      <c r="S5" s="79" t="e">
        <f t="shared" si="0"/>
        <v>#VALUE!</v>
      </c>
      <c r="T5" s="79" t="e">
        <f>IF(E5="TWD",S5,S5*'FX-ImpliedCurve'!D5)</f>
        <v>#VALUE!</v>
      </c>
      <c r="W5" s="79">
        <v>260710</v>
      </c>
      <c r="X5" s="79" t="e">
        <f t="shared" si="1"/>
        <v>#VALUE!</v>
      </c>
    </row>
    <row r="6" spans="1:24" x14ac:dyDescent="0.25">
      <c r="A6" s="114">
        <v>669467</v>
      </c>
      <c r="B6" s="115">
        <v>44012</v>
      </c>
      <c r="C6" s="115">
        <v>44014</v>
      </c>
      <c r="D6" s="115">
        <v>44561</v>
      </c>
      <c r="E6" s="109" t="s">
        <v>4</v>
      </c>
      <c r="F6" s="109">
        <v>10000000</v>
      </c>
      <c r="G6" s="109" t="s">
        <v>4</v>
      </c>
      <c r="H6" s="109">
        <v>10000000</v>
      </c>
      <c r="I6" s="109" t="s">
        <v>305</v>
      </c>
      <c r="J6" s="109">
        <v>2.8E-3</v>
      </c>
      <c r="K6" s="109" t="s">
        <v>332</v>
      </c>
      <c r="L6" s="109" t="s">
        <v>335</v>
      </c>
      <c r="M6" s="109" t="s">
        <v>252</v>
      </c>
      <c r="N6" s="109" t="s">
        <v>252</v>
      </c>
      <c r="O6" s="109">
        <v>1</v>
      </c>
      <c r="P6" s="109">
        <v>-1</v>
      </c>
      <c r="Q6" s="109" t="s">
        <v>339</v>
      </c>
      <c r="R6" s="109" t="s">
        <v>339</v>
      </c>
      <c r="S6" s="79" t="e">
        <f t="shared" si="0"/>
        <v>#VALUE!</v>
      </c>
      <c r="T6" s="79" t="e">
        <f>IF(E6="TWD",S6,S6*'FX-ImpliedCurve'!D6)</f>
        <v>#VALUE!</v>
      </c>
      <c r="W6" s="79">
        <v>105062</v>
      </c>
      <c r="X6" s="79" t="e">
        <f t="shared" si="1"/>
        <v>#VALUE!</v>
      </c>
    </row>
    <row r="7" spans="1:24" x14ac:dyDescent="0.25">
      <c r="A7" s="114">
        <v>153701</v>
      </c>
      <c r="B7" s="115">
        <v>42838</v>
      </c>
      <c r="C7" s="115">
        <v>42842</v>
      </c>
      <c r="D7" s="115">
        <v>44669</v>
      </c>
      <c r="E7" s="109" t="s">
        <v>0</v>
      </c>
      <c r="F7" s="109">
        <v>200000000</v>
      </c>
      <c r="G7" s="109" t="s">
        <v>0</v>
      </c>
      <c r="H7" s="109">
        <v>200000000</v>
      </c>
      <c r="I7" s="109" t="s">
        <v>305</v>
      </c>
      <c r="J7" s="109">
        <v>9.5999999999999992E-3</v>
      </c>
      <c r="K7" s="109" t="s">
        <v>333</v>
      </c>
      <c r="L7" s="109" t="s">
        <v>336</v>
      </c>
      <c r="M7" s="109" t="s">
        <v>169</v>
      </c>
      <c r="N7" s="109" t="s">
        <v>169</v>
      </c>
      <c r="O7" s="109">
        <v>-1</v>
      </c>
      <c r="P7" s="109">
        <v>1</v>
      </c>
      <c r="Q7" s="109" t="s">
        <v>338</v>
      </c>
      <c r="R7" s="109" t="s">
        <v>338</v>
      </c>
      <c r="S7" s="79" t="e">
        <f t="shared" si="0"/>
        <v>#VALUE!</v>
      </c>
      <c r="T7" s="79" t="e">
        <f>IF(E7="TWD",S7,S7*'FX-ImpliedCurve'!D7)</f>
        <v>#VALUE!</v>
      </c>
      <c r="W7" s="79">
        <v>-460275</v>
      </c>
      <c r="X7" s="79" t="e">
        <f t="shared" si="1"/>
        <v>#VALUE!</v>
      </c>
    </row>
    <row r="8" spans="1:24" x14ac:dyDescent="0.25">
      <c r="A8" s="114">
        <v>205452</v>
      </c>
      <c r="B8" s="115">
        <v>43117</v>
      </c>
      <c r="C8" s="115">
        <v>43119</v>
      </c>
      <c r="D8" s="115">
        <v>44945</v>
      </c>
      <c r="E8" s="109" t="s">
        <v>0</v>
      </c>
      <c r="F8" s="109">
        <v>1000000000</v>
      </c>
      <c r="G8" s="109" t="s">
        <v>0</v>
      </c>
      <c r="H8" s="109">
        <v>1000000000</v>
      </c>
      <c r="I8" s="109" t="s">
        <v>305</v>
      </c>
      <c r="J8" s="109">
        <v>1.095E-2</v>
      </c>
      <c r="K8" s="109" t="s">
        <v>333</v>
      </c>
      <c r="L8" s="109" t="s">
        <v>336</v>
      </c>
      <c r="M8" s="109" t="s">
        <v>169</v>
      </c>
      <c r="N8" s="109" t="s">
        <v>169</v>
      </c>
      <c r="O8" s="109">
        <v>-1</v>
      </c>
      <c r="P8" s="109">
        <v>1</v>
      </c>
      <c r="Q8" s="109" t="s">
        <v>338</v>
      </c>
      <c r="R8" s="109" t="s">
        <v>338</v>
      </c>
      <c r="S8" s="79" t="e">
        <f t="shared" si="0"/>
        <v>#VALUE!</v>
      </c>
      <c r="T8" s="79" t="e">
        <f>IF(E8="TWD",S8,S8*'FX-ImpliedCurve'!D8)</f>
        <v>#VALUE!</v>
      </c>
      <c r="W8" s="79">
        <v>-6631106</v>
      </c>
      <c r="X8" s="79" t="e">
        <f t="shared" si="1"/>
        <v>#VALUE!</v>
      </c>
    </row>
    <row r="9" spans="1:24" x14ac:dyDescent="0.25">
      <c r="A9" s="114">
        <v>611754</v>
      </c>
      <c r="B9" s="115">
        <v>43937</v>
      </c>
      <c r="C9" s="115">
        <v>43941</v>
      </c>
      <c r="D9" s="115">
        <v>44561</v>
      </c>
      <c r="E9" s="109" t="s">
        <v>4</v>
      </c>
      <c r="F9" s="109">
        <v>10000000</v>
      </c>
      <c r="G9" s="109" t="s">
        <v>4</v>
      </c>
      <c r="H9" s="109">
        <v>10000000</v>
      </c>
      <c r="I9" s="109" t="s">
        <v>305</v>
      </c>
      <c r="J9" s="109">
        <v>5.0000000000000001E-3</v>
      </c>
      <c r="K9" s="109" t="s">
        <v>332</v>
      </c>
      <c r="L9" s="109" t="s">
        <v>337</v>
      </c>
      <c r="M9" s="109" t="s">
        <v>252</v>
      </c>
      <c r="N9" s="109" t="s">
        <v>252</v>
      </c>
      <c r="O9" s="109">
        <v>-1</v>
      </c>
      <c r="P9" s="109">
        <v>1</v>
      </c>
      <c r="Q9" s="109" t="s">
        <v>339</v>
      </c>
      <c r="R9" s="109" t="s">
        <v>339</v>
      </c>
      <c r="S9" s="79" t="e">
        <f t="shared" si="0"/>
        <v>#VALUE!</v>
      </c>
      <c r="T9" s="79" t="e">
        <f>IF(E9="TWD",S9,S9*'FX-ImpliedCurve'!D9)</f>
        <v>#VALUE!</v>
      </c>
      <c r="W9" s="79">
        <v>-260710</v>
      </c>
      <c r="X9" s="79" t="e">
        <f t="shared" si="1"/>
        <v>#VALUE!</v>
      </c>
    </row>
    <row r="10" spans="1:24" x14ac:dyDescent="0.25">
      <c r="A10" s="114">
        <v>669566</v>
      </c>
      <c r="B10" s="115">
        <v>44012</v>
      </c>
      <c r="C10" s="115">
        <v>44014</v>
      </c>
      <c r="D10" s="115">
        <v>44561</v>
      </c>
      <c r="E10" s="109" t="s">
        <v>4</v>
      </c>
      <c r="F10" s="109">
        <v>10000000</v>
      </c>
      <c r="G10" s="109" t="s">
        <v>4</v>
      </c>
      <c r="H10" s="109">
        <v>10000000</v>
      </c>
      <c r="I10" s="109" t="s">
        <v>305</v>
      </c>
      <c r="J10" s="109">
        <v>2.8E-3</v>
      </c>
      <c r="K10" s="109" t="s">
        <v>332</v>
      </c>
      <c r="L10" s="109" t="s">
        <v>337</v>
      </c>
      <c r="M10" s="109" t="s">
        <v>252</v>
      </c>
      <c r="N10" s="109" t="s">
        <v>252</v>
      </c>
      <c r="O10" s="109">
        <v>-1</v>
      </c>
      <c r="P10" s="109">
        <v>1</v>
      </c>
      <c r="Q10" s="109" t="s">
        <v>339</v>
      </c>
      <c r="R10" s="109" t="s">
        <v>339</v>
      </c>
      <c r="S10" s="79" t="e">
        <f t="shared" si="0"/>
        <v>#VALUE!</v>
      </c>
      <c r="T10" s="79" t="e">
        <f>IF(E10="TWD",S10,S10*'FX-ImpliedCurve'!D10)</f>
        <v>#VALUE!</v>
      </c>
      <c r="W10" s="79">
        <v>-105062</v>
      </c>
      <c r="X10" s="79" t="e">
        <f t="shared" si="1"/>
        <v>#VALUE!</v>
      </c>
    </row>
    <row r="11" spans="1:24" x14ac:dyDescent="0.25">
      <c r="A11" s="114"/>
      <c r="B11" s="115"/>
      <c r="C11" s="115"/>
      <c r="D11" s="115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</row>
    <row r="12" spans="1:24" x14ac:dyDescent="0.25">
      <c r="A12" s="114"/>
      <c r="B12" s="114"/>
      <c r="C12" s="114"/>
      <c r="D12" s="114"/>
      <c r="E12" s="114"/>
      <c r="F12" s="114"/>
      <c r="G12" s="114"/>
      <c r="H12" s="114"/>
      <c r="I12" s="114"/>
      <c r="J12" s="109"/>
      <c r="K12" s="109"/>
      <c r="L12" s="109"/>
      <c r="M12" s="109"/>
      <c r="N12" s="109"/>
      <c r="O12" s="109"/>
      <c r="P12" s="109"/>
      <c r="Q12" s="109"/>
      <c r="R12" s="109"/>
    </row>
    <row r="13" spans="1:24" x14ac:dyDescent="0.25">
      <c r="A13" s="110" t="s">
        <v>595</v>
      </c>
      <c r="B13" s="110" t="s">
        <v>552</v>
      </c>
      <c r="C13" s="110" t="s">
        <v>596</v>
      </c>
      <c r="D13" s="110" t="s">
        <v>597</v>
      </c>
      <c r="E13" s="110" t="s">
        <v>298</v>
      </c>
      <c r="F13" s="110" t="s">
        <v>554</v>
      </c>
      <c r="G13" s="110" t="s">
        <v>598</v>
      </c>
      <c r="H13" s="110" t="s">
        <v>599</v>
      </c>
      <c r="I13" s="110" t="s">
        <v>600</v>
      </c>
      <c r="J13" s="110" t="s">
        <v>601</v>
      </c>
      <c r="K13" s="110" t="s">
        <v>602</v>
      </c>
      <c r="L13" s="110" t="s">
        <v>603</v>
      </c>
      <c r="M13" s="110" t="s">
        <v>452</v>
      </c>
      <c r="N13" s="110" t="s">
        <v>453</v>
      </c>
      <c r="O13" s="110" t="s">
        <v>562</v>
      </c>
      <c r="P13" s="109"/>
      <c r="Q13" s="109"/>
      <c r="R13" s="109"/>
    </row>
    <row r="14" spans="1:24" x14ac:dyDescent="0.25">
      <c r="A14" s="218" t="str">
        <f>_xll.qlSchedule(B14,C14,D14,E14,F14,G14,H14,I14,J14,K14,L14,M14,N14,O14)</f>
        <v>208702Sch#0000</v>
      </c>
      <c r="B14" s="114" t="str">
        <f t="shared" ref="B14:B22" si="2">A2&amp;"Sch"</f>
        <v>208702Sch</v>
      </c>
      <c r="C14" s="214">
        <v>43136</v>
      </c>
      <c r="D14" s="214">
        <v>44963</v>
      </c>
      <c r="E14" s="215" t="s">
        <v>305</v>
      </c>
      <c r="F14" s="217" t="s">
        <v>544</v>
      </c>
      <c r="G14" s="215" t="s">
        <v>550</v>
      </c>
      <c r="H14" s="215" t="s">
        <v>545</v>
      </c>
      <c r="I14" s="215" t="s">
        <v>604</v>
      </c>
      <c r="J14" s="216" t="b">
        <v>0</v>
      </c>
      <c r="K14" s="216"/>
      <c r="L14" s="216"/>
      <c r="M14" s="216" t="b">
        <v>0</v>
      </c>
      <c r="N14" s="215">
        <v>2</v>
      </c>
      <c r="O14" s="216" t="b">
        <v>1</v>
      </c>
      <c r="P14" s="109"/>
      <c r="Q14" s="109"/>
      <c r="R14" s="109"/>
    </row>
    <row r="15" spans="1:24" x14ac:dyDescent="0.25">
      <c r="A15" s="218" t="str">
        <f>_xll.qlSchedule(B15,C15,D15,E15,F15,G15,H15,I15,J15,K15,L15,M15,N15,O15)</f>
        <v>342359Sch#0000</v>
      </c>
      <c r="B15" s="114" t="str">
        <f t="shared" si="2"/>
        <v>342359Sch</v>
      </c>
      <c r="C15" s="214">
        <v>43459</v>
      </c>
      <c r="D15" s="214">
        <v>44921</v>
      </c>
      <c r="E15" s="215" t="s">
        <v>305</v>
      </c>
      <c r="F15" s="217" t="s">
        <v>544</v>
      </c>
      <c r="G15" s="215" t="s">
        <v>550</v>
      </c>
      <c r="H15" s="215" t="s">
        <v>545</v>
      </c>
      <c r="I15" s="215" t="s">
        <v>604</v>
      </c>
      <c r="J15" s="216" t="b">
        <v>0</v>
      </c>
      <c r="K15" s="109"/>
      <c r="L15" s="109"/>
      <c r="M15" s="216" t="b">
        <v>0</v>
      </c>
      <c r="N15" s="215">
        <f>N14</f>
        <v>2</v>
      </c>
      <c r="O15" s="216" t="b">
        <v>1</v>
      </c>
      <c r="P15" s="109"/>
      <c r="Q15" s="109"/>
      <c r="R15" s="109"/>
    </row>
    <row r="16" spans="1:24" x14ac:dyDescent="0.25">
      <c r="A16" s="218" t="str">
        <f>_xll.qlSchedule(B16,C16,D16,E16,F16,G16,H16,I16,J16,K16,L16,M16,N16,O16)</f>
        <v>342361Sch#0000</v>
      </c>
      <c r="B16" s="114" t="str">
        <f t="shared" si="2"/>
        <v>342361Sch</v>
      </c>
      <c r="C16" s="214">
        <v>43459</v>
      </c>
      <c r="D16" s="214">
        <v>44921</v>
      </c>
      <c r="E16" s="215" t="s">
        <v>305</v>
      </c>
      <c r="F16" s="217" t="s">
        <v>544</v>
      </c>
      <c r="G16" s="215" t="s">
        <v>550</v>
      </c>
      <c r="H16" s="215" t="s">
        <v>545</v>
      </c>
      <c r="I16" s="215" t="s">
        <v>604</v>
      </c>
      <c r="J16" s="216" t="b">
        <v>0</v>
      </c>
      <c r="K16" s="109"/>
      <c r="L16" s="109"/>
      <c r="M16" s="216" t="b">
        <v>0</v>
      </c>
      <c r="N16" s="215">
        <f t="shared" ref="N16:N22" si="3">N15</f>
        <v>2</v>
      </c>
      <c r="O16" s="216" t="b">
        <v>1</v>
      </c>
      <c r="P16" s="109"/>
      <c r="Q16" s="109"/>
      <c r="R16" s="109"/>
    </row>
    <row r="17" spans="1:18" x14ac:dyDescent="0.25">
      <c r="A17" s="218" t="str">
        <f>_xll.qlSchedule(B17,C17,D17,E17,F17,G17,H17,I17,J17,K17,L17,M17,N17,O17)</f>
        <v>611755Sch#0000</v>
      </c>
      <c r="B17" s="114" t="str">
        <f t="shared" si="2"/>
        <v>611755Sch</v>
      </c>
      <c r="C17" s="214">
        <v>43941</v>
      </c>
      <c r="D17" s="214">
        <v>44561</v>
      </c>
      <c r="E17" s="215" t="s">
        <v>305</v>
      </c>
      <c r="F17" s="217" t="s">
        <v>605</v>
      </c>
      <c r="G17" s="215" t="s">
        <v>550</v>
      </c>
      <c r="H17" s="215" t="s">
        <v>545</v>
      </c>
      <c r="I17" s="215" t="s">
        <v>604</v>
      </c>
      <c r="J17" s="216" t="b">
        <v>0</v>
      </c>
      <c r="K17" s="109"/>
      <c r="L17" s="109"/>
      <c r="M17" s="216" t="b">
        <v>0</v>
      </c>
      <c r="N17" s="215">
        <f t="shared" si="3"/>
        <v>2</v>
      </c>
      <c r="O17" s="216" t="b">
        <v>1</v>
      </c>
      <c r="P17" s="109"/>
      <c r="Q17" s="109"/>
      <c r="R17" s="109"/>
    </row>
    <row r="18" spans="1:18" x14ac:dyDescent="0.25">
      <c r="A18" s="218" t="str">
        <f>_xll.qlSchedule(B18,C18,D18,E18,F18,G18,H18,I18,J18,K18,L18,M18,N18,O18)</f>
        <v>669467Sch#0000</v>
      </c>
      <c r="B18" s="114" t="str">
        <f t="shared" si="2"/>
        <v>669467Sch</v>
      </c>
      <c r="C18" s="214">
        <v>44014</v>
      </c>
      <c r="D18" s="214">
        <v>44561</v>
      </c>
      <c r="E18" s="215" t="s">
        <v>305</v>
      </c>
      <c r="F18" s="217" t="s">
        <v>605</v>
      </c>
      <c r="G18" s="215" t="s">
        <v>550</v>
      </c>
      <c r="H18" s="215" t="s">
        <v>545</v>
      </c>
      <c r="I18" s="215" t="s">
        <v>604</v>
      </c>
      <c r="J18" s="216" t="b">
        <v>0</v>
      </c>
      <c r="K18" s="109"/>
      <c r="L18" s="109"/>
      <c r="M18" s="216" t="b">
        <v>0</v>
      </c>
      <c r="N18" s="215">
        <f t="shared" si="3"/>
        <v>2</v>
      </c>
      <c r="O18" s="216" t="b">
        <v>1</v>
      </c>
      <c r="P18" s="109"/>
      <c r="Q18" s="109"/>
      <c r="R18" s="109"/>
    </row>
    <row r="19" spans="1:18" x14ac:dyDescent="0.25">
      <c r="A19" s="218" t="str">
        <f>_xll.qlSchedule(B19,C19,D19,E19,F19,G19,H19,I19,J19,K19,L19,M19,N19,O19)</f>
        <v>153701Sch#0000</v>
      </c>
      <c r="B19" s="114" t="str">
        <f t="shared" si="2"/>
        <v>153701Sch</v>
      </c>
      <c r="C19" s="214">
        <v>42842</v>
      </c>
      <c r="D19" s="214">
        <v>44669</v>
      </c>
      <c r="E19" s="215" t="s">
        <v>305</v>
      </c>
      <c r="F19" s="217" t="s">
        <v>544</v>
      </c>
      <c r="G19" s="215" t="s">
        <v>550</v>
      </c>
      <c r="H19" s="215" t="s">
        <v>545</v>
      </c>
      <c r="I19" s="215" t="s">
        <v>604</v>
      </c>
      <c r="J19" s="216" t="b">
        <v>0</v>
      </c>
      <c r="K19" s="109"/>
      <c r="L19" s="109"/>
      <c r="M19" s="216" t="b">
        <v>0</v>
      </c>
      <c r="N19" s="215">
        <f t="shared" si="3"/>
        <v>2</v>
      </c>
      <c r="O19" s="216" t="b">
        <v>1</v>
      </c>
      <c r="P19" s="109"/>
      <c r="Q19" s="109"/>
      <c r="R19" s="109"/>
    </row>
    <row r="20" spans="1:18" x14ac:dyDescent="0.25">
      <c r="A20" s="218" t="str">
        <f>_xll.qlSchedule(B20,C20,D20,E20,F20,G20,H20,I20,J20,K20,L20,M20,N20,O20)</f>
        <v>205452Sch#0000</v>
      </c>
      <c r="B20" s="114" t="str">
        <f t="shared" si="2"/>
        <v>205452Sch</v>
      </c>
      <c r="C20" s="214">
        <v>43119</v>
      </c>
      <c r="D20" s="214">
        <v>44945</v>
      </c>
      <c r="E20" s="215" t="s">
        <v>305</v>
      </c>
      <c r="F20" s="217" t="s">
        <v>544</v>
      </c>
      <c r="G20" s="215" t="s">
        <v>550</v>
      </c>
      <c r="H20" s="215" t="s">
        <v>545</v>
      </c>
      <c r="I20" s="215" t="s">
        <v>604</v>
      </c>
      <c r="J20" s="216" t="b">
        <v>0</v>
      </c>
      <c r="K20" s="109"/>
      <c r="L20" s="109"/>
      <c r="M20" s="216" t="b">
        <v>0</v>
      </c>
      <c r="N20" s="215">
        <f t="shared" si="3"/>
        <v>2</v>
      </c>
      <c r="O20" s="216" t="b">
        <v>1</v>
      </c>
      <c r="P20" s="109"/>
      <c r="Q20" s="109"/>
      <c r="R20" s="109"/>
    </row>
    <row r="21" spans="1:18" x14ac:dyDescent="0.25">
      <c r="A21" s="218" t="str">
        <f>_xll.qlSchedule(B21,C21,D21,E21,F21,G21,H21,I21,J21,K21,L21,M21,N21,O21)</f>
        <v>611754Sch#0000</v>
      </c>
      <c r="B21" s="114" t="str">
        <f t="shared" si="2"/>
        <v>611754Sch</v>
      </c>
      <c r="C21" s="214">
        <v>43941</v>
      </c>
      <c r="D21" s="214">
        <v>44561</v>
      </c>
      <c r="E21" s="215" t="s">
        <v>305</v>
      </c>
      <c r="F21" s="217" t="s">
        <v>605</v>
      </c>
      <c r="G21" s="215" t="s">
        <v>550</v>
      </c>
      <c r="H21" s="215" t="s">
        <v>545</v>
      </c>
      <c r="I21" s="215" t="s">
        <v>604</v>
      </c>
      <c r="J21" s="216" t="b">
        <v>0</v>
      </c>
      <c r="K21" s="109"/>
      <c r="L21" s="109"/>
      <c r="M21" s="216" t="b">
        <v>0</v>
      </c>
      <c r="N21" s="215">
        <f t="shared" si="3"/>
        <v>2</v>
      </c>
      <c r="O21" s="216" t="b">
        <v>1</v>
      </c>
      <c r="P21" s="109"/>
      <c r="Q21" s="109"/>
      <c r="R21" s="109"/>
    </row>
    <row r="22" spans="1:18" x14ac:dyDescent="0.25">
      <c r="A22" s="218" t="str">
        <f>_xll.qlSchedule(B22,C22,D22,E22,F22,G22,H22,I22,J22,K22,L22,M22,N22,O22)</f>
        <v>669566Sch#0000</v>
      </c>
      <c r="B22" s="114" t="str">
        <f t="shared" si="2"/>
        <v>669566Sch</v>
      </c>
      <c r="C22" s="214">
        <v>44014</v>
      </c>
      <c r="D22" s="214">
        <v>44561</v>
      </c>
      <c r="E22" s="215" t="s">
        <v>305</v>
      </c>
      <c r="F22" s="217" t="s">
        <v>605</v>
      </c>
      <c r="G22" s="215" t="s">
        <v>550</v>
      </c>
      <c r="H22" s="215" t="s">
        <v>545</v>
      </c>
      <c r="I22" s="215" t="s">
        <v>604</v>
      </c>
      <c r="J22" s="216" t="b">
        <v>0</v>
      </c>
      <c r="K22" s="109"/>
      <c r="L22" s="109"/>
      <c r="M22" s="216" t="b">
        <v>0</v>
      </c>
      <c r="N22" s="215">
        <f t="shared" si="3"/>
        <v>2</v>
      </c>
      <c r="O22" s="216" t="b">
        <v>1</v>
      </c>
      <c r="P22" s="109"/>
      <c r="Q22" s="109"/>
      <c r="R22" s="109"/>
    </row>
    <row r="23" spans="1:18" x14ac:dyDescent="0.25">
      <c r="A23" s="110" t="s">
        <v>582</v>
      </c>
      <c r="B23" s="110" t="s">
        <v>448</v>
      </c>
      <c r="C23" s="110" t="s">
        <v>583</v>
      </c>
      <c r="D23" s="110" t="s">
        <v>584</v>
      </c>
      <c r="E23" s="110" t="s">
        <v>585</v>
      </c>
      <c r="F23" s="110" t="s">
        <v>586</v>
      </c>
      <c r="G23" s="110" t="s">
        <v>556</v>
      </c>
      <c r="H23" s="110" t="s">
        <v>452</v>
      </c>
      <c r="I23" s="110" t="s">
        <v>453</v>
      </c>
      <c r="J23" s="110" t="s">
        <v>562</v>
      </c>
      <c r="K23" s="109"/>
      <c r="L23" s="109"/>
      <c r="M23" s="109"/>
      <c r="N23" s="109"/>
      <c r="O23" s="109"/>
      <c r="P23" s="109"/>
      <c r="Q23" s="109"/>
      <c r="R23" s="109"/>
    </row>
    <row r="24" spans="1:18" x14ac:dyDescent="0.25">
      <c r="A24" s="218" t="str">
        <f>_xll.qlFixedRateLeg(B24,C24,D24,E24,F24,G24,H24,I24,J24)</f>
        <v>208702FILeg#0000</v>
      </c>
      <c r="B24" s="114" t="str">
        <f t="shared" ref="B24:B32" si="4">A2&amp;"FILeg"</f>
        <v>208702FILeg</v>
      </c>
      <c r="C24" s="114" t="s">
        <v>550</v>
      </c>
      <c r="D24" s="114">
        <f t="shared" ref="D24:D32" si="5">F2</f>
        <v>300000000</v>
      </c>
      <c r="E24" s="219" t="str">
        <f t="shared" ref="E24:E32" si="6">A14</f>
        <v>208702Sch#0000</v>
      </c>
      <c r="F24" s="213">
        <f t="shared" ref="F24:F32" si="7">J2</f>
        <v>1.06E-2</v>
      </c>
      <c r="G24" s="114" t="str">
        <f t="shared" ref="G24:G32" si="8">IF(E2="TWD","A/365","30/360")</f>
        <v>A/365</v>
      </c>
      <c r="H24" s="114" t="b">
        <v>0</v>
      </c>
      <c r="I24" s="114">
        <f>$N$22</f>
        <v>2</v>
      </c>
      <c r="J24" s="109" t="b">
        <v>1</v>
      </c>
      <c r="K24" s="109"/>
      <c r="L24" s="109"/>
      <c r="M24" s="109"/>
      <c r="N24" s="109"/>
      <c r="O24" s="109"/>
      <c r="P24" s="109"/>
      <c r="Q24" s="109"/>
      <c r="R24" s="109"/>
    </row>
    <row r="25" spans="1:18" x14ac:dyDescent="0.25">
      <c r="A25" s="218" t="str">
        <f>_xll.qlFixedRateLeg(B25,C25,D25,E25,F25,G25,H25,I25,J25)</f>
        <v>342359FILeg#0000</v>
      </c>
      <c r="B25" s="114" t="str">
        <f t="shared" si="4"/>
        <v>342359FILeg</v>
      </c>
      <c r="C25" s="114" t="s">
        <v>550</v>
      </c>
      <c r="D25" s="114">
        <f t="shared" si="5"/>
        <v>300000000</v>
      </c>
      <c r="E25" s="219" t="str">
        <f t="shared" si="6"/>
        <v>342359Sch#0000</v>
      </c>
      <c r="F25" s="213">
        <f t="shared" si="7"/>
        <v>7.7499999999999999E-3</v>
      </c>
      <c r="G25" s="114" t="str">
        <f t="shared" si="8"/>
        <v>A/365</v>
      </c>
      <c r="H25" s="114" t="b">
        <v>0</v>
      </c>
      <c r="I25" s="114">
        <f t="shared" ref="I25:I32" si="9">$N$22</f>
        <v>2</v>
      </c>
      <c r="J25" s="109" t="b">
        <v>1</v>
      </c>
      <c r="K25" s="109"/>
      <c r="L25" s="109"/>
      <c r="M25" s="109"/>
      <c r="N25" s="109"/>
      <c r="O25" s="109"/>
      <c r="P25" s="109"/>
      <c r="Q25" s="109"/>
      <c r="R25" s="109"/>
    </row>
    <row r="26" spans="1:18" x14ac:dyDescent="0.25">
      <c r="A26" s="218" t="str">
        <f>_xll.qlFixedRateLeg(B26,C26,D26,E26,F26,G26,H26,I26,J26)</f>
        <v>342361FILeg#0000</v>
      </c>
      <c r="B26" s="114" t="str">
        <f t="shared" si="4"/>
        <v>342361FILeg</v>
      </c>
      <c r="C26" s="114" t="s">
        <v>550</v>
      </c>
      <c r="D26" s="114">
        <f t="shared" si="5"/>
        <v>400000000</v>
      </c>
      <c r="E26" s="219" t="str">
        <f t="shared" si="6"/>
        <v>342361Sch#0000</v>
      </c>
      <c r="F26" s="213">
        <f t="shared" si="7"/>
        <v>7.7499999999999999E-3</v>
      </c>
      <c r="G26" s="114" t="str">
        <f t="shared" si="8"/>
        <v>A/365</v>
      </c>
      <c r="H26" s="114" t="b">
        <v>0</v>
      </c>
      <c r="I26" s="114">
        <f t="shared" si="9"/>
        <v>2</v>
      </c>
      <c r="J26" s="109" t="b">
        <v>1</v>
      </c>
      <c r="K26" s="109"/>
      <c r="L26" s="109"/>
      <c r="M26" s="109"/>
      <c r="N26" s="109"/>
      <c r="O26" s="109"/>
      <c r="P26" s="109"/>
      <c r="Q26" s="109"/>
      <c r="R26" s="109"/>
    </row>
    <row r="27" spans="1:18" x14ac:dyDescent="0.25">
      <c r="A27" s="218" t="str">
        <f>_xll.qlFixedRateLeg(B27,C27,D27,E27,F27,G27,H27,I27,J27)</f>
        <v>611755FILeg#0000</v>
      </c>
      <c r="B27" s="114" t="str">
        <f t="shared" si="4"/>
        <v>611755FILeg</v>
      </c>
      <c r="C27" s="114" t="s">
        <v>550</v>
      </c>
      <c r="D27" s="114">
        <f t="shared" si="5"/>
        <v>10000000</v>
      </c>
      <c r="E27" s="219" t="str">
        <f t="shared" si="6"/>
        <v>611755Sch#0000</v>
      </c>
      <c r="F27" s="213">
        <f t="shared" si="7"/>
        <v>5.0000000000000001E-3</v>
      </c>
      <c r="G27" s="114" t="str">
        <f t="shared" si="8"/>
        <v>30/360</v>
      </c>
      <c r="H27" s="114" t="b">
        <v>0</v>
      </c>
      <c r="I27" s="114">
        <f t="shared" si="9"/>
        <v>2</v>
      </c>
      <c r="J27" s="109" t="b">
        <v>1</v>
      </c>
      <c r="K27" s="109"/>
      <c r="L27" s="109"/>
      <c r="M27" s="109"/>
      <c r="N27" s="109"/>
      <c r="O27" s="109"/>
      <c r="P27" s="109"/>
      <c r="Q27" s="109"/>
      <c r="R27" s="109"/>
    </row>
    <row r="28" spans="1:18" x14ac:dyDescent="0.25">
      <c r="A28" s="218" t="str">
        <f>_xll.qlFixedRateLeg(B28,C28,D28,E28,F28,G28,H28,I28,J28)</f>
        <v>669467FILeg#0000</v>
      </c>
      <c r="B28" s="114" t="str">
        <f t="shared" si="4"/>
        <v>669467FILeg</v>
      </c>
      <c r="C28" s="114" t="s">
        <v>550</v>
      </c>
      <c r="D28" s="114">
        <f t="shared" si="5"/>
        <v>10000000</v>
      </c>
      <c r="E28" s="219" t="str">
        <f t="shared" si="6"/>
        <v>669467Sch#0000</v>
      </c>
      <c r="F28" s="213">
        <f t="shared" si="7"/>
        <v>2.8E-3</v>
      </c>
      <c r="G28" s="114" t="str">
        <f t="shared" si="8"/>
        <v>30/360</v>
      </c>
      <c r="H28" s="114" t="b">
        <v>0</v>
      </c>
      <c r="I28" s="114">
        <f t="shared" si="9"/>
        <v>2</v>
      </c>
      <c r="J28" s="109" t="b">
        <v>1</v>
      </c>
      <c r="K28" s="109"/>
      <c r="L28" s="109"/>
      <c r="M28" s="109"/>
      <c r="N28" s="109"/>
      <c r="O28" s="109"/>
      <c r="P28" s="109"/>
      <c r="Q28" s="109"/>
      <c r="R28" s="109"/>
    </row>
    <row r="29" spans="1:18" x14ac:dyDescent="0.25">
      <c r="A29" s="218" t="str">
        <f>_xll.qlFixedRateLeg(B29,C29,D29,E29,F29,G29,H29,I29,J29)</f>
        <v>153701FILeg#0000</v>
      </c>
      <c r="B29" s="114" t="str">
        <f t="shared" si="4"/>
        <v>153701FILeg</v>
      </c>
      <c r="C29" s="114" t="s">
        <v>550</v>
      </c>
      <c r="D29" s="114">
        <f t="shared" si="5"/>
        <v>200000000</v>
      </c>
      <c r="E29" s="219" t="str">
        <f t="shared" si="6"/>
        <v>153701Sch#0000</v>
      </c>
      <c r="F29" s="213">
        <f t="shared" si="7"/>
        <v>9.5999999999999992E-3</v>
      </c>
      <c r="G29" s="114" t="str">
        <f t="shared" si="8"/>
        <v>A/365</v>
      </c>
      <c r="H29" s="114" t="b">
        <v>0</v>
      </c>
      <c r="I29" s="114">
        <f t="shared" si="9"/>
        <v>2</v>
      </c>
      <c r="J29" s="109" t="b">
        <v>1</v>
      </c>
      <c r="K29" s="109"/>
      <c r="L29" s="109"/>
      <c r="M29" s="109"/>
      <c r="N29" s="109"/>
      <c r="O29" s="109"/>
      <c r="P29" s="109"/>
      <c r="Q29" s="109"/>
      <c r="R29" s="109"/>
    </row>
    <row r="30" spans="1:18" x14ac:dyDescent="0.25">
      <c r="A30" s="218" t="str">
        <f>_xll.qlFixedRateLeg(B30,C30,D30,E30,F30,G30,H30,I30,J30)</f>
        <v>205452FILeg#0000</v>
      </c>
      <c r="B30" s="114" t="str">
        <f t="shared" si="4"/>
        <v>205452FILeg</v>
      </c>
      <c r="C30" s="114" t="s">
        <v>550</v>
      </c>
      <c r="D30" s="114">
        <f t="shared" si="5"/>
        <v>1000000000</v>
      </c>
      <c r="E30" s="219" t="str">
        <f t="shared" si="6"/>
        <v>205452Sch#0000</v>
      </c>
      <c r="F30" s="213">
        <f t="shared" si="7"/>
        <v>1.095E-2</v>
      </c>
      <c r="G30" s="114" t="str">
        <f t="shared" si="8"/>
        <v>A/365</v>
      </c>
      <c r="H30" s="114" t="b">
        <v>0</v>
      </c>
      <c r="I30" s="114">
        <f t="shared" si="9"/>
        <v>2</v>
      </c>
      <c r="J30" s="109" t="b">
        <v>1</v>
      </c>
      <c r="K30" s="109"/>
      <c r="L30" s="109"/>
      <c r="M30" s="109"/>
      <c r="N30" s="109"/>
      <c r="O30" s="109"/>
      <c r="P30" s="109"/>
      <c r="Q30" s="109"/>
      <c r="R30" s="109"/>
    </row>
    <row r="31" spans="1:18" x14ac:dyDescent="0.25">
      <c r="A31" s="218" t="str">
        <f>_xll.qlFixedRateLeg(B31,C31,D31,E31,F31,G31,H31,I31,J31)</f>
        <v>611754FILeg#0000</v>
      </c>
      <c r="B31" s="114" t="str">
        <f t="shared" si="4"/>
        <v>611754FILeg</v>
      </c>
      <c r="C31" s="114" t="s">
        <v>550</v>
      </c>
      <c r="D31" s="114">
        <f t="shared" si="5"/>
        <v>10000000</v>
      </c>
      <c r="E31" s="219" t="str">
        <f t="shared" si="6"/>
        <v>611754Sch#0000</v>
      </c>
      <c r="F31" s="213">
        <f t="shared" si="7"/>
        <v>5.0000000000000001E-3</v>
      </c>
      <c r="G31" s="114" t="str">
        <f t="shared" si="8"/>
        <v>30/360</v>
      </c>
      <c r="H31" s="114" t="b">
        <v>0</v>
      </c>
      <c r="I31" s="114">
        <f t="shared" si="9"/>
        <v>2</v>
      </c>
      <c r="J31" s="109" t="b">
        <v>1</v>
      </c>
      <c r="K31" s="109"/>
      <c r="L31" s="109"/>
      <c r="M31" s="109"/>
      <c r="N31" s="109"/>
      <c r="O31" s="109"/>
      <c r="P31" s="109"/>
      <c r="Q31" s="109"/>
      <c r="R31" s="109"/>
    </row>
    <row r="32" spans="1:18" x14ac:dyDescent="0.25">
      <c r="A32" s="218" t="str">
        <f>_xll.qlFixedRateLeg(B32,C32,D32,E32,F32,G32,H32,I32,J32)</f>
        <v>669566FILeg#0000</v>
      </c>
      <c r="B32" s="114" t="str">
        <f t="shared" si="4"/>
        <v>669566FILeg</v>
      </c>
      <c r="C32" s="114" t="s">
        <v>550</v>
      </c>
      <c r="D32" s="114">
        <f t="shared" si="5"/>
        <v>10000000</v>
      </c>
      <c r="E32" s="219" t="str">
        <f t="shared" si="6"/>
        <v>669566Sch#0000</v>
      </c>
      <c r="F32" s="213">
        <f t="shared" si="7"/>
        <v>2.8E-3</v>
      </c>
      <c r="G32" s="114" t="str">
        <f t="shared" si="8"/>
        <v>30/360</v>
      </c>
      <c r="H32" s="114" t="b">
        <v>0</v>
      </c>
      <c r="I32" s="114">
        <f t="shared" si="9"/>
        <v>2</v>
      </c>
      <c r="J32" s="109" t="b">
        <v>1</v>
      </c>
      <c r="K32" s="109"/>
      <c r="L32" s="109"/>
      <c r="M32" s="109"/>
      <c r="N32" s="109"/>
      <c r="O32" s="109"/>
      <c r="P32" s="109"/>
      <c r="Q32" s="109"/>
      <c r="R32" s="109"/>
    </row>
    <row r="33" spans="1:18" x14ac:dyDescent="0.25">
      <c r="A33" s="110" t="s">
        <v>587</v>
      </c>
      <c r="B33" s="110" t="s">
        <v>448</v>
      </c>
      <c r="C33" s="110" t="s">
        <v>583</v>
      </c>
      <c r="D33" s="110" t="s">
        <v>584</v>
      </c>
      <c r="E33" s="110" t="s">
        <v>585</v>
      </c>
      <c r="F33" s="110" t="s">
        <v>588</v>
      </c>
      <c r="G33" s="110" t="s">
        <v>589</v>
      </c>
      <c r="H33" s="110" t="s">
        <v>556</v>
      </c>
      <c r="I33" s="110" t="s">
        <v>590</v>
      </c>
      <c r="J33" s="110" t="s">
        <v>591</v>
      </c>
      <c r="K33" s="110" t="s">
        <v>592</v>
      </c>
      <c r="L33" s="110" t="s">
        <v>593</v>
      </c>
      <c r="M33" s="110" t="s">
        <v>594</v>
      </c>
      <c r="N33" s="110" t="s">
        <v>452</v>
      </c>
      <c r="O33" s="110" t="s">
        <v>453</v>
      </c>
      <c r="P33" s="110" t="s">
        <v>562</v>
      </c>
      <c r="Q33" s="109"/>
      <c r="R33" s="109"/>
    </row>
    <row r="34" spans="1:18" x14ac:dyDescent="0.25">
      <c r="A34" s="218" t="e">
        <f>_xll.qlIborLeg(B34,C34,D34,E34,F34,G34,H34,I34,J34,K34,L34,M34,N34,O34,P34)</f>
        <v>#VALUE!</v>
      </c>
      <c r="B34" s="114" t="str">
        <f t="shared" ref="B34:B42" si="10">A2&amp;"FLLeg"</f>
        <v>208702FLLeg</v>
      </c>
      <c r="C34" s="114" t="str">
        <f>C24</f>
        <v>MF</v>
      </c>
      <c r="D34" s="114">
        <f>D24</f>
        <v>300000000</v>
      </c>
      <c r="E34" s="219" t="str">
        <f>E24</f>
        <v>208702Sch#0000</v>
      </c>
      <c r="F34" s="114">
        <v>2</v>
      </c>
      <c r="G34" s="114" t="b">
        <v>0</v>
      </c>
      <c r="H34" s="114" t="str">
        <f>G24</f>
        <v>A/365</v>
      </c>
      <c r="I34" s="114"/>
      <c r="J34" s="109"/>
      <c r="K34" s="220" t="e">
        <f>IF(E2="TWD",ZeroCurve!$B$116,ZeroCurve!$D$116)</f>
        <v>#NUM!</v>
      </c>
      <c r="L34" s="109">
        <v>0</v>
      </c>
      <c r="M34" s="109"/>
      <c r="N34" s="109" t="b">
        <v>0</v>
      </c>
      <c r="O34" s="114">
        <f>$I$32</f>
        <v>2</v>
      </c>
      <c r="P34" s="109" t="b">
        <v>1</v>
      </c>
      <c r="Q34" s="109"/>
      <c r="R34" s="109"/>
    </row>
    <row r="35" spans="1:18" x14ac:dyDescent="0.25">
      <c r="A35" s="218" t="e">
        <f>_xll.qlIborLeg(B35,C35,D35,E35,F35,G35,H35,I35,J35,K35,L35,M35,N35,O35,P35)</f>
        <v>#VALUE!</v>
      </c>
      <c r="B35" s="114" t="str">
        <f t="shared" si="10"/>
        <v>342359FLLeg</v>
      </c>
      <c r="C35" s="114" t="str">
        <f t="shared" ref="C35:E35" si="11">C25</f>
        <v>MF</v>
      </c>
      <c r="D35" s="114">
        <f t="shared" si="11"/>
        <v>300000000</v>
      </c>
      <c r="E35" s="219" t="str">
        <f t="shared" si="11"/>
        <v>342359Sch#0000</v>
      </c>
      <c r="F35" s="114">
        <v>2</v>
      </c>
      <c r="G35" s="114" t="b">
        <v>0</v>
      </c>
      <c r="H35" s="114" t="str">
        <f t="shared" ref="H35:H42" si="12">G25</f>
        <v>A/365</v>
      </c>
      <c r="I35" s="114"/>
      <c r="J35" s="109"/>
      <c r="K35" s="220" t="e">
        <f>IF(E3="TWD",ZeroCurve!$B$116,ZeroCurve!$D$116)</f>
        <v>#NUM!</v>
      </c>
      <c r="L35" s="109">
        <v>0</v>
      </c>
      <c r="M35" s="109"/>
      <c r="N35" s="109" t="b">
        <v>0</v>
      </c>
      <c r="O35" s="114">
        <f t="shared" ref="O35:O42" si="13">$I$32</f>
        <v>2</v>
      </c>
      <c r="P35" s="109" t="b">
        <v>1</v>
      </c>
      <c r="Q35" s="109"/>
      <c r="R35" s="109"/>
    </row>
    <row r="36" spans="1:18" x14ac:dyDescent="0.25">
      <c r="A36" s="218" t="e">
        <f>_xll.qlIborLeg(B36,C36,D36,E36,F36,G36,H36,I36,J36,K36,L36,M36,N36,O36,P36)</f>
        <v>#VALUE!</v>
      </c>
      <c r="B36" s="114" t="str">
        <f t="shared" si="10"/>
        <v>342361FLLeg</v>
      </c>
      <c r="C36" s="114" t="str">
        <f t="shared" ref="C36:E36" si="14">C26</f>
        <v>MF</v>
      </c>
      <c r="D36" s="114">
        <f t="shared" si="14"/>
        <v>400000000</v>
      </c>
      <c r="E36" s="219" t="str">
        <f t="shared" si="14"/>
        <v>342361Sch#0000</v>
      </c>
      <c r="F36" s="114">
        <v>2</v>
      </c>
      <c r="G36" s="114" t="b">
        <v>0</v>
      </c>
      <c r="H36" s="114" t="str">
        <f t="shared" si="12"/>
        <v>A/365</v>
      </c>
      <c r="I36" s="114"/>
      <c r="J36" s="109"/>
      <c r="K36" s="220" t="e">
        <f>IF(E4="TWD",ZeroCurve!$B$116,ZeroCurve!$D$116)</f>
        <v>#NUM!</v>
      </c>
      <c r="L36" s="109">
        <v>0</v>
      </c>
      <c r="M36" s="109"/>
      <c r="N36" s="109" t="b">
        <v>0</v>
      </c>
      <c r="O36" s="114">
        <f t="shared" si="13"/>
        <v>2</v>
      </c>
      <c r="P36" s="109" t="b">
        <v>1</v>
      </c>
      <c r="Q36" s="109"/>
      <c r="R36" s="109"/>
    </row>
    <row r="37" spans="1:18" x14ac:dyDescent="0.25">
      <c r="A37" s="218" t="e">
        <f>_xll.qlIborLeg(B37,C37,D37,E37,F37,G37,H37,I37,J37,K37,L37,M37,N37,O37,P37)</f>
        <v>#NUM!</v>
      </c>
      <c r="B37" s="114" t="str">
        <f t="shared" si="10"/>
        <v>611755FLLeg</v>
      </c>
      <c r="C37" s="114" t="str">
        <f t="shared" ref="C37:E37" si="15">C27</f>
        <v>MF</v>
      </c>
      <c r="D37" s="114">
        <f t="shared" si="15"/>
        <v>10000000</v>
      </c>
      <c r="E37" s="219" t="str">
        <f t="shared" si="15"/>
        <v>611755Sch#0000</v>
      </c>
      <c r="F37" s="114">
        <v>2</v>
      </c>
      <c r="G37" s="114" t="b">
        <v>0</v>
      </c>
      <c r="H37" s="114" t="str">
        <f t="shared" si="12"/>
        <v>30/360</v>
      </c>
      <c r="I37" s="114"/>
      <c r="J37" s="109"/>
      <c r="K37" s="220" t="str">
        <f>IF(E5="TWD",ZeroCurve!$B$116,ZeroCurve!$D$116)</f>
        <v>LIBOR3M#0000</v>
      </c>
      <c r="L37" s="109">
        <v>0</v>
      </c>
      <c r="M37" s="109"/>
      <c r="N37" s="109" t="b">
        <v>0</v>
      </c>
      <c r="O37" s="114">
        <f t="shared" si="13"/>
        <v>2</v>
      </c>
      <c r="P37" s="109" t="b">
        <v>1</v>
      </c>
      <c r="Q37" s="109"/>
      <c r="R37" s="109"/>
    </row>
    <row r="38" spans="1:18" x14ac:dyDescent="0.25">
      <c r="A38" s="218" t="e">
        <f>_xll.qlIborLeg(B38,C38,D38,E38,F38,G38,H38,I38,J38,K38,L38,M38,N38,O38,P38)</f>
        <v>#NUM!</v>
      </c>
      <c r="B38" s="114" t="str">
        <f t="shared" si="10"/>
        <v>669467FLLeg</v>
      </c>
      <c r="C38" s="114" t="str">
        <f t="shared" ref="C38:E38" si="16">C28</f>
        <v>MF</v>
      </c>
      <c r="D38" s="114">
        <f t="shared" si="16"/>
        <v>10000000</v>
      </c>
      <c r="E38" s="219" t="str">
        <f t="shared" si="16"/>
        <v>669467Sch#0000</v>
      </c>
      <c r="F38" s="114">
        <v>2</v>
      </c>
      <c r="G38" s="114" t="b">
        <v>0</v>
      </c>
      <c r="H38" s="114" t="str">
        <f t="shared" si="12"/>
        <v>30/360</v>
      </c>
      <c r="I38" s="114"/>
      <c r="J38" s="109"/>
      <c r="K38" s="220" t="str">
        <f>IF(E6="TWD",ZeroCurve!$B$116,ZeroCurve!$D$116)</f>
        <v>LIBOR3M#0000</v>
      </c>
      <c r="L38" s="109">
        <v>0</v>
      </c>
      <c r="M38" s="109"/>
      <c r="N38" s="109" t="b">
        <v>0</v>
      </c>
      <c r="O38" s="114">
        <f t="shared" si="13"/>
        <v>2</v>
      </c>
      <c r="P38" s="109" t="b">
        <v>1</v>
      </c>
      <c r="Q38" s="109"/>
      <c r="R38" s="109"/>
    </row>
    <row r="39" spans="1:18" x14ac:dyDescent="0.25">
      <c r="A39" s="218" t="e">
        <f>_xll.qlIborLeg(B39,C39,D39,E39,F39,G39,H39,I39,J39,K39,L39,M39,N39,O39,P39)</f>
        <v>#VALUE!</v>
      </c>
      <c r="B39" s="114" t="str">
        <f t="shared" si="10"/>
        <v>153701FLLeg</v>
      </c>
      <c r="C39" s="114" t="str">
        <f t="shared" ref="C39:E39" si="17">C29</f>
        <v>MF</v>
      </c>
      <c r="D39" s="114">
        <f t="shared" si="17"/>
        <v>200000000</v>
      </c>
      <c r="E39" s="219" t="str">
        <f t="shared" si="17"/>
        <v>153701Sch#0000</v>
      </c>
      <c r="F39" s="114">
        <v>2</v>
      </c>
      <c r="G39" s="114" t="b">
        <v>0</v>
      </c>
      <c r="H39" s="114" t="str">
        <f t="shared" si="12"/>
        <v>A/365</v>
      </c>
      <c r="I39" s="114"/>
      <c r="J39" s="109"/>
      <c r="K39" s="220" t="e">
        <f>IF(E7="TWD",ZeroCurve!$B$116,ZeroCurve!$D$116)</f>
        <v>#NUM!</v>
      </c>
      <c r="L39" s="109">
        <v>0</v>
      </c>
      <c r="M39" s="109"/>
      <c r="N39" s="109" t="b">
        <v>0</v>
      </c>
      <c r="O39" s="114">
        <f t="shared" si="13"/>
        <v>2</v>
      </c>
      <c r="P39" s="109" t="b">
        <v>1</v>
      </c>
      <c r="Q39" s="109"/>
      <c r="R39" s="109"/>
    </row>
    <row r="40" spans="1:18" x14ac:dyDescent="0.25">
      <c r="A40" s="218" t="e">
        <f>_xll.qlIborLeg(B40,C40,D40,E40,F40,G40,H40,I40,J40,K40,L40,M40,N40,O40,P40)</f>
        <v>#VALUE!</v>
      </c>
      <c r="B40" s="114" t="str">
        <f t="shared" si="10"/>
        <v>205452FLLeg</v>
      </c>
      <c r="C40" s="114" t="str">
        <f t="shared" ref="C40:E40" si="18">C30</f>
        <v>MF</v>
      </c>
      <c r="D40" s="114">
        <f t="shared" si="18"/>
        <v>1000000000</v>
      </c>
      <c r="E40" s="219" t="str">
        <f t="shared" si="18"/>
        <v>205452Sch#0000</v>
      </c>
      <c r="F40" s="114">
        <v>2</v>
      </c>
      <c r="G40" s="114" t="b">
        <v>0</v>
      </c>
      <c r="H40" s="114" t="str">
        <f t="shared" si="12"/>
        <v>A/365</v>
      </c>
      <c r="I40" s="114"/>
      <c r="J40" s="109"/>
      <c r="K40" s="220" t="e">
        <f>IF(E8="TWD",ZeroCurve!$B$116,ZeroCurve!$D$116)</f>
        <v>#NUM!</v>
      </c>
      <c r="L40" s="109">
        <v>0</v>
      </c>
      <c r="M40" s="109"/>
      <c r="N40" s="109" t="b">
        <v>0</v>
      </c>
      <c r="O40" s="114">
        <f t="shared" si="13"/>
        <v>2</v>
      </c>
      <c r="P40" s="109" t="b">
        <v>1</v>
      </c>
      <c r="Q40" s="109"/>
      <c r="R40" s="109"/>
    </row>
    <row r="41" spans="1:18" x14ac:dyDescent="0.25">
      <c r="A41" s="218" t="e">
        <f>_xll.qlIborLeg(B41,C41,D41,E41,F41,G41,H41,I41,J41,K41,L41,M41,N41,O41,P41)</f>
        <v>#NUM!</v>
      </c>
      <c r="B41" s="114" t="str">
        <f t="shared" si="10"/>
        <v>611754FLLeg</v>
      </c>
      <c r="C41" s="114" t="str">
        <f t="shared" ref="C41:E41" si="19">C31</f>
        <v>MF</v>
      </c>
      <c r="D41" s="114">
        <f t="shared" si="19"/>
        <v>10000000</v>
      </c>
      <c r="E41" s="219" t="str">
        <f t="shared" si="19"/>
        <v>611754Sch#0000</v>
      </c>
      <c r="F41" s="114">
        <v>2</v>
      </c>
      <c r="G41" s="114" t="b">
        <v>0</v>
      </c>
      <c r="H41" s="114" t="str">
        <f t="shared" si="12"/>
        <v>30/360</v>
      </c>
      <c r="I41" s="114"/>
      <c r="J41" s="109"/>
      <c r="K41" s="220" t="str">
        <f>IF(E9="TWD",ZeroCurve!$B$116,ZeroCurve!$D$116)</f>
        <v>LIBOR3M#0000</v>
      </c>
      <c r="L41" s="109">
        <v>0</v>
      </c>
      <c r="M41" s="109"/>
      <c r="N41" s="109" t="b">
        <v>0</v>
      </c>
      <c r="O41" s="114">
        <f t="shared" si="13"/>
        <v>2</v>
      </c>
      <c r="P41" s="109" t="b">
        <v>1</v>
      </c>
      <c r="Q41" s="109"/>
      <c r="R41" s="109"/>
    </row>
    <row r="42" spans="1:18" x14ac:dyDescent="0.25">
      <c r="A42" s="218" t="e">
        <f>_xll.qlIborLeg(B42,C42,D42,E42,F42,G42,H42,I42,J42,K42,L42,M42,N42,O42,P42)</f>
        <v>#NUM!</v>
      </c>
      <c r="B42" s="114" t="str">
        <f t="shared" si="10"/>
        <v>669566FLLeg</v>
      </c>
      <c r="C42" s="114" t="str">
        <f t="shared" ref="C42:E42" si="20">C32</f>
        <v>MF</v>
      </c>
      <c r="D42" s="114">
        <f t="shared" si="20"/>
        <v>10000000</v>
      </c>
      <c r="E42" s="219" t="str">
        <f t="shared" si="20"/>
        <v>669566Sch#0000</v>
      </c>
      <c r="F42" s="114">
        <v>2</v>
      </c>
      <c r="G42" s="114" t="b">
        <v>0</v>
      </c>
      <c r="H42" s="114" t="str">
        <f t="shared" si="12"/>
        <v>30/360</v>
      </c>
      <c r="I42" s="114"/>
      <c r="J42" s="109"/>
      <c r="K42" s="220" t="str">
        <f>IF(E10="TWD",ZeroCurve!$B$116,ZeroCurve!$D$116)</f>
        <v>LIBOR3M#0000</v>
      </c>
      <c r="L42" s="109">
        <v>0</v>
      </c>
      <c r="M42" s="109"/>
      <c r="N42" s="109" t="b">
        <v>0</v>
      </c>
      <c r="O42" s="114">
        <f t="shared" si="13"/>
        <v>2</v>
      </c>
      <c r="P42" s="109" t="b">
        <v>1</v>
      </c>
      <c r="Q42" s="109"/>
      <c r="R42" s="109"/>
    </row>
    <row r="43" spans="1:18" x14ac:dyDescent="0.25">
      <c r="A43" s="163" t="s">
        <v>606</v>
      </c>
      <c r="B43" s="110" t="s">
        <v>448</v>
      </c>
      <c r="C43" s="110" t="s">
        <v>582</v>
      </c>
      <c r="D43" s="110" t="s">
        <v>587</v>
      </c>
      <c r="E43" s="110" t="s">
        <v>611</v>
      </c>
      <c r="F43" s="110" t="s">
        <v>611</v>
      </c>
      <c r="G43" s="110" t="s">
        <v>452</v>
      </c>
      <c r="H43" s="110" t="s">
        <v>453</v>
      </c>
      <c r="I43" s="110" t="s">
        <v>562</v>
      </c>
      <c r="J43" s="109"/>
      <c r="K43" s="109"/>
      <c r="L43" s="109"/>
      <c r="M43" s="109"/>
      <c r="N43" s="109"/>
      <c r="O43" s="109"/>
      <c r="P43" s="109"/>
      <c r="Q43" s="109"/>
      <c r="R43" s="109"/>
    </row>
    <row r="44" spans="1:18" x14ac:dyDescent="0.25">
      <c r="A44" s="218" t="e">
        <f>_xll.qlSwap(B44,C44:D44,E44:F44,G44,H44,I44)</f>
        <v>#NUM!</v>
      </c>
      <c r="B44" s="114" t="str">
        <f t="shared" ref="B44:B52" si="21">A2&amp;"IRS"</f>
        <v>208702IRS</v>
      </c>
      <c r="C44" s="221" t="str">
        <f>A24</f>
        <v>208702FILeg#0000</v>
      </c>
      <c r="D44" s="221" t="e">
        <f>A34</f>
        <v>#VALUE!</v>
      </c>
      <c r="E44" s="114" t="str">
        <f t="shared" ref="E44:E52" si="22">IF(O2=1,"FALSE","TRUE")</f>
        <v>FALSE</v>
      </c>
      <c r="F44" s="114" t="str">
        <f t="shared" ref="F44:F52" si="23">IF(P2=1,"FALSE","TRUE")</f>
        <v>TRUE</v>
      </c>
      <c r="G44" s="114" t="b">
        <v>0</v>
      </c>
      <c r="H44" s="114">
        <f>ZeroCurve!$B$4</f>
        <v>2</v>
      </c>
      <c r="I44" s="109" t="b">
        <v>1</v>
      </c>
      <c r="J44" s="109"/>
      <c r="K44" s="109"/>
      <c r="L44" s="109"/>
      <c r="M44" s="109"/>
      <c r="N44" s="109"/>
      <c r="O44" s="109"/>
      <c r="P44" s="109"/>
      <c r="Q44" s="109"/>
      <c r="R44" s="109"/>
    </row>
    <row r="45" spans="1:18" x14ac:dyDescent="0.25">
      <c r="A45" s="218" t="e">
        <f>_xll.qlSwap(B45,C45:D45,E45:F45,G45,H45,I45)</f>
        <v>#NUM!</v>
      </c>
      <c r="B45" s="114" t="str">
        <f t="shared" si="21"/>
        <v>342359IRS</v>
      </c>
      <c r="C45" s="221" t="str">
        <f t="shared" ref="C45:C52" si="24">A25</f>
        <v>342359FILeg#0000</v>
      </c>
      <c r="D45" s="221" t="e">
        <f t="shared" ref="D45:D52" si="25">A35</f>
        <v>#VALUE!</v>
      </c>
      <c r="E45" s="114" t="str">
        <f t="shared" si="22"/>
        <v>FALSE</v>
      </c>
      <c r="F45" s="114" t="str">
        <f t="shared" si="23"/>
        <v>TRUE</v>
      </c>
      <c r="G45" s="114" t="b">
        <v>0</v>
      </c>
      <c r="H45" s="114">
        <f>ZeroCurve!$B$4</f>
        <v>2</v>
      </c>
      <c r="I45" s="109" t="b">
        <v>1</v>
      </c>
      <c r="J45" s="109"/>
      <c r="K45" s="114"/>
      <c r="L45" s="114"/>
      <c r="M45" s="114"/>
      <c r="N45" s="109"/>
      <c r="O45" s="109"/>
      <c r="P45" s="109"/>
      <c r="Q45" s="109"/>
      <c r="R45" s="109"/>
    </row>
    <row r="46" spans="1:18" x14ac:dyDescent="0.25">
      <c r="A46" s="218" t="e">
        <f>_xll.qlSwap(B46,C46:D46,E46:F46,G46,H46,I46)</f>
        <v>#NUM!</v>
      </c>
      <c r="B46" s="114" t="str">
        <f t="shared" si="21"/>
        <v>342361IRS</v>
      </c>
      <c r="C46" s="221" t="str">
        <f t="shared" si="24"/>
        <v>342361FILeg#0000</v>
      </c>
      <c r="D46" s="221" t="e">
        <f t="shared" si="25"/>
        <v>#VALUE!</v>
      </c>
      <c r="E46" s="114" t="str">
        <f t="shared" si="22"/>
        <v>FALSE</v>
      </c>
      <c r="F46" s="114" t="str">
        <f t="shared" si="23"/>
        <v>TRUE</v>
      </c>
      <c r="G46" s="114" t="b">
        <v>0</v>
      </c>
      <c r="H46" s="114">
        <f>ZeroCurve!$B$4</f>
        <v>2</v>
      </c>
      <c r="I46" s="109" t="b">
        <v>1</v>
      </c>
      <c r="J46" s="109"/>
      <c r="K46" s="109"/>
      <c r="L46" s="109"/>
      <c r="M46" s="109"/>
      <c r="N46" s="109"/>
      <c r="O46" s="109"/>
      <c r="P46" s="109"/>
      <c r="Q46" s="109"/>
      <c r="R46" s="109"/>
    </row>
    <row r="47" spans="1:18" x14ac:dyDescent="0.25">
      <c r="A47" s="218" t="e">
        <f>_xll.qlSwap(B47,C47:D47,E47:F47,G47,H47,I47)</f>
        <v>#NUM!</v>
      </c>
      <c r="B47" s="114" t="str">
        <f t="shared" si="21"/>
        <v>611755IRS</v>
      </c>
      <c r="C47" s="221" t="str">
        <f t="shared" si="24"/>
        <v>611755FILeg#0000</v>
      </c>
      <c r="D47" s="221" t="e">
        <f t="shared" si="25"/>
        <v>#NUM!</v>
      </c>
      <c r="E47" s="114" t="str">
        <f t="shared" si="22"/>
        <v>FALSE</v>
      </c>
      <c r="F47" s="114" t="str">
        <f t="shared" si="23"/>
        <v>TRUE</v>
      </c>
      <c r="G47" s="114" t="b">
        <v>0</v>
      </c>
      <c r="H47" s="114">
        <f>ZeroCurve!$B$4</f>
        <v>2</v>
      </c>
      <c r="I47" s="109" t="b">
        <v>1</v>
      </c>
      <c r="J47" s="109"/>
      <c r="K47" s="109"/>
      <c r="L47" s="109"/>
      <c r="M47" s="109"/>
      <c r="N47" s="109"/>
      <c r="O47" s="109"/>
      <c r="P47" s="109"/>
      <c r="Q47" s="109"/>
      <c r="R47" s="109"/>
    </row>
    <row r="48" spans="1:18" x14ac:dyDescent="0.25">
      <c r="A48" s="218" t="e">
        <f>_xll.qlSwap(B48,C48:D48,E48:F48,G48,H48,I48)</f>
        <v>#NUM!</v>
      </c>
      <c r="B48" s="114" t="str">
        <f t="shared" si="21"/>
        <v>669467IRS</v>
      </c>
      <c r="C48" s="221" t="str">
        <f t="shared" si="24"/>
        <v>669467FILeg#0000</v>
      </c>
      <c r="D48" s="221" t="e">
        <f t="shared" si="25"/>
        <v>#NUM!</v>
      </c>
      <c r="E48" s="114" t="str">
        <f t="shared" si="22"/>
        <v>FALSE</v>
      </c>
      <c r="F48" s="114" t="str">
        <f t="shared" si="23"/>
        <v>TRUE</v>
      </c>
      <c r="G48" s="114" t="b">
        <v>0</v>
      </c>
      <c r="H48" s="114">
        <f>ZeroCurve!$B$4</f>
        <v>2</v>
      </c>
      <c r="I48" s="109" t="b">
        <v>1</v>
      </c>
      <c r="J48" s="109"/>
      <c r="K48" s="109"/>
      <c r="L48" s="109"/>
      <c r="M48" s="109"/>
      <c r="N48" s="109"/>
      <c r="O48" s="109"/>
      <c r="P48" s="109"/>
      <c r="Q48" s="109"/>
      <c r="R48" s="109"/>
    </row>
    <row r="49" spans="1:21" x14ac:dyDescent="0.25">
      <c r="A49" s="218" t="e">
        <f>_xll.qlSwap(B49,C49:D49,E49:F49,G49,H49,I49)</f>
        <v>#NUM!</v>
      </c>
      <c r="B49" s="114" t="str">
        <f t="shared" si="21"/>
        <v>153701IRS</v>
      </c>
      <c r="C49" s="221" t="str">
        <f t="shared" si="24"/>
        <v>153701FILeg#0000</v>
      </c>
      <c r="D49" s="221" t="e">
        <f t="shared" si="25"/>
        <v>#VALUE!</v>
      </c>
      <c r="E49" s="114" t="str">
        <f t="shared" si="22"/>
        <v>TRUE</v>
      </c>
      <c r="F49" s="114" t="str">
        <f t="shared" si="23"/>
        <v>FALSE</v>
      </c>
      <c r="G49" s="114" t="b">
        <v>0</v>
      </c>
      <c r="H49" s="114">
        <f>ZeroCurve!$B$4</f>
        <v>2</v>
      </c>
      <c r="I49" s="109" t="b">
        <v>1</v>
      </c>
      <c r="J49" s="109"/>
      <c r="K49" s="109"/>
      <c r="L49" s="109"/>
      <c r="M49" s="109"/>
      <c r="N49" s="109"/>
      <c r="O49" s="109"/>
      <c r="P49" s="109"/>
      <c r="Q49" s="109"/>
      <c r="R49" s="109"/>
    </row>
    <row r="50" spans="1:21" x14ac:dyDescent="0.25">
      <c r="A50" s="218" t="e">
        <f>_xll.qlSwap(B50,C50:D50,E50:F50,G50,H50,I50)</f>
        <v>#NUM!</v>
      </c>
      <c r="B50" s="114" t="str">
        <f t="shared" si="21"/>
        <v>205452IRS</v>
      </c>
      <c r="C50" s="221" t="str">
        <f t="shared" si="24"/>
        <v>205452FILeg#0000</v>
      </c>
      <c r="D50" s="221" t="e">
        <f t="shared" si="25"/>
        <v>#VALUE!</v>
      </c>
      <c r="E50" s="114" t="str">
        <f t="shared" si="22"/>
        <v>TRUE</v>
      </c>
      <c r="F50" s="114" t="str">
        <f t="shared" si="23"/>
        <v>FALSE</v>
      </c>
      <c r="G50" s="114" t="b">
        <v>0</v>
      </c>
      <c r="H50" s="114">
        <f>ZeroCurve!$B$4</f>
        <v>2</v>
      </c>
      <c r="I50" s="109" t="b">
        <v>1</v>
      </c>
      <c r="J50" s="109"/>
      <c r="K50" s="109"/>
      <c r="L50" s="109"/>
      <c r="M50" s="109"/>
      <c r="N50" s="109"/>
      <c r="O50" s="109"/>
      <c r="P50" s="109"/>
      <c r="Q50" s="109"/>
      <c r="R50" s="109"/>
    </row>
    <row r="51" spans="1:21" x14ac:dyDescent="0.25">
      <c r="A51" s="218" t="e">
        <f>_xll.qlSwap(B51,C51:D51,E51:F51,G51,H51,I51)</f>
        <v>#NUM!</v>
      </c>
      <c r="B51" s="114" t="str">
        <f t="shared" si="21"/>
        <v>611754IRS</v>
      </c>
      <c r="C51" s="221" t="str">
        <f t="shared" si="24"/>
        <v>611754FILeg#0000</v>
      </c>
      <c r="D51" s="221" t="e">
        <f t="shared" si="25"/>
        <v>#NUM!</v>
      </c>
      <c r="E51" s="114" t="str">
        <f t="shared" si="22"/>
        <v>TRUE</v>
      </c>
      <c r="F51" s="114" t="str">
        <f t="shared" si="23"/>
        <v>FALSE</v>
      </c>
      <c r="G51" s="114" t="b">
        <v>0</v>
      </c>
      <c r="H51" s="114">
        <f>ZeroCurve!$B$4</f>
        <v>2</v>
      </c>
      <c r="I51" s="109" t="b">
        <v>1</v>
      </c>
      <c r="J51" s="109"/>
      <c r="K51" s="109"/>
      <c r="L51" s="109"/>
      <c r="M51" s="109"/>
      <c r="N51" s="109"/>
      <c r="O51" s="109"/>
      <c r="P51" s="109"/>
      <c r="Q51" s="109"/>
      <c r="R51" s="109"/>
    </row>
    <row r="52" spans="1:21" x14ac:dyDescent="0.25">
      <c r="A52" s="218" t="e">
        <f>_xll.qlSwap(B52,C52:D52,E52:F52,G52,H52,I52)</f>
        <v>#NUM!</v>
      </c>
      <c r="B52" s="114" t="str">
        <f t="shared" si="21"/>
        <v>669566IRS</v>
      </c>
      <c r="C52" s="221" t="str">
        <f t="shared" si="24"/>
        <v>669566FILeg#0000</v>
      </c>
      <c r="D52" s="221" t="e">
        <f t="shared" si="25"/>
        <v>#NUM!</v>
      </c>
      <c r="E52" s="114" t="str">
        <f t="shared" si="22"/>
        <v>TRUE</v>
      </c>
      <c r="F52" s="114" t="str">
        <f t="shared" si="23"/>
        <v>FALSE</v>
      </c>
      <c r="G52" s="114" t="b">
        <v>0</v>
      </c>
      <c r="H52" s="114">
        <f>ZeroCurve!$B$4</f>
        <v>2</v>
      </c>
      <c r="I52" s="109" t="b">
        <v>1</v>
      </c>
      <c r="J52" s="109"/>
      <c r="K52" s="109"/>
      <c r="L52" s="109"/>
      <c r="M52" s="109"/>
      <c r="N52" s="109"/>
      <c r="O52" s="109"/>
      <c r="P52" s="109"/>
      <c r="Q52" s="109"/>
      <c r="R52" s="109"/>
    </row>
    <row r="53" spans="1:21" x14ac:dyDescent="0.25">
      <c r="A53" s="163"/>
      <c r="B53" s="114"/>
      <c r="C53" s="221"/>
      <c r="D53" s="216"/>
      <c r="E53" s="114"/>
      <c r="F53" s="114"/>
      <c r="G53" s="114"/>
      <c r="H53" s="114"/>
      <c r="I53" s="114"/>
      <c r="J53" s="109"/>
      <c r="K53" s="109"/>
      <c r="L53" s="109"/>
      <c r="M53" s="109"/>
      <c r="N53" s="109"/>
      <c r="O53" s="109"/>
      <c r="P53" s="109"/>
      <c r="Q53" s="109"/>
      <c r="R53" s="109"/>
    </row>
    <row r="54" spans="1:21" x14ac:dyDescent="0.25">
      <c r="A54" s="163"/>
      <c r="B54" s="114">
        <v>2</v>
      </c>
      <c r="C54" s="221"/>
      <c r="D54" s="216"/>
      <c r="E54" s="228" t="s">
        <v>612</v>
      </c>
      <c r="F54" s="229" t="e">
        <f>ZeroCurve!B116</f>
        <v>#NUM!</v>
      </c>
      <c r="G54" s="229"/>
      <c r="H54" s="114"/>
      <c r="I54" s="228" t="s">
        <v>613</v>
      </c>
      <c r="J54" s="234" t="str">
        <f>ZeroCurve!D116</f>
        <v>LIBOR3M#0000</v>
      </c>
      <c r="K54" s="234"/>
      <c r="L54" s="109"/>
      <c r="M54" s="109"/>
      <c r="N54" s="109"/>
      <c r="O54" s="109"/>
      <c r="P54" s="109"/>
      <c r="Q54" s="109"/>
      <c r="R54" s="109"/>
    </row>
    <row r="55" spans="1:21" x14ac:dyDescent="0.25">
      <c r="A55" s="223" t="s">
        <v>610</v>
      </c>
      <c r="B55" s="225" t="s">
        <v>608</v>
      </c>
      <c r="C55" s="225" t="s">
        <v>609</v>
      </c>
      <c r="D55" s="225" t="s">
        <v>609</v>
      </c>
      <c r="E55" s="230" t="s">
        <v>607</v>
      </c>
      <c r="F55" s="231"/>
      <c r="G55" s="230"/>
      <c r="H55" s="114"/>
      <c r="I55" s="230" t="s">
        <v>607</v>
      </c>
      <c r="J55" s="231"/>
      <c r="K55" s="234"/>
      <c r="L55" s="109"/>
      <c r="M55" s="109"/>
      <c r="N55" s="109"/>
      <c r="O55" s="109"/>
      <c r="P55" s="109"/>
      <c r="Q55" s="109"/>
      <c r="R55" s="109"/>
      <c r="S55" s="109"/>
      <c r="U55" s="79"/>
    </row>
    <row r="56" spans="1:21" x14ac:dyDescent="0.25">
      <c r="A56" s="224">
        <f>A2</f>
        <v>208702</v>
      </c>
      <c r="B56" s="227" t="e">
        <f>_xll.qlInstrumentNPV(A44,_xll.ohTrigger($B$54))</f>
        <v>#VALUE!</v>
      </c>
      <c r="C56" s="226" t="e">
        <f>_xll.qlInstrumentSetPricingEngine(A44,D56,ZeroCurve!$B$4)</f>
        <v>#VALUE!</v>
      </c>
      <c r="D56" s="114" t="e">
        <f>IF(E2="TWD",ZeroCurve!$G$116,ZeroCurve!$H$116)</f>
        <v>#VALUE!</v>
      </c>
      <c r="E56" s="230" t="e">
        <f>_xll.qlIndexAddFixings(F54,F56:F62,G56:G62,TRUE)</f>
        <v>#VALUE!</v>
      </c>
      <c r="F56" s="232">
        <v>44462</v>
      </c>
      <c r="G56" s="233">
        <v>4.8011E-3</v>
      </c>
      <c r="H56" s="114" t="e">
        <f ca="1">_xll.ohRangeRetrieveError(E56)</f>
        <v>#NUM!</v>
      </c>
      <c r="I56" s="230" t="b">
        <f>_xll.qlIndexAddFixings(J54,J56:J57,K56:K57,TRUE)</f>
        <v>1</v>
      </c>
      <c r="J56" s="232">
        <v>44487</v>
      </c>
      <c r="K56" s="233">
        <v>1.3013E-3</v>
      </c>
      <c r="L56" s="109" t="str">
        <f>_xll.ohRangeRetrieveError(I56)</f>
        <v/>
      </c>
      <c r="M56" s="109"/>
      <c r="N56" s="109"/>
      <c r="O56" s="109"/>
      <c r="P56" s="109"/>
      <c r="Q56" s="109"/>
      <c r="R56" s="109"/>
      <c r="S56" s="109"/>
      <c r="U56" s="79"/>
    </row>
    <row r="57" spans="1:21" x14ac:dyDescent="0.25">
      <c r="A57" s="224">
        <f t="shared" ref="A57:A64" si="26">A3</f>
        <v>342359</v>
      </c>
      <c r="B57" s="227" t="e">
        <f>_xll.qlInstrumentNPV(A45,_xll.ohTrigger($B$54))</f>
        <v>#VALUE!</v>
      </c>
      <c r="C57" s="226" t="e">
        <f>_xll.qlInstrumentSetPricingEngine(A45,D57,ZeroCurve!$B$4)</f>
        <v>#VALUE!</v>
      </c>
      <c r="D57" s="114" t="e">
        <f>IF(E3="TWD",ZeroCurve!$G$116,ZeroCurve!$H$116)</f>
        <v>#VALUE!</v>
      </c>
      <c r="E57" s="230"/>
      <c r="F57" s="232">
        <v>44503</v>
      </c>
      <c r="G57" s="233">
        <v>4.8056000000000001E-3</v>
      </c>
      <c r="H57" s="114" t="str">
        <f>_xll.ohRangeRetrieveError(E57)</f>
        <v/>
      </c>
      <c r="I57" s="235"/>
      <c r="J57" s="232">
        <v>44469</v>
      </c>
      <c r="K57" s="233">
        <v>1.315E-3</v>
      </c>
      <c r="L57" s="109"/>
      <c r="M57" s="109"/>
      <c r="N57" s="109"/>
      <c r="O57" s="109"/>
      <c r="P57" s="109"/>
      <c r="Q57" s="109"/>
      <c r="R57" s="109"/>
    </row>
    <row r="58" spans="1:21" x14ac:dyDescent="0.25">
      <c r="A58" s="224">
        <f t="shared" si="26"/>
        <v>342361</v>
      </c>
      <c r="B58" s="227" t="e">
        <f>_xll.qlInstrumentNPV(A46,_xll.ohTrigger($B$54))</f>
        <v>#VALUE!</v>
      </c>
      <c r="C58" s="226" t="e">
        <f>_xll.qlInstrumentSetPricingEngine(A46,D58,ZeroCurve!$B$4)</f>
        <v>#VALUE!</v>
      </c>
      <c r="D58" s="114" t="e">
        <f>IF(E4="TWD",ZeroCurve!$G$116,ZeroCurve!$H$116)</f>
        <v>#VALUE!</v>
      </c>
      <c r="E58" s="230"/>
      <c r="F58" s="232">
        <v>44483</v>
      </c>
      <c r="G58" s="233">
        <v>4.8032999999999999E-3</v>
      </c>
      <c r="H58" s="114" t="e">
        <f ca="1">_xll.ohRangeRetrieveError(B58)</f>
        <v>#NUM!</v>
      </c>
      <c r="I58" s="114"/>
      <c r="J58" s="214"/>
      <c r="K58" s="222"/>
      <c r="L58" s="109"/>
      <c r="M58" s="109"/>
      <c r="N58" s="109"/>
      <c r="O58" s="109"/>
      <c r="P58" s="109"/>
      <c r="Q58" s="109"/>
      <c r="R58" s="109"/>
    </row>
    <row r="59" spans="1:21" x14ac:dyDescent="0.25">
      <c r="A59" s="224">
        <f t="shared" si="26"/>
        <v>611755</v>
      </c>
      <c r="B59" s="227" t="e">
        <f>_xll.qlInstrumentNPV(A47,_xll.ohTrigger($B$54))</f>
        <v>#VALUE!</v>
      </c>
      <c r="C59" s="226" t="e">
        <f>_xll.qlInstrumentSetPricingEngine(A47,D59,ZeroCurve!$B$4)</f>
        <v>#VALUE!</v>
      </c>
      <c r="D59" s="114" t="str">
        <f>IF(E5="TWD",ZeroCurve!$G$116,ZeroCurve!$H$116)</f>
        <v>USDDFEng#0000</v>
      </c>
      <c r="E59" s="230"/>
      <c r="F59" s="232">
        <v>44484</v>
      </c>
      <c r="G59" s="233">
        <v>4.8044000000000003E-3</v>
      </c>
      <c r="H59" s="114" t="e">
        <f ca="1">_xll.ohRangeRetrieveError(B59)</f>
        <v>#NUM!</v>
      </c>
      <c r="I59" s="114"/>
      <c r="J59" s="214"/>
      <c r="K59" s="222"/>
      <c r="L59" s="109"/>
      <c r="M59" s="109"/>
      <c r="N59" s="109"/>
      <c r="O59" s="109"/>
      <c r="P59" s="109"/>
      <c r="Q59" s="109"/>
      <c r="R59" s="109"/>
    </row>
    <row r="60" spans="1:21" x14ac:dyDescent="0.25">
      <c r="A60" s="224">
        <f t="shared" si="26"/>
        <v>669467</v>
      </c>
      <c r="B60" s="227" t="e">
        <f>_xll.qlInstrumentNPV(A48,_xll.ohTrigger($B$54))</f>
        <v>#VALUE!</v>
      </c>
      <c r="C60" s="226" t="e">
        <f>_xll.qlInstrumentSetPricingEngine(A48,D60,ZeroCurve!$B$4)</f>
        <v>#VALUE!</v>
      </c>
      <c r="D60" s="114" t="str">
        <f>IF(E6="TWD",ZeroCurve!$G$116,ZeroCurve!$H$116)</f>
        <v>USDDFEng#0000</v>
      </c>
      <c r="E60" s="114"/>
      <c r="F60" s="232">
        <v>44552</v>
      </c>
      <c r="G60" s="233">
        <v>4.8011E-3</v>
      </c>
      <c r="H60" s="114" t="e">
        <f ca="1">_xll.ohRangeRetrieveError(B60)</f>
        <v>#NUM!</v>
      </c>
      <c r="I60" s="114"/>
      <c r="J60" s="214"/>
      <c r="K60" s="222"/>
      <c r="L60" s="109"/>
      <c r="M60" s="109"/>
      <c r="N60" s="109"/>
      <c r="O60" s="109"/>
      <c r="P60" s="109"/>
      <c r="Q60" s="109"/>
      <c r="R60" s="109"/>
    </row>
    <row r="61" spans="1:21" x14ac:dyDescent="0.25">
      <c r="A61" s="224">
        <f t="shared" si="26"/>
        <v>153701</v>
      </c>
      <c r="B61" s="227" t="e">
        <f>_xll.qlInstrumentNPV(A49,_xll.ohTrigger($B$54))</f>
        <v>#VALUE!</v>
      </c>
      <c r="C61" s="226" t="e">
        <f>_xll.qlInstrumentSetPricingEngine(A49,D61,ZeroCurve!$B$4)</f>
        <v>#VALUE!</v>
      </c>
      <c r="D61" s="114" t="e">
        <f>IF(E7="TWD",ZeroCurve!$G$116,ZeroCurve!$H$116)</f>
        <v>#VALUE!</v>
      </c>
      <c r="E61" s="114"/>
      <c r="F61" s="232">
        <v>44553</v>
      </c>
      <c r="G61" s="233">
        <v>4.8011E-3</v>
      </c>
      <c r="H61" s="114" t="e">
        <f ca="1">_xll.ohRangeRetrieveError(B61)</f>
        <v>#NUM!</v>
      </c>
      <c r="I61" s="114"/>
      <c r="J61" s="214"/>
      <c r="K61" s="222"/>
      <c r="L61" s="109"/>
      <c r="M61" s="109"/>
      <c r="N61" s="109"/>
      <c r="O61" s="109"/>
      <c r="P61" s="109"/>
      <c r="Q61" s="109"/>
      <c r="R61" s="109"/>
    </row>
    <row r="62" spans="1:21" x14ac:dyDescent="0.25">
      <c r="A62" s="224">
        <f t="shared" si="26"/>
        <v>205452</v>
      </c>
      <c r="B62" s="227" t="e">
        <f>_xll.qlInstrumentNPV(A50,_xll.ohTrigger($B$54))</f>
        <v>#VALUE!</v>
      </c>
      <c r="C62" s="226" t="e">
        <f>_xll.qlInstrumentSetPricingEngine(A50,D62,ZeroCurve!$B$4)</f>
        <v>#VALUE!</v>
      </c>
      <c r="D62" s="114" t="e">
        <f>IF(E8="TWD",ZeroCurve!$G$116,ZeroCurve!$H$116)</f>
        <v>#VALUE!</v>
      </c>
      <c r="E62" s="114"/>
      <c r="F62" s="232">
        <v>44554</v>
      </c>
      <c r="G62" s="233">
        <v>4.8011E-3</v>
      </c>
      <c r="H62" s="114" t="e">
        <f ca="1">_xll.ohRangeRetrieveError(B62)</f>
        <v>#NUM!</v>
      </c>
      <c r="I62" s="114"/>
      <c r="J62" s="109"/>
      <c r="K62" s="109"/>
      <c r="L62" s="109"/>
      <c r="M62" s="109"/>
      <c r="N62" s="109"/>
      <c r="O62" s="109"/>
      <c r="P62" s="109"/>
      <c r="Q62" s="109"/>
      <c r="R62" s="109"/>
    </row>
    <row r="63" spans="1:21" x14ac:dyDescent="0.25">
      <c r="A63" s="224">
        <f t="shared" si="26"/>
        <v>611754</v>
      </c>
      <c r="B63" s="227" t="e">
        <f>_xll.qlInstrumentNPV(A51,_xll.ohTrigger($B$54))</f>
        <v>#VALUE!</v>
      </c>
      <c r="C63" s="226" t="e">
        <f>_xll.qlInstrumentSetPricingEngine(A51,D63,ZeroCurve!$B$4)</f>
        <v>#VALUE!</v>
      </c>
      <c r="D63" s="114" t="str">
        <f>IF(E9="TWD",ZeroCurve!$G$116,ZeroCurve!$H$116)</f>
        <v>USDDFEng#0000</v>
      </c>
      <c r="E63" s="114"/>
      <c r="F63" s="114"/>
      <c r="G63" s="222"/>
      <c r="H63" s="114" t="e">
        <f ca="1">_xll.ohRangeRetrieveError(B63)</f>
        <v>#NUM!</v>
      </c>
      <c r="I63" s="114"/>
      <c r="J63" s="109"/>
      <c r="K63" s="109"/>
      <c r="L63" s="109"/>
      <c r="M63" s="109"/>
      <c r="N63" s="109"/>
      <c r="O63" s="109"/>
      <c r="P63" s="109"/>
      <c r="Q63" s="109"/>
      <c r="R63" s="109"/>
    </row>
    <row r="64" spans="1:21" x14ac:dyDescent="0.25">
      <c r="A64" s="224">
        <f t="shared" si="26"/>
        <v>669566</v>
      </c>
      <c r="B64" s="227" t="e">
        <f>_xll.qlInstrumentNPV(A52,_xll.ohTrigger($B$54))</f>
        <v>#VALUE!</v>
      </c>
      <c r="C64" s="226" t="e">
        <f>_xll.qlInstrumentSetPricingEngine(A52,D64,ZeroCurve!$B$4)</f>
        <v>#VALUE!</v>
      </c>
      <c r="D64" s="114" t="str">
        <f>IF(E10="TWD",ZeroCurve!$G$116,ZeroCurve!$H$116)</f>
        <v>USDDFEng#0000</v>
      </c>
      <c r="E64" s="114"/>
      <c r="F64" s="114"/>
      <c r="G64" s="222"/>
      <c r="H64" s="114" t="e">
        <f ca="1">_xll.ohRangeRetrieveError(B64)</f>
        <v>#NUM!</v>
      </c>
      <c r="I64" s="114"/>
      <c r="J64" s="109"/>
      <c r="K64" s="109"/>
      <c r="L64" s="109"/>
      <c r="M64" s="109"/>
      <c r="N64" s="109"/>
      <c r="O64" s="109"/>
      <c r="P64" s="109"/>
      <c r="Q64" s="109"/>
      <c r="R64" s="109"/>
    </row>
    <row r="65" spans="1:18" x14ac:dyDescent="0.25">
      <c r="A65" s="114"/>
      <c r="B65" s="114"/>
      <c r="C65" s="114"/>
      <c r="D65" s="114"/>
      <c r="E65" s="114"/>
      <c r="F65" s="114"/>
      <c r="G65" s="114"/>
      <c r="H65" s="114"/>
      <c r="I65" s="114"/>
      <c r="J65" s="109"/>
      <c r="K65" s="109"/>
      <c r="L65" s="109"/>
      <c r="M65" s="109"/>
      <c r="N65" s="109"/>
      <c r="O65" s="109"/>
      <c r="P65" s="109"/>
      <c r="Q65" s="109"/>
      <c r="R65" s="109"/>
    </row>
    <row r="66" spans="1:18" x14ac:dyDescent="0.25">
      <c r="A66" s="114"/>
      <c r="B66" s="114"/>
      <c r="C66" s="114"/>
      <c r="D66" s="114"/>
      <c r="E66" s="114"/>
      <c r="F66" s="114"/>
      <c r="G66" s="114"/>
      <c r="H66" s="114"/>
      <c r="I66" s="114"/>
      <c r="J66" s="109"/>
      <c r="K66" s="109"/>
      <c r="L66" s="109"/>
      <c r="M66" s="109"/>
      <c r="N66" s="109"/>
      <c r="O66" s="109"/>
      <c r="P66" s="109"/>
      <c r="Q66" s="109"/>
      <c r="R66" s="109"/>
    </row>
    <row r="67" spans="1:18" x14ac:dyDescent="0.25">
      <c r="A67" s="114"/>
      <c r="B67" s="114"/>
      <c r="C67" s="114"/>
      <c r="D67" s="114"/>
      <c r="E67" s="114"/>
      <c r="F67" s="214"/>
      <c r="G67" s="222"/>
      <c r="H67" s="114"/>
      <c r="I67" s="114"/>
      <c r="J67" s="109"/>
      <c r="K67" s="109"/>
      <c r="L67" s="109"/>
      <c r="M67" s="109"/>
      <c r="N67" s="109"/>
      <c r="O67" s="109"/>
      <c r="P67" s="109"/>
      <c r="Q67" s="109"/>
      <c r="R67" s="109"/>
    </row>
    <row r="68" spans="1:18" x14ac:dyDescent="0.25">
      <c r="A68" s="114"/>
      <c r="B68" s="114"/>
      <c r="C68" s="114"/>
      <c r="D68" s="114"/>
      <c r="E68" s="114"/>
      <c r="F68" s="214"/>
      <c r="G68" s="222"/>
      <c r="H68" s="114"/>
      <c r="I68" s="114"/>
      <c r="J68" s="109"/>
      <c r="K68" s="109"/>
      <c r="L68" s="109"/>
      <c r="M68" s="109"/>
      <c r="N68" s="109"/>
      <c r="O68" s="109"/>
      <c r="P68" s="109"/>
      <c r="Q68" s="109"/>
      <c r="R68" s="109"/>
    </row>
    <row r="69" spans="1:18" x14ac:dyDescent="0.25">
      <c r="A69" s="114"/>
      <c r="B69" s="114"/>
      <c r="C69" s="114"/>
      <c r="D69" s="114"/>
      <c r="E69" s="114"/>
      <c r="F69" s="214"/>
      <c r="G69" s="222"/>
      <c r="H69" s="114"/>
      <c r="I69" s="114"/>
      <c r="J69" s="109"/>
      <c r="K69" s="109"/>
      <c r="L69" s="109"/>
      <c r="M69" s="109"/>
      <c r="N69" s="109"/>
      <c r="O69" s="109"/>
      <c r="P69" s="109"/>
      <c r="Q69" s="109"/>
      <c r="R69" s="109"/>
    </row>
    <row r="70" spans="1:18" x14ac:dyDescent="0.25">
      <c r="A70" s="114"/>
      <c r="B70" s="114"/>
      <c r="C70" s="114"/>
      <c r="D70" s="114"/>
      <c r="E70" s="114"/>
      <c r="F70" s="114"/>
      <c r="G70" s="114"/>
      <c r="H70" s="114"/>
      <c r="I70" s="114"/>
      <c r="J70" s="109"/>
      <c r="K70" s="109"/>
      <c r="L70" s="109"/>
      <c r="M70" s="109"/>
      <c r="N70" s="109"/>
      <c r="O70" s="109"/>
      <c r="P70" s="109"/>
      <c r="Q70" s="109"/>
      <c r="R70" s="109"/>
    </row>
    <row r="71" spans="1:18" x14ac:dyDescent="0.25">
      <c r="A71" s="114"/>
      <c r="B71" s="214"/>
      <c r="C71" s="114"/>
      <c r="D71" s="114"/>
      <c r="E71" s="114"/>
      <c r="F71" s="114"/>
      <c r="G71" s="114"/>
      <c r="H71" s="114"/>
      <c r="I71" s="114"/>
      <c r="J71" s="109"/>
      <c r="K71" s="109"/>
      <c r="L71" s="109"/>
      <c r="M71" s="109"/>
      <c r="N71" s="109"/>
      <c r="O71" s="109"/>
      <c r="P71" s="109"/>
      <c r="Q71" s="109"/>
      <c r="R71" s="109"/>
    </row>
    <row r="72" spans="1:18" x14ac:dyDescent="0.25">
      <c r="A72" s="114"/>
      <c r="B72" s="214"/>
      <c r="C72" s="114"/>
      <c r="D72" s="114"/>
      <c r="E72" s="214"/>
      <c r="F72" s="214"/>
      <c r="G72" s="114"/>
      <c r="H72" s="114"/>
      <c r="I72" s="114"/>
      <c r="J72" s="214"/>
      <c r="K72" s="109"/>
      <c r="L72" s="109"/>
      <c r="M72" s="109"/>
      <c r="N72" s="109"/>
      <c r="O72" s="109"/>
      <c r="P72" s="109"/>
      <c r="Q72" s="109"/>
      <c r="R72" s="109"/>
    </row>
    <row r="73" spans="1:18" x14ac:dyDescent="0.25">
      <c r="A73" s="114"/>
      <c r="B73" s="214"/>
      <c r="C73" s="114"/>
      <c r="D73" s="114"/>
      <c r="E73" s="214"/>
      <c r="F73" s="214"/>
      <c r="G73" s="114"/>
      <c r="H73" s="114"/>
      <c r="I73" s="114"/>
      <c r="J73" s="214"/>
      <c r="K73" s="109"/>
      <c r="L73" s="109"/>
      <c r="M73" s="109"/>
      <c r="N73" s="109"/>
      <c r="O73" s="109"/>
      <c r="P73" s="109"/>
      <c r="Q73" s="109"/>
      <c r="R73" s="109"/>
    </row>
    <row r="74" spans="1:18" x14ac:dyDescent="0.25">
      <c r="A74" s="114"/>
      <c r="B74" s="214"/>
      <c r="C74" s="114"/>
      <c r="D74" s="114"/>
      <c r="E74" s="214"/>
      <c r="F74" s="214"/>
      <c r="G74" s="114"/>
      <c r="H74" s="114"/>
      <c r="I74" s="114"/>
      <c r="J74" s="214"/>
      <c r="K74" s="109"/>
      <c r="L74" s="109"/>
      <c r="M74" s="109"/>
      <c r="N74" s="109"/>
      <c r="O74" s="109"/>
      <c r="P74" s="109"/>
      <c r="Q74" s="109"/>
      <c r="R74" s="109"/>
    </row>
    <row r="75" spans="1:18" x14ac:dyDescent="0.25">
      <c r="A75" s="114"/>
      <c r="B75" s="214"/>
      <c r="C75" s="114"/>
      <c r="D75" s="114"/>
      <c r="E75" s="214"/>
      <c r="F75" s="214"/>
      <c r="G75" s="114"/>
      <c r="H75" s="114"/>
      <c r="I75" s="114"/>
      <c r="J75" s="214"/>
      <c r="K75" s="109"/>
      <c r="L75" s="109"/>
      <c r="M75" s="109"/>
      <c r="N75" s="109"/>
      <c r="O75" s="109"/>
      <c r="P75" s="109"/>
      <c r="Q75" s="109"/>
      <c r="R75" s="109"/>
    </row>
    <row r="76" spans="1:18" x14ac:dyDescent="0.25">
      <c r="A76" s="114"/>
      <c r="B76" s="214"/>
      <c r="C76" s="114"/>
      <c r="D76" s="114"/>
      <c r="E76" s="214"/>
      <c r="F76" s="214"/>
      <c r="G76" s="114"/>
      <c r="H76" s="114"/>
      <c r="I76" s="114"/>
      <c r="J76" s="214"/>
      <c r="K76" s="109"/>
      <c r="L76" s="109"/>
      <c r="M76" s="109"/>
      <c r="N76" s="109"/>
      <c r="O76" s="109"/>
      <c r="P76" s="109"/>
      <c r="Q76" s="109"/>
      <c r="R76" s="109"/>
    </row>
    <row r="77" spans="1:18" x14ac:dyDescent="0.25">
      <c r="A77" s="114"/>
      <c r="B77" s="214"/>
      <c r="C77" s="114"/>
      <c r="D77" s="114"/>
      <c r="E77" s="214"/>
      <c r="F77" s="214"/>
      <c r="G77" s="114"/>
      <c r="H77" s="114"/>
      <c r="I77" s="114"/>
      <c r="J77" s="214"/>
      <c r="K77" s="109"/>
      <c r="L77" s="109"/>
      <c r="M77" s="109"/>
      <c r="N77" s="109"/>
      <c r="O77" s="109"/>
      <c r="P77" s="109"/>
      <c r="Q77" s="109"/>
      <c r="R77" s="109"/>
    </row>
    <row r="78" spans="1:18" x14ac:dyDescent="0.25">
      <c r="B78" s="214"/>
      <c r="C78" s="114"/>
      <c r="D78" s="114"/>
      <c r="E78" s="214"/>
      <c r="F78" s="214"/>
      <c r="G78" s="114"/>
      <c r="H78" s="114"/>
      <c r="I78" s="114"/>
      <c r="J78" s="214"/>
    </row>
    <row r="79" spans="1:18" x14ac:dyDescent="0.25">
      <c r="B79" s="214"/>
      <c r="E79" s="214"/>
      <c r="F79" s="214"/>
      <c r="J79" s="214"/>
    </row>
    <row r="80" spans="1:18" x14ac:dyDescent="0.25">
      <c r="B80" s="214"/>
      <c r="E80" s="214"/>
      <c r="F80" s="214"/>
      <c r="J80" s="214"/>
    </row>
    <row r="81" spans="2:10" x14ac:dyDescent="0.25">
      <c r="B81" s="214"/>
      <c r="E81" s="214"/>
      <c r="F81" s="214"/>
      <c r="J81" s="214"/>
    </row>
    <row r="82" spans="2:10" x14ac:dyDescent="0.25">
      <c r="B82" s="214"/>
      <c r="E82" s="214"/>
      <c r="F82" s="214"/>
      <c r="J82" s="214"/>
    </row>
    <row r="83" spans="2:10" x14ac:dyDescent="0.25">
      <c r="B83" s="214"/>
      <c r="E83" s="214"/>
      <c r="F83" s="214"/>
      <c r="J83" s="214"/>
    </row>
    <row r="84" spans="2:10" x14ac:dyDescent="0.25">
      <c r="B84" s="214"/>
      <c r="E84" s="214"/>
      <c r="F84" s="214"/>
      <c r="J84" s="214"/>
    </row>
    <row r="85" spans="2:10" x14ac:dyDescent="0.25">
      <c r="B85" s="214"/>
      <c r="E85" s="214"/>
      <c r="F85" s="214"/>
      <c r="J85" s="214"/>
    </row>
    <row r="86" spans="2:10" x14ac:dyDescent="0.25">
      <c r="B86" s="214"/>
      <c r="E86" s="214"/>
      <c r="F86" s="214"/>
      <c r="J86" s="214"/>
    </row>
    <row r="87" spans="2:10" x14ac:dyDescent="0.25">
      <c r="B87" s="214"/>
      <c r="E87" s="214"/>
      <c r="F87" s="214"/>
      <c r="J87" s="214"/>
    </row>
    <row r="88" spans="2:10" x14ac:dyDescent="0.25">
      <c r="B88" s="214"/>
      <c r="E88" s="214"/>
      <c r="F88" s="214"/>
      <c r="J88" s="214"/>
    </row>
    <row r="89" spans="2:10" x14ac:dyDescent="0.25">
      <c r="B89" s="214"/>
      <c r="E89" s="214"/>
      <c r="F89" s="214"/>
      <c r="J89" s="214"/>
    </row>
    <row r="90" spans="2:10" x14ac:dyDescent="0.25">
      <c r="J90" s="214"/>
    </row>
    <row r="91" spans="2:10" x14ac:dyDescent="0.25">
      <c r="J91" s="21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C000"/>
  </sheetPr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1454"/>
  <sheetViews>
    <sheetView workbookViewId="0">
      <selection activeCell="A2" sqref="A2:C1454"/>
    </sheetView>
  </sheetViews>
  <sheetFormatPr defaultRowHeight="15.75" x14ac:dyDescent="0.25"/>
  <cols>
    <col min="1" max="1" width="13.125" style="1" customWidth="1"/>
    <col min="2" max="2" width="10.125" style="6" customWidth="1"/>
    <col min="3" max="3" width="11.625" customWidth="1"/>
  </cols>
  <sheetData>
    <row r="1" spans="1:3" x14ac:dyDescent="0.25">
      <c r="A1" s="1" t="s">
        <v>254</v>
      </c>
      <c r="B1" t="s">
        <v>342</v>
      </c>
      <c r="C1" t="s">
        <v>343</v>
      </c>
    </row>
    <row r="2" spans="1:3" x14ac:dyDescent="0.25">
      <c r="B2" s="120"/>
      <c r="C2" s="120"/>
    </row>
    <row r="3" spans="1:3" x14ac:dyDescent="0.25">
      <c r="B3" s="120"/>
      <c r="C3" s="120"/>
    </row>
    <row r="4" spans="1:3" x14ac:dyDescent="0.25">
      <c r="B4" s="120"/>
      <c r="C4" s="120"/>
    </row>
    <row r="5" spans="1:3" x14ac:dyDescent="0.25">
      <c r="B5" s="120"/>
      <c r="C5" s="120"/>
    </row>
    <row r="6" spans="1:3" x14ac:dyDescent="0.25">
      <c r="B6" s="120"/>
      <c r="C6" s="120"/>
    </row>
    <row r="7" spans="1:3" x14ac:dyDescent="0.25">
      <c r="B7" s="120"/>
      <c r="C7" s="120"/>
    </row>
    <row r="8" spans="1:3" x14ac:dyDescent="0.25">
      <c r="B8" s="120"/>
      <c r="C8" s="120"/>
    </row>
    <row r="9" spans="1:3" x14ac:dyDescent="0.25">
      <c r="B9" s="120"/>
      <c r="C9" s="120"/>
    </row>
    <row r="10" spans="1:3" x14ac:dyDescent="0.25">
      <c r="B10" s="120"/>
      <c r="C10" s="120"/>
    </row>
    <row r="11" spans="1:3" x14ac:dyDescent="0.25">
      <c r="B11" s="120"/>
      <c r="C11" s="120"/>
    </row>
    <row r="12" spans="1:3" x14ac:dyDescent="0.25">
      <c r="B12" s="120"/>
      <c r="C12" s="120"/>
    </row>
    <row r="13" spans="1:3" x14ac:dyDescent="0.25">
      <c r="B13" s="120"/>
      <c r="C13" s="120"/>
    </row>
    <row r="14" spans="1:3" x14ac:dyDescent="0.25">
      <c r="B14" s="120"/>
      <c r="C14" s="120"/>
    </row>
    <row r="15" spans="1:3" x14ac:dyDescent="0.25">
      <c r="B15" s="120"/>
      <c r="C15" s="120"/>
    </row>
    <row r="16" spans="1:3" x14ac:dyDescent="0.25">
      <c r="B16" s="120"/>
      <c r="C16" s="120"/>
    </row>
    <row r="17" spans="2:3" x14ac:dyDescent="0.25">
      <c r="B17" s="120"/>
      <c r="C17" s="120"/>
    </row>
    <row r="18" spans="2:3" x14ac:dyDescent="0.25">
      <c r="B18" s="120"/>
      <c r="C18" s="120"/>
    </row>
    <row r="19" spans="2:3" x14ac:dyDescent="0.25">
      <c r="B19" s="120"/>
      <c r="C19" s="120"/>
    </row>
    <row r="20" spans="2:3" x14ac:dyDescent="0.25">
      <c r="B20" s="120"/>
      <c r="C20" s="120"/>
    </row>
    <row r="21" spans="2:3" x14ac:dyDescent="0.25">
      <c r="B21" s="120"/>
      <c r="C21" s="120"/>
    </row>
    <row r="22" spans="2:3" x14ac:dyDescent="0.25">
      <c r="B22" s="120"/>
      <c r="C22" s="120"/>
    </row>
    <row r="23" spans="2:3" x14ac:dyDescent="0.25">
      <c r="B23" s="120"/>
      <c r="C23" s="120"/>
    </row>
    <row r="24" spans="2:3" x14ac:dyDescent="0.25">
      <c r="B24" s="120"/>
      <c r="C24" s="120"/>
    </row>
    <row r="25" spans="2:3" x14ac:dyDescent="0.25">
      <c r="B25" s="120"/>
      <c r="C25" s="120"/>
    </row>
    <row r="26" spans="2:3" x14ac:dyDescent="0.25">
      <c r="B26" s="120"/>
      <c r="C26" s="120"/>
    </row>
    <row r="27" spans="2:3" x14ac:dyDescent="0.25">
      <c r="B27" s="120"/>
      <c r="C27" s="120"/>
    </row>
    <row r="28" spans="2:3" x14ac:dyDescent="0.25">
      <c r="B28" s="120"/>
      <c r="C28" s="120"/>
    </row>
    <row r="29" spans="2:3" x14ac:dyDescent="0.25">
      <c r="B29" s="120"/>
      <c r="C29" s="120"/>
    </row>
    <row r="30" spans="2:3" x14ac:dyDescent="0.25">
      <c r="B30" s="120"/>
      <c r="C30" s="120"/>
    </row>
    <row r="31" spans="2:3" x14ac:dyDescent="0.25">
      <c r="B31" s="120"/>
      <c r="C31" s="120"/>
    </row>
    <row r="32" spans="2:3" x14ac:dyDescent="0.25">
      <c r="B32" s="120"/>
      <c r="C32" s="120"/>
    </row>
    <row r="33" spans="2:3" x14ac:dyDescent="0.25">
      <c r="B33" s="120"/>
      <c r="C33" s="120"/>
    </row>
    <row r="34" spans="2:3" x14ac:dyDescent="0.25">
      <c r="B34" s="120"/>
      <c r="C34" s="120"/>
    </row>
    <row r="35" spans="2:3" x14ac:dyDescent="0.25">
      <c r="B35" s="120"/>
      <c r="C35" s="120"/>
    </row>
    <row r="36" spans="2:3" x14ac:dyDescent="0.25">
      <c r="B36" s="120"/>
      <c r="C36" s="120"/>
    </row>
    <row r="37" spans="2:3" x14ac:dyDescent="0.25">
      <c r="B37" s="120"/>
      <c r="C37" s="120"/>
    </row>
    <row r="38" spans="2:3" x14ac:dyDescent="0.25">
      <c r="B38" s="120"/>
      <c r="C38" s="120"/>
    </row>
    <row r="39" spans="2:3" x14ac:dyDescent="0.25">
      <c r="B39" s="120"/>
      <c r="C39" s="120"/>
    </row>
    <row r="40" spans="2:3" x14ac:dyDescent="0.25">
      <c r="B40" s="120"/>
      <c r="C40" s="120"/>
    </row>
    <row r="41" spans="2:3" x14ac:dyDescent="0.25">
      <c r="B41" s="120"/>
      <c r="C41" s="120"/>
    </row>
    <row r="42" spans="2:3" x14ac:dyDescent="0.25">
      <c r="B42" s="120"/>
      <c r="C42" s="120"/>
    </row>
    <row r="43" spans="2:3" x14ac:dyDescent="0.25">
      <c r="B43" s="120"/>
      <c r="C43" s="120"/>
    </row>
    <row r="44" spans="2:3" x14ac:dyDescent="0.25">
      <c r="B44" s="120"/>
      <c r="C44" s="120"/>
    </row>
    <row r="45" spans="2:3" x14ac:dyDescent="0.25">
      <c r="B45" s="120"/>
      <c r="C45" s="120"/>
    </row>
    <row r="46" spans="2:3" x14ac:dyDescent="0.25">
      <c r="B46" s="120"/>
      <c r="C46" s="120"/>
    </row>
    <row r="47" spans="2:3" x14ac:dyDescent="0.25">
      <c r="B47" s="120"/>
      <c r="C47" s="120"/>
    </row>
    <row r="48" spans="2:3" x14ac:dyDescent="0.25">
      <c r="B48" s="120"/>
      <c r="C48" s="120"/>
    </row>
    <row r="49" spans="2:3" x14ac:dyDescent="0.25">
      <c r="B49" s="120"/>
      <c r="C49" s="120"/>
    </row>
    <row r="50" spans="2:3" x14ac:dyDescent="0.25">
      <c r="B50" s="120"/>
      <c r="C50" s="120"/>
    </row>
    <row r="51" spans="2:3" x14ac:dyDescent="0.25">
      <c r="B51" s="120"/>
      <c r="C51" s="120"/>
    </row>
    <row r="52" spans="2:3" x14ac:dyDescent="0.25">
      <c r="B52" s="120"/>
      <c r="C52" s="120"/>
    </row>
    <row r="53" spans="2:3" x14ac:dyDescent="0.25">
      <c r="B53" s="120"/>
      <c r="C53" s="120"/>
    </row>
    <row r="54" spans="2:3" x14ac:dyDescent="0.25">
      <c r="B54" s="120"/>
      <c r="C54" s="120"/>
    </row>
    <row r="55" spans="2:3" x14ac:dyDescent="0.25">
      <c r="B55" s="120"/>
      <c r="C55" s="120"/>
    </row>
    <row r="56" spans="2:3" x14ac:dyDescent="0.25">
      <c r="B56" s="120"/>
      <c r="C56" s="120"/>
    </row>
    <row r="57" spans="2:3" x14ac:dyDescent="0.25">
      <c r="B57" s="120"/>
      <c r="C57" s="120"/>
    </row>
    <row r="58" spans="2:3" x14ac:dyDescent="0.25">
      <c r="B58" s="120"/>
      <c r="C58" s="120"/>
    </row>
    <row r="59" spans="2:3" x14ac:dyDescent="0.25">
      <c r="B59" s="120"/>
      <c r="C59" s="120"/>
    </row>
    <row r="60" spans="2:3" x14ac:dyDescent="0.25">
      <c r="B60" s="120"/>
      <c r="C60" s="120"/>
    </row>
    <row r="61" spans="2:3" x14ac:dyDescent="0.25">
      <c r="B61" s="120"/>
      <c r="C61" s="120"/>
    </row>
    <row r="62" spans="2:3" x14ac:dyDescent="0.25">
      <c r="B62" s="120"/>
      <c r="C62" s="120"/>
    </row>
    <row r="63" spans="2:3" x14ac:dyDescent="0.25">
      <c r="B63" s="120"/>
      <c r="C63" s="120"/>
    </row>
    <row r="64" spans="2:3" x14ac:dyDescent="0.25">
      <c r="B64" s="120"/>
      <c r="C64" s="120"/>
    </row>
    <row r="65" spans="2:3" x14ac:dyDescent="0.25">
      <c r="B65" s="120"/>
      <c r="C65" s="120"/>
    </row>
    <row r="66" spans="2:3" x14ac:dyDescent="0.25">
      <c r="B66" s="120"/>
      <c r="C66" s="120"/>
    </row>
    <row r="67" spans="2:3" x14ac:dyDescent="0.25">
      <c r="B67" s="120"/>
      <c r="C67" s="120"/>
    </row>
    <row r="68" spans="2:3" x14ac:dyDescent="0.25">
      <c r="B68" s="120"/>
      <c r="C68" s="120"/>
    </row>
    <row r="69" spans="2:3" x14ac:dyDescent="0.25">
      <c r="B69" s="120"/>
      <c r="C69" s="120"/>
    </row>
    <row r="70" spans="2:3" x14ac:dyDescent="0.25">
      <c r="B70" s="120"/>
      <c r="C70" s="120"/>
    </row>
    <row r="71" spans="2:3" x14ac:dyDescent="0.25">
      <c r="B71" s="120"/>
      <c r="C71" s="120"/>
    </row>
    <row r="72" spans="2:3" x14ac:dyDescent="0.25">
      <c r="B72" s="120"/>
      <c r="C72" s="120"/>
    </row>
    <row r="73" spans="2:3" x14ac:dyDescent="0.25">
      <c r="B73" s="120"/>
      <c r="C73" s="120"/>
    </row>
    <row r="74" spans="2:3" x14ac:dyDescent="0.25">
      <c r="B74" s="120"/>
      <c r="C74" s="120"/>
    </row>
    <row r="75" spans="2:3" x14ac:dyDescent="0.25">
      <c r="B75" s="120"/>
      <c r="C75" s="120"/>
    </row>
    <row r="76" spans="2:3" x14ac:dyDescent="0.25">
      <c r="B76" s="120"/>
      <c r="C76" s="120"/>
    </row>
    <row r="77" spans="2:3" x14ac:dyDescent="0.25">
      <c r="B77" s="120"/>
      <c r="C77" s="120"/>
    </row>
    <row r="78" spans="2:3" x14ac:dyDescent="0.25">
      <c r="B78" s="120"/>
      <c r="C78" s="120"/>
    </row>
    <row r="79" spans="2:3" x14ac:dyDescent="0.25">
      <c r="B79" s="120"/>
      <c r="C79" s="120"/>
    </row>
    <row r="80" spans="2:3" x14ac:dyDescent="0.25">
      <c r="B80" s="120"/>
      <c r="C80" s="120"/>
    </row>
    <row r="81" spans="2:3" x14ac:dyDescent="0.25">
      <c r="B81" s="120"/>
      <c r="C81" s="120"/>
    </row>
    <row r="82" spans="2:3" x14ac:dyDescent="0.25">
      <c r="B82" s="120"/>
      <c r="C82" s="120"/>
    </row>
    <row r="83" spans="2:3" x14ac:dyDescent="0.25">
      <c r="B83" s="120"/>
      <c r="C83" s="120"/>
    </row>
    <row r="84" spans="2:3" x14ac:dyDescent="0.25">
      <c r="B84" s="120"/>
      <c r="C84" s="120"/>
    </row>
    <row r="85" spans="2:3" x14ac:dyDescent="0.25">
      <c r="B85" s="120"/>
      <c r="C85" s="120"/>
    </row>
    <row r="86" spans="2:3" x14ac:dyDescent="0.25">
      <c r="B86" s="120"/>
      <c r="C86" s="120"/>
    </row>
    <row r="87" spans="2:3" x14ac:dyDescent="0.25">
      <c r="B87" s="120"/>
      <c r="C87" s="120"/>
    </row>
    <row r="88" spans="2:3" x14ac:dyDescent="0.25">
      <c r="B88" s="120"/>
      <c r="C88" s="120"/>
    </row>
    <row r="89" spans="2:3" x14ac:dyDescent="0.25">
      <c r="B89" s="120"/>
      <c r="C89" s="120"/>
    </row>
    <row r="90" spans="2:3" x14ac:dyDescent="0.25">
      <c r="B90" s="120"/>
      <c r="C90" s="120"/>
    </row>
    <row r="91" spans="2:3" x14ac:dyDescent="0.25">
      <c r="B91" s="120"/>
      <c r="C91" s="120"/>
    </row>
    <row r="92" spans="2:3" x14ac:dyDescent="0.25">
      <c r="B92" s="120"/>
      <c r="C92" s="120"/>
    </row>
    <row r="93" spans="2:3" x14ac:dyDescent="0.25">
      <c r="B93" s="120"/>
      <c r="C93" s="120"/>
    </row>
    <row r="94" spans="2:3" x14ac:dyDescent="0.25">
      <c r="B94" s="120"/>
      <c r="C94" s="120"/>
    </row>
    <row r="95" spans="2:3" x14ac:dyDescent="0.25">
      <c r="B95" s="120"/>
      <c r="C95" s="120"/>
    </row>
    <row r="96" spans="2:3" x14ac:dyDescent="0.25">
      <c r="B96" s="120"/>
      <c r="C96" s="120"/>
    </row>
    <row r="97" spans="2:3" x14ac:dyDescent="0.25">
      <c r="B97" s="120"/>
      <c r="C97" s="120"/>
    </row>
    <row r="98" spans="2:3" x14ac:dyDescent="0.25">
      <c r="B98" s="120"/>
      <c r="C98" s="120"/>
    </row>
    <row r="99" spans="2:3" x14ac:dyDescent="0.25">
      <c r="B99" s="120"/>
      <c r="C99" s="120"/>
    </row>
    <row r="100" spans="2:3" x14ac:dyDescent="0.25">
      <c r="B100" s="120"/>
      <c r="C100" s="120"/>
    </row>
    <row r="101" spans="2:3" x14ac:dyDescent="0.25">
      <c r="B101" s="120"/>
      <c r="C101" s="120"/>
    </row>
    <row r="102" spans="2:3" x14ac:dyDescent="0.25">
      <c r="B102" s="120"/>
      <c r="C102" s="120"/>
    </row>
    <row r="103" spans="2:3" x14ac:dyDescent="0.25">
      <c r="B103" s="120"/>
      <c r="C103" s="120"/>
    </row>
    <row r="104" spans="2:3" x14ac:dyDescent="0.25">
      <c r="B104" s="120"/>
      <c r="C104" s="120"/>
    </row>
    <row r="105" spans="2:3" x14ac:dyDescent="0.25">
      <c r="B105" s="120"/>
      <c r="C105" s="120"/>
    </row>
    <row r="106" spans="2:3" x14ac:dyDescent="0.25">
      <c r="B106" s="120"/>
      <c r="C106" s="120"/>
    </row>
    <row r="107" spans="2:3" x14ac:dyDescent="0.25">
      <c r="B107" s="120"/>
      <c r="C107" s="120"/>
    </row>
    <row r="108" spans="2:3" x14ac:dyDescent="0.25">
      <c r="B108" s="120"/>
      <c r="C108" s="120"/>
    </row>
    <row r="109" spans="2:3" x14ac:dyDescent="0.25">
      <c r="B109" s="120"/>
      <c r="C109" s="120"/>
    </row>
    <row r="110" spans="2:3" x14ac:dyDescent="0.25">
      <c r="B110" s="120"/>
      <c r="C110" s="120"/>
    </row>
    <row r="111" spans="2:3" x14ac:dyDescent="0.25">
      <c r="B111" s="120"/>
      <c r="C111" s="120"/>
    </row>
    <row r="112" spans="2:3" x14ac:dyDescent="0.25">
      <c r="B112" s="120"/>
      <c r="C112" s="120"/>
    </row>
    <row r="113" spans="2:3" x14ac:dyDescent="0.25">
      <c r="B113" s="120"/>
      <c r="C113" s="120"/>
    </row>
    <row r="114" spans="2:3" x14ac:dyDescent="0.25">
      <c r="B114" s="120"/>
      <c r="C114" s="120"/>
    </row>
    <row r="115" spans="2:3" x14ac:dyDescent="0.25">
      <c r="B115" s="120"/>
      <c r="C115" s="120"/>
    </row>
    <row r="116" spans="2:3" x14ac:dyDescent="0.25">
      <c r="B116" s="120"/>
      <c r="C116" s="120"/>
    </row>
    <row r="117" spans="2:3" x14ac:dyDescent="0.25">
      <c r="B117" s="120"/>
      <c r="C117" s="120"/>
    </row>
    <row r="118" spans="2:3" x14ac:dyDescent="0.25">
      <c r="B118" s="120"/>
      <c r="C118" s="120"/>
    </row>
    <row r="119" spans="2:3" x14ac:dyDescent="0.25">
      <c r="B119" s="120"/>
      <c r="C119" s="120"/>
    </row>
    <row r="120" spans="2:3" x14ac:dyDescent="0.25">
      <c r="B120" s="120"/>
      <c r="C120" s="120"/>
    </row>
    <row r="121" spans="2:3" x14ac:dyDescent="0.25">
      <c r="B121" s="120"/>
      <c r="C121" s="120"/>
    </row>
    <row r="122" spans="2:3" x14ac:dyDescent="0.25">
      <c r="B122" s="120"/>
      <c r="C122" s="120"/>
    </row>
    <row r="123" spans="2:3" x14ac:dyDescent="0.25">
      <c r="B123" s="120"/>
      <c r="C123" s="120"/>
    </row>
    <row r="124" spans="2:3" x14ac:dyDescent="0.25">
      <c r="B124" s="120"/>
      <c r="C124" s="120"/>
    </row>
    <row r="125" spans="2:3" x14ac:dyDescent="0.25">
      <c r="B125" s="120"/>
      <c r="C125" s="120"/>
    </row>
    <row r="126" spans="2:3" x14ac:dyDescent="0.25">
      <c r="B126" s="120"/>
      <c r="C126" s="120"/>
    </row>
    <row r="127" spans="2:3" x14ac:dyDescent="0.25">
      <c r="B127" s="120"/>
      <c r="C127" s="120"/>
    </row>
    <row r="128" spans="2:3" x14ac:dyDescent="0.25">
      <c r="B128" s="120"/>
      <c r="C128" s="120"/>
    </row>
    <row r="129" spans="2:3" x14ac:dyDescent="0.25">
      <c r="B129" s="120"/>
      <c r="C129" s="120"/>
    </row>
    <row r="130" spans="2:3" x14ac:dyDescent="0.25">
      <c r="B130" s="120"/>
      <c r="C130" s="120"/>
    </row>
    <row r="131" spans="2:3" x14ac:dyDescent="0.25">
      <c r="B131" s="120"/>
      <c r="C131" s="120"/>
    </row>
    <row r="132" spans="2:3" x14ac:dyDescent="0.25">
      <c r="B132" s="120"/>
      <c r="C132" s="120"/>
    </row>
    <row r="133" spans="2:3" x14ac:dyDescent="0.25">
      <c r="B133" s="120"/>
      <c r="C133" s="120"/>
    </row>
    <row r="134" spans="2:3" x14ac:dyDescent="0.25">
      <c r="B134" s="120"/>
      <c r="C134" s="120"/>
    </row>
    <row r="135" spans="2:3" x14ac:dyDescent="0.25">
      <c r="B135" s="120"/>
      <c r="C135" s="120"/>
    </row>
    <row r="136" spans="2:3" x14ac:dyDescent="0.25">
      <c r="B136" s="120"/>
      <c r="C136" s="120"/>
    </row>
    <row r="137" spans="2:3" x14ac:dyDescent="0.25">
      <c r="B137" s="120"/>
      <c r="C137" s="120"/>
    </row>
    <row r="138" spans="2:3" x14ac:dyDescent="0.25">
      <c r="B138" s="120"/>
      <c r="C138" s="120"/>
    </row>
    <row r="139" spans="2:3" x14ac:dyDescent="0.25">
      <c r="B139" s="120"/>
      <c r="C139" s="120"/>
    </row>
    <row r="140" spans="2:3" x14ac:dyDescent="0.25">
      <c r="B140" s="120"/>
      <c r="C140" s="120"/>
    </row>
    <row r="141" spans="2:3" x14ac:dyDescent="0.25">
      <c r="B141" s="120"/>
      <c r="C141" s="120"/>
    </row>
    <row r="142" spans="2:3" x14ac:dyDescent="0.25">
      <c r="B142" s="120"/>
      <c r="C142" s="120"/>
    </row>
    <row r="143" spans="2:3" x14ac:dyDescent="0.25">
      <c r="B143" s="120"/>
      <c r="C143" s="120"/>
    </row>
    <row r="144" spans="2:3" x14ac:dyDescent="0.25">
      <c r="B144" s="120"/>
      <c r="C144" s="120"/>
    </row>
    <row r="145" spans="2:3" x14ac:dyDescent="0.25">
      <c r="B145" s="120"/>
      <c r="C145" s="120"/>
    </row>
    <row r="146" spans="2:3" x14ac:dyDescent="0.25">
      <c r="B146" s="120"/>
      <c r="C146" s="120"/>
    </row>
    <row r="147" spans="2:3" x14ac:dyDescent="0.25">
      <c r="B147" s="120"/>
      <c r="C147" s="120"/>
    </row>
    <row r="148" spans="2:3" x14ac:dyDescent="0.25">
      <c r="B148" s="120"/>
      <c r="C148" s="120"/>
    </row>
    <row r="149" spans="2:3" x14ac:dyDescent="0.25">
      <c r="B149" s="120"/>
      <c r="C149" s="120"/>
    </row>
    <row r="150" spans="2:3" x14ac:dyDescent="0.25">
      <c r="B150" s="120"/>
      <c r="C150" s="120"/>
    </row>
    <row r="151" spans="2:3" x14ac:dyDescent="0.25">
      <c r="B151" s="120"/>
      <c r="C151" s="120"/>
    </row>
    <row r="152" spans="2:3" x14ac:dyDescent="0.25">
      <c r="B152" s="120"/>
      <c r="C152" s="120"/>
    </row>
    <row r="153" spans="2:3" x14ac:dyDescent="0.25">
      <c r="B153" s="120"/>
      <c r="C153" s="120"/>
    </row>
    <row r="154" spans="2:3" x14ac:dyDescent="0.25">
      <c r="B154" s="120"/>
      <c r="C154" s="120"/>
    </row>
    <row r="155" spans="2:3" x14ac:dyDescent="0.25">
      <c r="B155" s="120"/>
      <c r="C155" s="120"/>
    </row>
    <row r="156" spans="2:3" x14ac:dyDescent="0.25">
      <c r="B156" s="120"/>
      <c r="C156" s="120"/>
    </row>
    <row r="157" spans="2:3" x14ac:dyDescent="0.25">
      <c r="B157" s="120"/>
      <c r="C157" s="120"/>
    </row>
    <row r="158" spans="2:3" x14ac:dyDescent="0.25">
      <c r="B158" s="120"/>
      <c r="C158" s="120"/>
    </row>
    <row r="159" spans="2:3" x14ac:dyDescent="0.25">
      <c r="B159" s="120"/>
      <c r="C159" s="120"/>
    </row>
    <row r="160" spans="2:3" x14ac:dyDescent="0.25">
      <c r="B160" s="120"/>
      <c r="C160" s="120"/>
    </row>
    <row r="161" spans="2:3" x14ac:dyDescent="0.25">
      <c r="B161" s="120"/>
      <c r="C161" s="120"/>
    </row>
    <row r="162" spans="2:3" x14ac:dyDescent="0.25">
      <c r="B162" s="120"/>
      <c r="C162" s="120"/>
    </row>
    <row r="163" spans="2:3" x14ac:dyDescent="0.25">
      <c r="B163" s="120"/>
      <c r="C163" s="120"/>
    </row>
    <row r="164" spans="2:3" x14ac:dyDescent="0.25">
      <c r="B164" s="120"/>
      <c r="C164" s="120"/>
    </row>
    <row r="165" spans="2:3" x14ac:dyDescent="0.25">
      <c r="B165" s="120"/>
      <c r="C165" s="120"/>
    </row>
    <row r="166" spans="2:3" x14ac:dyDescent="0.25">
      <c r="B166" s="120"/>
      <c r="C166" s="120"/>
    </row>
    <row r="167" spans="2:3" x14ac:dyDescent="0.25">
      <c r="B167" s="120"/>
      <c r="C167" s="120"/>
    </row>
    <row r="168" spans="2:3" x14ac:dyDescent="0.25">
      <c r="B168" s="120"/>
      <c r="C168" s="120"/>
    </row>
    <row r="169" spans="2:3" x14ac:dyDescent="0.25">
      <c r="B169" s="120"/>
      <c r="C169" s="120"/>
    </row>
    <row r="170" spans="2:3" x14ac:dyDescent="0.25">
      <c r="B170" s="120"/>
      <c r="C170" s="120"/>
    </row>
    <row r="171" spans="2:3" x14ac:dyDescent="0.25">
      <c r="B171" s="120"/>
      <c r="C171" s="120"/>
    </row>
    <row r="172" spans="2:3" x14ac:dyDescent="0.25">
      <c r="B172" s="120"/>
      <c r="C172" s="120"/>
    </row>
    <row r="173" spans="2:3" x14ac:dyDescent="0.25">
      <c r="B173" s="120"/>
      <c r="C173" s="120"/>
    </row>
    <row r="174" spans="2:3" x14ac:dyDescent="0.25">
      <c r="B174" s="120"/>
      <c r="C174" s="120"/>
    </row>
    <row r="175" spans="2:3" x14ac:dyDescent="0.25">
      <c r="B175" s="120"/>
      <c r="C175" s="120"/>
    </row>
    <row r="176" spans="2:3" x14ac:dyDescent="0.25">
      <c r="B176" s="120"/>
      <c r="C176" s="120"/>
    </row>
    <row r="177" spans="2:3" x14ac:dyDescent="0.25">
      <c r="B177" s="120"/>
      <c r="C177" s="120"/>
    </row>
    <row r="178" spans="2:3" x14ac:dyDescent="0.25">
      <c r="B178" s="120"/>
      <c r="C178" s="120"/>
    </row>
    <row r="179" spans="2:3" x14ac:dyDescent="0.25">
      <c r="B179" s="120"/>
      <c r="C179" s="120"/>
    </row>
    <row r="180" spans="2:3" x14ac:dyDescent="0.25">
      <c r="B180" s="120"/>
      <c r="C180" s="120"/>
    </row>
    <row r="181" spans="2:3" x14ac:dyDescent="0.25">
      <c r="B181" s="120"/>
      <c r="C181" s="120"/>
    </row>
    <row r="182" spans="2:3" x14ac:dyDescent="0.25">
      <c r="B182" s="120"/>
      <c r="C182" s="120"/>
    </row>
    <row r="183" spans="2:3" x14ac:dyDescent="0.25">
      <c r="B183" s="120"/>
      <c r="C183" s="120"/>
    </row>
    <row r="184" spans="2:3" x14ac:dyDescent="0.25">
      <c r="B184" s="120"/>
      <c r="C184" s="120"/>
    </row>
    <row r="185" spans="2:3" x14ac:dyDescent="0.25">
      <c r="B185" s="120"/>
      <c r="C185" s="120"/>
    </row>
    <row r="186" spans="2:3" x14ac:dyDescent="0.25">
      <c r="B186" s="120"/>
      <c r="C186" s="120"/>
    </row>
    <row r="187" spans="2:3" x14ac:dyDescent="0.25">
      <c r="B187" s="120"/>
      <c r="C187" s="120"/>
    </row>
    <row r="188" spans="2:3" x14ac:dyDescent="0.25">
      <c r="B188" s="120"/>
      <c r="C188" s="120"/>
    </row>
    <row r="189" spans="2:3" x14ac:dyDescent="0.25">
      <c r="B189" s="120"/>
      <c r="C189" s="120"/>
    </row>
    <row r="190" spans="2:3" x14ac:dyDescent="0.25">
      <c r="B190" s="120"/>
      <c r="C190" s="120"/>
    </row>
    <row r="191" spans="2:3" x14ac:dyDescent="0.25">
      <c r="B191" s="120"/>
      <c r="C191" s="120"/>
    </row>
    <row r="192" spans="2:3" x14ac:dyDescent="0.25">
      <c r="B192" s="120"/>
      <c r="C192" s="120"/>
    </row>
    <row r="193" spans="2:3" x14ac:dyDescent="0.25">
      <c r="B193" s="120"/>
      <c r="C193" s="120"/>
    </row>
    <row r="194" spans="2:3" x14ac:dyDescent="0.25">
      <c r="B194" s="120"/>
      <c r="C194" s="120"/>
    </row>
    <row r="195" spans="2:3" x14ac:dyDescent="0.25">
      <c r="B195" s="120"/>
      <c r="C195" s="120"/>
    </row>
    <row r="196" spans="2:3" x14ac:dyDescent="0.25">
      <c r="B196" s="120"/>
      <c r="C196" s="120"/>
    </row>
    <row r="197" spans="2:3" x14ac:dyDescent="0.25">
      <c r="B197" s="120"/>
      <c r="C197" s="120"/>
    </row>
    <row r="198" spans="2:3" x14ac:dyDescent="0.25">
      <c r="B198" s="120"/>
      <c r="C198" s="120"/>
    </row>
    <row r="199" spans="2:3" x14ac:dyDescent="0.25">
      <c r="B199" s="120"/>
      <c r="C199" s="120"/>
    </row>
    <row r="200" spans="2:3" x14ac:dyDescent="0.25">
      <c r="B200" s="120"/>
      <c r="C200" s="120"/>
    </row>
    <row r="201" spans="2:3" x14ac:dyDescent="0.25">
      <c r="B201" s="120"/>
      <c r="C201" s="120"/>
    </row>
    <row r="202" spans="2:3" x14ac:dyDescent="0.25">
      <c r="B202" s="120"/>
      <c r="C202" s="120"/>
    </row>
    <row r="203" spans="2:3" x14ac:dyDescent="0.25">
      <c r="B203" s="120"/>
      <c r="C203" s="120"/>
    </row>
    <row r="204" spans="2:3" x14ac:dyDescent="0.25">
      <c r="B204" s="120"/>
      <c r="C204" s="120"/>
    </row>
    <row r="205" spans="2:3" x14ac:dyDescent="0.25">
      <c r="B205" s="120"/>
      <c r="C205" s="120"/>
    </row>
    <row r="206" spans="2:3" x14ac:dyDescent="0.25">
      <c r="B206" s="120"/>
      <c r="C206" s="120"/>
    </row>
    <row r="207" spans="2:3" x14ac:dyDescent="0.25">
      <c r="B207" s="120"/>
      <c r="C207" s="120"/>
    </row>
    <row r="208" spans="2:3" x14ac:dyDescent="0.25">
      <c r="B208" s="120"/>
      <c r="C208" s="120"/>
    </row>
    <row r="209" spans="2:3" x14ac:dyDescent="0.25">
      <c r="B209" s="120"/>
      <c r="C209" s="120"/>
    </row>
    <row r="210" spans="2:3" x14ac:dyDescent="0.25">
      <c r="B210" s="120"/>
      <c r="C210" s="120"/>
    </row>
    <row r="211" spans="2:3" x14ac:dyDescent="0.25">
      <c r="B211" s="120"/>
      <c r="C211" s="120"/>
    </row>
    <row r="212" spans="2:3" x14ac:dyDescent="0.25">
      <c r="B212" s="120"/>
      <c r="C212" s="120"/>
    </row>
    <row r="213" spans="2:3" x14ac:dyDescent="0.25">
      <c r="B213" s="120"/>
      <c r="C213" s="120"/>
    </row>
    <row r="214" spans="2:3" x14ac:dyDescent="0.25">
      <c r="B214" s="120"/>
      <c r="C214" s="120"/>
    </row>
    <row r="215" spans="2:3" x14ac:dyDescent="0.25">
      <c r="B215" s="120"/>
      <c r="C215" s="120"/>
    </row>
    <row r="216" spans="2:3" x14ac:dyDescent="0.25">
      <c r="B216" s="120"/>
      <c r="C216" s="120"/>
    </row>
    <row r="217" spans="2:3" x14ac:dyDescent="0.25">
      <c r="B217" s="120"/>
      <c r="C217" s="120"/>
    </row>
    <row r="218" spans="2:3" x14ac:dyDescent="0.25">
      <c r="B218" s="120"/>
      <c r="C218" s="120"/>
    </row>
    <row r="219" spans="2:3" x14ac:dyDescent="0.25">
      <c r="B219" s="120"/>
      <c r="C219" s="120"/>
    </row>
    <row r="220" spans="2:3" x14ac:dyDescent="0.25">
      <c r="B220" s="120"/>
      <c r="C220" s="120"/>
    </row>
    <row r="221" spans="2:3" x14ac:dyDescent="0.25">
      <c r="B221" s="120"/>
      <c r="C221" s="120"/>
    </row>
    <row r="222" spans="2:3" x14ac:dyDescent="0.25">
      <c r="B222" s="120"/>
      <c r="C222" s="120"/>
    </row>
    <row r="223" spans="2:3" x14ac:dyDescent="0.25">
      <c r="B223" s="120"/>
      <c r="C223" s="120"/>
    </row>
    <row r="224" spans="2:3" x14ac:dyDescent="0.25">
      <c r="B224" s="120"/>
      <c r="C224" s="120"/>
    </row>
    <row r="225" spans="2:3" x14ac:dyDescent="0.25">
      <c r="B225" s="120"/>
      <c r="C225" s="120"/>
    </row>
    <row r="226" spans="2:3" x14ac:dyDescent="0.25">
      <c r="B226" s="120"/>
      <c r="C226" s="120"/>
    </row>
    <row r="227" spans="2:3" x14ac:dyDescent="0.25">
      <c r="B227" s="120"/>
      <c r="C227" s="120"/>
    </row>
    <row r="228" spans="2:3" x14ac:dyDescent="0.25">
      <c r="B228" s="120"/>
      <c r="C228" s="120"/>
    </row>
    <row r="229" spans="2:3" x14ac:dyDescent="0.25">
      <c r="B229" s="120"/>
      <c r="C229" s="120"/>
    </row>
    <row r="230" spans="2:3" x14ac:dyDescent="0.25">
      <c r="B230" s="120"/>
      <c r="C230" s="120"/>
    </row>
    <row r="231" spans="2:3" x14ac:dyDescent="0.25">
      <c r="B231" s="120"/>
      <c r="C231" s="120"/>
    </row>
    <row r="232" spans="2:3" x14ac:dyDescent="0.25">
      <c r="B232" s="120"/>
      <c r="C232" s="120"/>
    </row>
    <row r="233" spans="2:3" x14ac:dyDescent="0.25">
      <c r="B233" s="120"/>
      <c r="C233" s="120"/>
    </row>
    <row r="234" spans="2:3" x14ac:dyDescent="0.25">
      <c r="B234" s="120"/>
      <c r="C234" s="120"/>
    </row>
    <row r="235" spans="2:3" x14ac:dyDescent="0.25">
      <c r="B235" s="120"/>
      <c r="C235" s="120"/>
    </row>
    <row r="236" spans="2:3" x14ac:dyDescent="0.25">
      <c r="B236" s="120"/>
      <c r="C236" s="120"/>
    </row>
    <row r="237" spans="2:3" x14ac:dyDescent="0.25">
      <c r="B237" s="120"/>
      <c r="C237" s="120"/>
    </row>
    <row r="238" spans="2:3" x14ac:dyDescent="0.25">
      <c r="B238" s="120"/>
      <c r="C238" s="120"/>
    </row>
    <row r="239" spans="2:3" x14ac:dyDescent="0.25">
      <c r="B239" s="120"/>
      <c r="C239" s="120"/>
    </row>
    <row r="240" spans="2:3" x14ac:dyDescent="0.25">
      <c r="B240" s="120"/>
      <c r="C240" s="120"/>
    </row>
    <row r="241" spans="2:3" x14ac:dyDescent="0.25">
      <c r="B241" s="120"/>
      <c r="C241" s="120"/>
    </row>
    <row r="242" spans="2:3" x14ac:dyDescent="0.25">
      <c r="B242" s="120"/>
      <c r="C242" s="120"/>
    </row>
    <row r="243" spans="2:3" x14ac:dyDescent="0.25">
      <c r="B243" s="120"/>
      <c r="C243" s="120"/>
    </row>
    <row r="244" spans="2:3" x14ac:dyDescent="0.25">
      <c r="B244" s="120"/>
      <c r="C244" s="120"/>
    </row>
    <row r="245" spans="2:3" x14ac:dyDescent="0.25">
      <c r="B245" s="120"/>
      <c r="C245" s="120"/>
    </row>
    <row r="246" spans="2:3" x14ac:dyDescent="0.25">
      <c r="B246" s="120"/>
      <c r="C246" s="120"/>
    </row>
    <row r="247" spans="2:3" x14ac:dyDescent="0.25">
      <c r="B247" s="120"/>
      <c r="C247" s="120"/>
    </row>
    <row r="248" spans="2:3" x14ac:dyDescent="0.25">
      <c r="B248" s="120"/>
      <c r="C248" s="120"/>
    </row>
    <row r="249" spans="2:3" x14ac:dyDescent="0.25">
      <c r="B249" s="120"/>
      <c r="C249" s="120"/>
    </row>
    <row r="250" spans="2:3" x14ac:dyDescent="0.25">
      <c r="B250" s="120"/>
      <c r="C250" s="120"/>
    </row>
    <row r="251" spans="2:3" x14ac:dyDescent="0.25">
      <c r="B251" s="120"/>
      <c r="C251" s="120"/>
    </row>
    <row r="252" spans="2:3" x14ac:dyDescent="0.25">
      <c r="B252" s="120"/>
      <c r="C252" s="120"/>
    </row>
    <row r="253" spans="2:3" x14ac:dyDescent="0.25">
      <c r="B253" s="120"/>
      <c r="C253" s="120"/>
    </row>
    <row r="254" spans="2:3" x14ac:dyDescent="0.25">
      <c r="B254" s="120"/>
      <c r="C254" s="120"/>
    </row>
    <row r="255" spans="2:3" x14ac:dyDescent="0.25">
      <c r="B255" s="120"/>
      <c r="C255" s="120"/>
    </row>
    <row r="256" spans="2:3" x14ac:dyDescent="0.25">
      <c r="B256" s="120"/>
      <c r="C256" s="120"/>
    </row>
    <row r="257" spans="2:3" x14ac:dyDescent="0.25">
      <c r="B257" s="120"/>
      <c r="C257" s="120"/>
    </row>
    <row r="258" spans="2:3" x14ac:dyDescent="0.25">
      <c r="B258" s="120"/>
      <c r="C258" s="120"/>
    </row>
    <row r="259" spans="2:3" x14ac:dyDescent="0.25">
      <c r="B259" s="120"/>
      <c r="C259" s="120"/>
    </row>
    <row r="260" spans="2:3" x14ac:dyDescent="0.25">
      <c r="B260" s="120"/>
      <c r="C260" s="120"/>
    </row>
    <row r="261" spans="2:3" x14ac:dyDescent="0.25">
      <c r="B261" s="120"/>
      <c r="C261" s="120"/>
    </row>
    <row r="262" spans="2:3" x14ac:dyDescent="0.25">
      <c r="B262" s="120"/>
      <c r="C262" s="120"/>
    </row>
    <row r="263" spans="2:3" x14ac:dyDescent="0.25">
      <c r="B263" s="120"/>
      <c r="C263" s="120"/>
    </row>
    <row r="264" spans="2:3" x14ac:dyDescent="0.25">
      <c r="B264" s="120"/>
      <c r="C264" s="120"/>
    </row>
    <row r="265" spans="2:3" x14ac:dyDescent="0.25">
      <c r="B265" s="120"/>
      <c r="C265" s="120"/>
    </row>
    <row r="266" spans="2:3" x14ac:dyDescent="0.25">
      <c r="B266" s="120"/>
      <c r="C266" s="120"/>
    </row>
    <row r="267" spans="2:3" x14ac:dyDescent="0.25">
      <c r="B267" s="120"/>
      <c r="C267" s="120"/>
    </row>
    <row r="268" spans="2:3" x14ac:dyDescent="0.25">
      <c r="B268" s="120"/>
      <c r="C268" s="120"/>
    </row>
    <row r="269" spans="2:3" x14ac:dyDescent="0.25">
      <c r="B269" s="120"/>
      <c r="C269" s="120"/>
    </row>
    <row r="270" spans="2:3" x14ac:dyDescent="0.25">
      <c r="B270" s="120"/>
      <c r="C270" s="120"/>
    </row>
    <row r="271" spans="2:3" x14ac:dyDescent="0.25">
      <c r="B271" s="120"/>
      <c r="C271" s="120"/>
    </row>
    <row r="272" spans="2:3" x14ac:dyDescent="0.25">
      <c r="B272" s="120"/>
      <c r="C272" s="120"/>
    </row>
    <row r="273" spans="2:3" x14ac:dyDescent="0.25">
      <c r="B273" s="120"/>
      <c r="C273" s="120"/>
    </row>
    <row r="274" spans="2:3" x14ac:dyDescent="0.25">
      <c r="B274" s="120"/>
      <c r="C274" s="120"/>
    </row>
    <row r="275" spans="2:3" x14ac:dyDescent="0.25">
      <c r="B275" s="120"/>
      <c r="C275" s="120"/>
    </row>
    <row r="276" spans="2:3" x14ac:dyDescent="0.25">
      <c r="B276" s="120"/>
      <c r="C276" s="120"/>
    </row>
    <row r="277" spans="2:3" x14ac:dyDescent="0.25">
      <c r="B277" s="120"/>
      <c r="C277" s="120"/>
    </row>
    <row r="278" spans="2:3" x14ac:dyDescent="0.25">
      <c r="B278" s="120"/>
      <c r="C278" s="120"/>
    </row>
    <row r="279" spans="2:3" x14ac:dyDescent="0.25">
      <c r="B279" s="120"/>
      <c r="C279" s="120"/>
    </row>
    <row r="280" spans="2:3" x14ac:dyDescent="0.25">
      <c r="B280" s="120"/>
      <c r="C280" s="120"/>
    </row>
    <row r="281" spans="2:3" x14ac:dyDescent="0.25">
      <c r="B281" s="120"/>
      <c r="C281" s="120"/>
    </row>
    <row r="282" spans="2:3" x14ac:dyDescent="0.25">
      <c r="B282" s="120"/>
      <c r="C282" s="120"/>
    </row>
    <row r="283" spans="2:3" x14ac:dyDescent="0.25">
      <c r="B283" s="120"/>
      <c r="C283" s="120"/>
    </row>
    <row r="284" spans="2:3" x14ac:dyDescent="0.25">
      <c r="B284" s="120"/>
      <c r="C284" s="120"/>
    </row>
    <row r="285" spans="2:3" x14ac:dyDescent="0.25">
      <c r="B285" s="120"/>
      <c r="C285" s="120"/>
    </row>
    <row r="286" spans="2:3" x14ac:dyDescent="0.25">
      <c r="B286" s="120"/>
      <c r="C286" s="120"/>
    </row>
    <row r="287" spans="2:3" x14ac:dyDescent="0.25">
      <c r="B287" s="120"/>
      <c r="C287" s="120"/>
    </row>
    <row r="288" spans="2:3" x14ac:dyDescent="0.25">
      <c r="B288" s="120"/>
      <c r="C288" s="120"/>
    </row>
    <row r="289" spans="2:3" x14ac:dyDescent="0.25">
      <c r="B289" s="120"/>
      <c r="C289" s="120"/>
    </row>
    <row r="290" spans="2:3" x14ac:dyDescent="0.25">
      <c r="B290" s="120"/>
      <c r="C290" s="120"/>
    </row>
    <row r="291" spans="2:3" x14ac:dyDescent="0.25">
      <c r="B291" s="120"/>
      <c r="C291" s="120"/>
    </row>
    <row r="292" spans="2:3" x14ac:dyDescent="0.25">
      <c r="B292" s="120"/>
      <c r="C292" s="120"/>
    </row>
    <row r="293" spans="2:3" x14ac:dyDescent="0.25">
      <c r="B293" s="120"/>
      <c r="C293" s="120"/>
    </row>
    <row r="294" spans="2:3" x14ac:dyDescent="0.25">
      <c r="B294" s="120"/>
      <c r="C294" s="120"/>
    </row>
    <row r="295" spans="2:3" x14ac:dyDescent="0.25">
      <c r="B295" s="120"/>
      <c r="C295" s="120"/>
    </row>
    <row r="296" spans="2:3" x14ac:dyDescent="0.25">
      <c r="B296" s="120"/>
      <c r="C296" s="120"/>
    </row>
    <row r="297" spans="2:3" x14ac:dyDescent="0.25">
      <c r="B297" s="120"/>
      <c r="C297" s="120"/>
    </row>
    <row r="298" spans="2:3" x14ac:dyDescent="0.25">
      <c r="B298" s="120"/>
      <c r="C298" s="120"/>
    </row>
    <row r="299" spans="2:3" x14ac:dyDescent="0.25">
      <c r="B299" s="120"/>
      <c r="C299" s="120"/>
    </row>
    <row r="300" spans="2:3" x14ac:dyDescent="0.25">
      <c r="B300" s="120"/>
      <c r="C300" s="120"/>
    </row>
    <row r="301" spans="2:3" x14ac:dyDescent="0.25">
      <c r="B301" s="120"/>
      <c r="C301" s="120"/>
    </row>
    <row r="302" spans="2:3" x14ac:dyDescent="0.25">
      <c r="B302" s="120"/>
      <c r="C302" s="120"/>
    </row>
    <row r="303" spans="2:3" x14ac:dyDescent="0.25">
      <c r="B303" s="120"/>
      <c r="C303" s="120"/>
    </row>
    <row r="304" spans="2:3" x14ac:dyDescent="0.25">
      <c r="B304" s="120"/>
      <c r="C304" s="120"/>
    </row>
    <row r="305" spans="2:3" x14ac:dyDescent="0.25">
      <c r="B305" s="120"/>
      <c r="C305" s="120"/>
    </row>
    <row r="306" spans="2:3" x14ac:dyDescent="0.25">
      <c r="B306" s="120"/>
      <c r="C306" s="120"/>
    </row>
    <row r="307" spans="2:3" x14ac:dyDescent="0.25">
      <c r="B307" s="120"/>
      <c r="C307" s="120"/>
    </row>
    <row r="308" spans="2:3" x14ac:dyDescent="0.25">
      <c r="B308" s="120"/>
      <c r="C308" s="120"/>
    </row>
    <row r="309" spans="2:3" x14ac:dyDescent="0.25">
      <c r="B309" s="120"/>
      <c r="C309" s="120"/>
    </row>
    <row r="310" spans="2:3" x14ac:dyDescent="0.25">
      <c r="B310" s="120"/>
      <c r="C310" s="120"/>
    </row>
    <row r="311" spans="2:3" x14ac:dyDescent="0.25">
      <c r="B311" s="120"/>
      <c r="C311" s="120"/>
    </row>
    <row r="312" spans="2:3" x14ac:dyDescent="0.25">
      <c r="B312" s="120"/>
      <c r="C312" s="120"/>
    </row>
    <row r="313" spans="2:3" x14ac:dyDescent="0.25">
      <c r="B313" s="120"/>
      <c r="C313" s="120"/>
    </row>
    <row r="314" spans="2:3" x14ac:dyDescent="0.25">
      <c r="B314" s="120"/>
      <c r="C314" s="120"/>
    </row>
    <row r="315" spans="2:3" x14ac:dyDescent="0.25">
      <c r="B315" s="120"/>
      <c r="C315" s="120"/>
    </row>
    <row r="316" spans="2:3" x14ac:dyDescent="0.25">
      <c r="B316" s="120"/>
      <c r="C316" s="120"/>
    </row>
    <row r="317" spans="2:3" x14ac:dyDescent="0.25">
      <c r="B317" s="120"/>
      <c r="C317" s="120"/>
    </row>
    <row r="318" spans="2:3" x14ac:dyDescent="0.25">
      <c r="B318" s="120"/>
      <c r="C318" s="120"/>
    </row>
    <row r="319" spans="2:3" x14ac:dyDescent="0.25">
      <c r="B319" s="120"/>
      <c r="C319" s="120"/>
    </row>
    <row r="320" spans="2:3" x14ac:dyDescent="0.25">
      <c r="B320" s="120"/>
      <c r="C320" s="120"/>
    </row>
    <row r="321" spans="2:3" x14ac:dyDescent="0.25">
      <c r="B321" s="120"/>
      <c r="C321" s="120"/>
    </row>
    <row r="322" spans="2:3" x14ac:dyDescent="0.25">
      <c r="B322" s="120"/>
      <c r="C322" s="120"/>
    </row>
    <row r="323" spans="2:3" x14ac:dyDescent="0.25">
      <c r="B323" s="120"/>
      <c r="C323" s="120"/>
    </row>
    <row r="324" spans="2:3" x14ac:dyDescent="0.25">
      <c r="B324" s="120"/>
      <c r="C324" s="120"/>
    </row>
    <row r="325" spans="2:3" x14ac:dyDescent="0.25">
      <c r="B325" s="120"/>
      <c r="C325" s="120"/>
    </row>
    <row r="326" spans="2:3" x14ac:dyDescent="0.25">
      <c r="B326" s="120"/>
      <c r="C326" s="120"/>
    </row>
    <row r="327" spans="2:3" x14ac:dyDescent="0.25">
      <c r="B327" s="120"/>
      <c r="C327" s="120"/>
    </row>
    <row r="328" spans="2:3" x14ac:dyDescent="0.25">
      <c r="B328" s="120"/>
      <c r="C328" s="120"/>
    </row>
    <row r="329" spans="2:3" x14ac:dyDescent="0.25">
      <c r="B329" s="120"/>
      <c r="C329" s="120"/>
    </row>
    <row r="330" spans="2:3" x14ac:dyDescent="0.25">
      <c r="B330" s="120"/>
      <c r="C330" s="120"/>
    </row>
    <row r="331" spans="2:3" x14ac:dyDescent="0.25">
      <c r="B331" s="120"/>
      <c r="C331" s="120"/>
    </row>
    <row r="332" spans="2:3" x14ac:dyDescent="0.25">
      <c r="B332" s="120"/>
      <c r="C332" s="120"/>
    </row>
    <row r="333" spans="2:3" x14ac:dyDescent="0.25">
      <c r="B333" s="120"/>
      <c r="C333" s="120"/>
    </row>
    <row r="334" spans="2:3" x14ac:dyDescent="0.25">
      <c r="B334" s="120"/>
      <c r="C334" s="120"/>
    </row>
    <row r="335" spans="2:3" x14ac:dyDescent="0.25">
      <c r="B335" s="120"/>
      <c r="C335" s="120"/>
    </row>
    <row r="336" spans="2:3" x14ac:dyDescent="0.25">
      <c r="B336" s="120"/>
      <c r="C336" s="120"/>
    </row>
    <row r="337" spans="2:3" x14ac:dyDescent="0.25">
      <c r="B337" s="120"/>
      <c r="C337" s="120"/>
    </row>
    <row r="338" spans="2:3" x14ac:dyDescent="0.25">
      <c r="B338" s="120"/>
      <c r="C338" s="120"/>
    </row>
    <row r="339" spans="2:3" x14ac:dyDescent="0.25">
      <c r="B339" s="120"/>
      <c r="C339" s="120"/>
    </row>
    <row r="340" spans="2:3" x14ac:dyDescent="0.25">
      <c r="B340" s="120"/>
      <c r="C340" s="120"/>
    </row>
    <row r="341" spans="2:3" x14ac:dyDescent="0.25">
      <c r="B341" s="120"/>
      <c r="C341" s="120"/>
    </row>
    <row r="342" spans="2:3" x14ac:dyDescent="0.25">
      <c r="B342" s="120"/>
      <c r="C342" s="120"/>
    </row>
    <row r="343" spans="2:3" x14ac:dyDescent="0.25">
      <c r="B343" s="120"/>
      <c r="C343" s="120"/>
    </row>
    <row r="344" spans="2:3" x14ac:dyDescent="0.25">
      <c r="B344" s="120"/>
      <c r="C344" s="120"/>
    </row>
    <row r="345" spans="2:3" x14ac:dyDescent="0.25">
      <c r="B345" s="120"/>
      <c r="C345" s="120"/>
    </row>
    <row r="346" spans="2:3" x14ac:dyDescent="0.25">
      <c r="B346" s="120"/>
      <c r="C346" s="120"/>
    </row>
    <row r="347" spans="2:3" x14ac:dyDescent="0.25">
      <c r="B347" s="120"/>
      <c r="C347" s="120"/>
    </row>
    <row r="348" spans="2:3" x14ac:dyDescent="0.25">
      <c r="B348" s="120"/>
      <c r="C348" s="120"/>
    </row>
    <row r="349" spans="2:3" x14ac:dyDescent="0.25">
      <c r="B349" s="120"/>
      <c r="C349" s="120"/>
    </row>
    <row r="350" spans="2:3" x14ac:dyDescent="0.25">
      <c r="B350" s="120"/>
      <c r="C350" s="120"/>
    </row>
    <row r="351" spans="2:3" x14ac:dyDescent="0.25">
      <c r="B351" s="120"/>
      <c r="C351" s="120"/>
    </row>
    <row r="352" spans="2:3" x14ac:dyDescent="0.25">
      <c r="B352" s="120"/>
      <c r="C352" s="120"/>
    </row>
    <row r="353" spans="2:3" x14ac:dyDescent="0.25">
      <c r="B353" s="120"/>
      <c r="C353" s="120"/>
    </row>
    <row r="354" spans="2:3" x14ac:dyDescent="0.25">
      <c r="B354" s="120"/>
      <c r="C354" s="120"/>
    </row>
    <row r="355" spans="2:3" x14ac:dyDescent="0.25">
      <c r="B355" s="120"/>
      <c r="C355" s="120"/>
    </row>
    <row r="356" spans="2:3" x14ac:dyDescent="0.25">
      <c r="B356" s="120"/>
      <c r="C356" s="120"/>
    </row>
    <row r="357" spans="2:3" x14ac:dyDescent="0.25">
      <c r="B357" s="120"/>
      <c r="C357" s="120"/>
    </row>
    <row r="358" spans="2:3" x14ac:dyDescent="0.25">
      <c r="B358" s="120"/>
      <c r="C358" s="120"/>
    </row>
    <row r="359" spans="2:3" x14ac:dyDescent="0.25">
      <c r="B359" s="120"/>
      <c r="C359" s="120"/>
    </row>
    <row r="360" spans="2:3" x14ac:dyDescent="0.25">
      <c r="B360" s="120"/>
      <c r="C360" s="120"/>
    </row>
    <row r="361" spans="2:3" x14ac:dyDescent="0.25">
      <c r="B361" s="120"/>
      <c r="C361" s="120"/>
    </row>
    <row r="362" spans="2:3" x14ac:dyDescent="0.25">
      <c r="B362" s="120"/>
      <c r="C362" s="120"/>
    </row>
    <row r="363" spans="2:3" x14ac:dyDescent="0.25">
      <c r="B363" s="120"/>
      <c r="C363" s="120"/>
    </row>
    <row r="364" spans="2:3" x14ac:dyDescent="0.25">
      <c r="B364" s="120"/>
      <c r="C364" s="120"/>
    </row>
    <row r="365" spans="2:3" x14ac:dyDescent="0.25">
      <c r="B365" s="120"/>
      <c r="C365" s="120"/>
    </row>
    <row r="366" spans="2:3" x14ac:dyDescent="0.25">
      <c r="B366" s="120"/>
      <c r="C366" s="120"/>
    </row>
    <row r="367" spans="2:3" x14ac:dyDescent="0.25">
      <c r="B367" s="120"/>
      <c r="C367" s="120"/>
    </row>
    <row r="368" spans="2:3" x14ac:dyDescent="0.25">
      <c r="B368" s="120"/>
      <c r="C368" s="120"/>
    </row>
    <row r="369" spans="2:3" x14ac:dyDescent="0.25">
      <c r="B369" s="120"/>
      <c r="C369" s="120"/>
    </row>
    <row r="370" spans="2:3" x14ac:dyDescent="0.25">
      <c r="B370" s="120"/>
      <c r="C370" s="120"/>
    </row>
    <row r="371" spans="2:3" x14ac:dyDescent="0.25">
      <c r="B371" s="120"/>
      <c r="C371" s="120"/>
    </row>
    <row r="372" spans="2:3" x14ac:dyDescent="0.25">
      <c r="B372" s="120"/>
      <c r="C372" s="120"/>
    </row>
    <row r="373" spans="2:3" x14ac:dyDescent="0.25">
      <c r="B373" s="120"/>
      <c r="C373" s="120"/>
    </row>
    <row r="374" spans="2:3" x14ac:dyDescent="0.25">
      <c r="B374" s="120"/>
      <c r="C374" s="120"/>
    </row>
    <row r="375" spans="2:3" x14ac:dyDescent="0.25">
      <c r="B375" s="120"/>
      <c r="C375" s="120"/>
    </row>
    <row r="376" spans="2:3" x14ac:dyDescent="0.25">
      <c r="B376" s="120"/>
      <c r="C376" s="120"/>
    </row>
    <row r="377" spans="2:3" x14ac:dyDescent="0.25">
      <c r="B377" s="120"/>
      <c r="C377" s="120"/>
    </row>
    <row r="378" spans="2:3" x14ac:dyDescent="0.25">
      <c r="B378" s="120"/>
      <c r="C378" s="120"/>
    </row>
    <row r="379" spans="2:3" x14ac:dyDescent="0.25">
      <c r="B379" s="120"/>
      <c r="C379" s="120"/>
    </row>
    <row r="380" spans="2:3" x14ac:dyDescent="0.25">
      <c r="B380" s="120"/>
      <c r="C380" s="120"/>
    </row>
    <row r="381" spans="2:3" x14ac:dyDescent="0.25">
      <c r="B381" s="120"/>
      <c r="C381" s="120"/>
    </row>
    <row r="382" spans="2:3" x14ac:dyDescent="0.25">
      <c r="B382" s="120"/>
      <c r="C382" s="120"/>
    </row>
    <row r="383" spans="2:3" x14ac:dyDescent="0.25">
      <c r="B383" s="120"/>
      <c r="C383" s="120"/>
    </row>
    <row r="384" spans="2:3" x14ac:dyDescent="0.25">
      <c r="B384" s="120"/>
      <c r="C384" s="120"/>
    </row>
    <row r="385" spans="2:3" x14ac:dyDescent="0.25">
      <c r="B385" s="120"/>
      <c r="C385" s="120"/>
    </row>
    <row r="386" spans="2:3" x14ac:dyDescent="0.25">
      <c r="B386" s="120"/>
      <c r="C386" s="120"/>
    </row>
    <row r="387" spans="2:3" x14ac:dyDescent="0.25">
      <c r="B387" s="120"/>
      <c r="C387" s="120"/>
    </row>
    <row r="388" spans="2:3" x14ac:dyDescent="0.25">
      <c r="B388" s="120"/>
      <c r="C388" s="120"/>
    </row>
    <row r="389" spans="2:3" x14ac:dyDescent="0.25">
      <c r="B389" s="120"/>
      <c r="C389" s="120"/>
    </row>
    <row r="390" spans="2:3" x14ac:dyDescent="0.25">
      <c r="B390" s="120"/>
      <c r="C390" s="120"/>
    </row>
    <row r="391" spans="2:3" x14ac:dyDescent="0.25">
      <c r="B391" s="120"/>
      <c r="C391" s="120"/>
    </row>
    <row r="392" spans="2:3" x14ac:dyDescent="0.25">
      <c r="B392" s="120"/>
      <c r="C392" s="120"/>
    </row>
    <row r="393" spans="2:3" x14ac:dyDescent="0.25">
      <c r="B393" s="120"/>
      <c r="C393" s="120"/>
    </row>
    <row r="394" spans="2:3" x14ac:dyDescent="0.25">
      <c r="B394" s="120"/>
      <c r="C394" s="120"/>
    </row>
    <row r="395" spans="2:3" x14ac:dyDescent="0.25">
      <c r="B395" s="120"/>
      <c r="C395" s="120"/>
    </row>
    <row r="396" spans="2:3" x14ac:dyDescent="0.25">
      <c r="B396" s="120"/>
      <c r="C396" s="120"/>
    </row>
    <row r="397" spans="2:3" x14ac:dyDescent="0.25">
      <c r="B397" s="120"/>
      <c r="C397" s="120"/>
    </row>
    <row r="398" spans="2:3" x14ac:dyDescent="0.25">
      <c r="B398" s="120"/>
      <c r="C398" s="120"/>
    </row>
    <row r="399" spans="2:3" x14ac:dyDescent="0.25">
      <c r="B399" s="120"/>
      <c r="C399" s="120"/>
    </row>
    <row r="400" spans="2:3" x14ac:dyDescent="0.25">
      <c r="B400" s="120"/>
      <c r="C400" s="120"/>
    </row>
    <row r="401" spans="2:3" x14ac:dyDescent="0.25">
      <c r="B401" s="120"/>
      <c r="C401" s="120"/>
    </row>
    <row r="402" spans="2:3" x14ac:dyDescent="0.25">
      <c r="B402" s="120"/>
      <c r="C402" s="120"/>
    </row>
    <row r="403" spans="2:3" x14ac:dyDescent="0.25">
      <c r="B403" s="120"/>
      <c r="C403" s="120"/>
    </row>
    <row r="404" spans="2:3" x14ac:dyDescent="0.25">
      <c r="B404" s="120"/>
      <c r="C404" s="120"/>
    </row>
    <row r="405" spans="2:3" x14ac:dyDescent="0.25">
      <c r="B405" s="120"/>
      <c r="C405" s="120"/>
    </row>
    <row r="406" spans="2:3" x14ac:dyDescent="0.25">
      <c r="B406" s="120"/>
      <c r="C406" s="120"/>
    </row>
    <row r="407" spans="2:3" x14ac:dyDescent="0.25">
      <c r="B407" s="120"/>
      <c r="C407" s="120"/>
    </row>
    <row r="408" spans="2:3" x14ac:dyDescent="0.25">
      <c r="B408" s="120"/>
      <c r="C408" s="120"/>
    </row>
    <row r="409" spans="2:3" x14ac:dyDescent="0.25">
      <c r="B409" s="120"/>
      <c r="C409" s="120"/>
    </row>
    <row r="410" spans="2:3" x14ac:dyDescent="0.25">
      <c r="B410" s="120"/>
      <c r="C410" s="120"/>
    </row>
    <row r="411" spans="2:3" x14ac:dyDescent="0.25">
      <c r="B411" s="120"/>
      <c r="C411" s="120"/>
    </row>
    <row r="412" spans="2:3" x14ac:dyDescent="0.25">
      <c r="B412" s="120"/>
      <c r="C412" s="120"/>
    </row>
    <row r="413" spans="2:3" x14ac:dyDescent="0.25">
      <c r="B413" s="120"/>
      <c r="C413" s="120"/>
    </row>
    <row r="414" spans="2:3" x14ac:dyDescent="0.25">
      <c r="B414" s="120"/>
      <c r="C414" s="120"/>
    </row>
    <row r="415" spans="2:3" x14ac:dyDescent="0.25">
      <c r="B415" s="120"/>
      <c r="C415" s="120"/>
    </row>
    <row r="416" spans="2:3" x14ac:dyDescent="0.25">
      <c r="B416" s="120"/>
      <c r="C416" s="120"/>
    </row>
    <row r="417" spans="2:3" x14ac:dyDescent="0.25">
      <c r="B417" s="120"/>
      <c r="C417" s="120"/>
    </row>
    <row r="418" spans="2:3" x14ac:dyDescent="0.25">
      <c r="B418" s="120"/>
      <c r="C418" s="120"/>
    </row>
    <row r="419" spans="2:3" x14ac:dyDescent="0.25">
      <c r="B419" s="120"/>
      <c r="C419" s="120"/>
    </row>
    <row r="420" spans="2:3" x14ac:dyDescent="0.25">
      <c r="B420" s="120"/>
      <c r="C420" s="120"/>
    </row>
    <row r="421" spans="2:3" x14ac:dyDescent="0.25">
      <c r="B421" s="120"/>
      <c r="C421" s="120"/>
    </row>
    <row r="422" spans="2:3" x14ac:dyDescent="0.25">
      <c r="B422" s="120"/>
      <c r="C422" s="120"/>
    </row>
    <row r="423" spans="2:3" x14ac:dyDescent="0.25">
      <c r="B423" s="120"/>
      <c r="C423" s="120"/>
    </row>
    <row r="424" spans="2:3" x14ac:dyDescent="0.25">
      <c r="B424" s="120"/>
      <c r="C424" s="120"/>
    </row>
    <row r="425" spans="2:3" x14ac:dyDescent="0.25">
      <c r="B425" s="120"/>
      <c r="C425" s="120"/>
    </row>
    <row r="426" spans="2:3" x14ac:dyDescent="0.25">
      <c r="B426" s="120"/>
      <c r="C426" s="120"/>
    </row>
    <row r="427" spans="2:3" x14ac:dyDescent="0.25">
      <c r="B427" s="120"/>
      <c r="C427" s="120"/>
    </row>
    <row r="428" spans="2:3" x14ac:dyDescent="0.25">
      <c r="B428" s="120"/>
      <c r="C428" s="120"/>
    </row>
    <row r="429" spans="2:3" x14ac:dyDescent="0.25">
      <c r="B429" s="120"/>
      <c r="C429" s="120"/>
    </row>
    <row r="430" spans="2:3" x14ac:dyDescent="0.25">
      <c r="B430" s="120"/>
      <c r="C430" s="120"/>
    </row>
    <row r="431" spans="2:3" x14ac:dyDescent="0.25">
      <c r="B431" s="120"/>
      <c r="C431" s="120"/>
    </row>
    <row r="432" spans="2:3" x14ac:dyDescent="0.25">
      <c r="B432" s="120"/>
      <c r="C432" s="120"/>
    </row>
    <row r="433" spans="2:3" x14ac:dyDescent="0.25">
      <c r="B433" s="120"/>
      <c r="C433" s="120"/>
    </row>
    <row r="434" spans="2:3" x14ac:dyDescent="0.25">
      <c r="B434" s="120"/>
      <c r="C434" s="120"/>
    </row>
    <row r="435" spans="2:3" x14ac:dyDescent="0.25">
      <c r="B435" s="120"/>
      <c r="C435" s="120"/>
    </row>
    <row r="436" spans="2:3" x14ac:dyDescent="0.25">
      <c r="B436" s="120"/>
      <c r="C436" s="120"/>
    </row>
    <row r="437" spans="2:3" x14ac:dyDescent="0.25">
      <c r="B437" s="120"/>
      <c r="C437" s="120"/>
    </row>
    <row r="438" spans="2:3" x14ac:dyDescent="0.25">
      <c r="B438" s="120"/>
      <c r="C438" s="120"/>
    </row>
    <row r="439" spans="2:3" x14ac:dyDescent="0.25">
      <c r="B439" s="120"/>
      <c r="C439" s="120"/>
    </row>
    <row r="440" spans="2:3" x14ac:dyDescent="0.25">
      <c r="B440" s="120"/>
      <c r="C440" s="120"/>
    </row>
    <row r="441" spans="2:3" x14ac:dyDescent="0.25">
      <c r="B441" s="120"/>
      <c r="C441" s="120"/>
    </row>
    <row r="442" spans="2:3" x14ac:dyDescent="0.25">
      <c r="B442" s="120"/>
      <c r="C442" s="120"/>
    </row>
    <row r="443" spans="2:3" x14ac:dyDescent="0.25">
      <c r="B443" s="120"/>
      <c r="C443" s="120"/>
    </row>
    <row r="444" spans="2:3" x14ac:dyDescent="0.25">
      <c r="B444" s="120"/>
      <c r="C444" s="120"/>
    </row>
    <row r="445" spans="2:3" x14ac:dyDescent="0.25">
      <c r="B445" s="120"/>
      <c r="C445" s="120"/>
    </row>
    <row r="446" spans="2:3" x14ac:dyDescent="0.25">
      <c r="B446" s="120"/>
      <c r="C446" s="120"/>
    </row>
    <row r="447" spans="2:3" x14ac:dyDescent="0.25">
      <c r="B447" s="120"/>
      <c r="C447" s="120"/>
    </row>
    <row r="448" spans="2:3" x14ac:dyDescent="0.25">
      <c r="B448" s="120"/>
      <c r="C448" s="120"/>
    </row>
    <row r="449" spans="2:3" x14ac:dyDescent="0.25">
      <c r="B449" s="120"/>
      <c r="C449" s="120"/>
    </row>
    <row r="450" spans="2:3" x14ac:dyDescent="0.25">
      <c r="B450" s="120"/>
      <c r="C450" s="120"/>
    </row>
    <row r="451" spans="2:3" x14ac:dyDescent="0.25">
      <c r="B451" s="120"/>
      <c r="C451" s="120"/>
    </row>
    <row r="452" spans="2:3" x14ac:dyDescent="0.25">
      <c r="B452" s="120"/>
      <c r="C452" s="120"/>
    </row>
    <row r="453" spans="2:3" x14ac:dyDescent="0.25">
      <c r="B453" s="120"/>
      <c r="C453" s="120"/>
    </row>
    <row r="454" spans="2:3" x14ac:dyDescent="0.25">
      <c r="B454" s="120"/>
      <c r="C454" s="120"/>
    </row>
    <row r="455" spans="2:3" x14ac:dyDescent="0.25">
      <c r="B455" s="120"/>
      <c r="C455" s="120"/>
    </row>
    <row r="456" spans="2:3" x14ac:dyDescent="0.25">
      <c r="B456" s="120"/>
      <c r="C456" s="120"/>
    </row>
    <row r="457" spans="2:3" x14ac:dyDescent="0.25">
      <c r="B457" s="120"/>
      <c r="C457" s="120"/>
    </row>
    <row r="458" spans="2:3" x14ac:dyDescent="0.25">
      <c r="B458" s="120"/>
      <c r="C458" s="120"/>
    </row>
    <row r="459" spans="2:3" x14ac:dyDescent="0.25">
      <c r="B459" s="120"/>
      <c r="C459" s="120"/>
    </row>
    <row r="460" spans="2:3" x14ac:dyDescent="0.25">
      <c r="B460" s="120"/>
      <c r="C460" s="120"/>
    </row>
    <row r="461" spans="2:3" x14ac:dyDescent="0.25">
      <c r="B461" s="120"/>
      <c r="C461" s="120"/>
    </row>
    <row r="462" spans="2:3" x14ac:dyDescent="0.25">
      <c r="B462" s="120"/>
      <c r="C462" s="120"/>
    </row>
    <row r="463" spans="2:3" x14ac:dyDescent="0.25">
      <c r="B463" s="120"/>
      <c r="C463" s="120"/>
    </row>
    <row r="464" spans="2:3" x14ac:dyDescent="0.25">
      <c r="B464" s="120"/>
      <c r="C464" s="120"/>
    </row>
    <row r="465" spans="2:3" x14ac:dyDescent="0.25">
      <c r="B465" s="120"/>
      <c r="C465" s="120"/>
    </row>
    <row r="466" spans="2:3" x14ac:dyDescent="0.25">
      <c r="B466" s="120"/>
      <c r="C466" s="120"/>
    </row>
    <row r="467" spans="2:3" x14ac:dyDescent="0.25">
      <c r="B467" s="120"/>
      <c r="C467" s="120"/>
    </row>
    <row r="468" spans="2:3" x14ac:dyDescent="0.25">
      <c r="B468" s="120"/>
      <c r="C468" s="120"/>
    </row>
    <row r="469" spans="2:3" x14ac:dyDescent="0.25">
      <c r="B469" s="120"/>
      <c r="C469" s="120"/>
    </row>
    <row r="470" spans="2:3" x14ac:dyDescent="0.25">
      <c r="B470" s="120"/>
      <c r="C470" s="120"/>
    </row>
    <row r="471" spans="2:3" x14ac:dyDescent="0.25">
      <c r="B471" s="120"/>
      <c r="C471" s="120"/>
    </row>
    <row r="472" spans="2:3" x14ac:dyDescent="0.25">
      <c r="B472" s="120"/>
      <c r="C472" s="120"/>
    </row>
    <row r="473" spans="2:3" x14ac:dyDescent="0.25">
      <c r="B473" s="120"/>
      <c r="C473" s="120"/>
    </row>
    <row r="474" spans="2:3" x14ac:dyDescent="0.25">
      <c r="B474" s="120"/>
      <c r="C474" s="120"/>
    </row>
    <row r="475" spans="2:3" x14ac:dyDescent="0.25">
      <c r="B475" s="120"/>
      <c r="C475" s="120"/>
    </row>
    <row r="476" spans="2:3" x14ac:dyDescent="0.25">
      <c r="B476" s="120"/>
      <c r="C476" s="120"/>
    </row>
    <row r="477" spans="2:3" x14ac:dyDescent="0.25">
      <c r="B477" s="120"/>
      <c r="C477" s="120"/>
    </row>
    <row r="478" spans="2:3" x14ac:dyDescent="0.25">
      <c r="B478" s="120"/>
      <c r="C478" s="120"/>
    </row>
    <row r="479" spans="2:3" x14ac:dyDescent="0.25">
      <c r="B479" s="120"/>
      <c r="C479" s="120"/>
    </row>
    <row r="480" spans="2:3" x14ac:dyDescent="0.25">
      <c r="B480" s="120"/>
      <c r="C480" s="120"/>
    </row>
    <row r="481" spans="2:3" x14ac:dyDescent="0.25">
      <c r="B481" s="120"/>
      <c r="C481" s="120"/>
    </row>
    <row r="482" spans="2:3" x14ac:dyDescent="0.25">
      <c r="B482" s="120"/>
      <c r="C482" s="120"/>
    </row>
    <row r="483" spans="2:3" x14ac:dyDescent="0.25">
      <c r="B483" s="120"/>
      <c r="C483" s="120"/>
    </row>
    <row r="484" spans="2:3" x14ac:dyDescent="0.25">
      <c r="B484" s="120"/>
      <c r="C484" s="120"/>
    </row>
    <row r="485" spans="2:3" x14ac:dyDescent="0.25">
      <c r="B485" s="120"/>
      <c r="C485" s="120"/>
    </row>
    <row r="486" spans="2:3" x14ac:dyDescent="0.25">
      <c r="B486" s="120"/>
      <c r="C486" s="120"/>
    </row>
    <row r="487" spans="2:3" x14ac:dyDescent="0.25">
      <c r="B487" s="120"/>
      <c r="C487" s="120"/>
    </row>
    <row r="488" spans="2:3" x14ac:dyDescent="0.25">
      <c r="B488" s="120"/>
      <c r="C488" s="120"/>
    </row>
    <row r="489" spans="2:3" x14ac:dyDescent="0.25">
      <c r="B489" s="120"/>
      <c r="C489" s="120"/>
    </row>
    <row r="490" spans="2:3" x14ac:dyDescent="0.25">
      <c r="B490" s="120"/>
      <c r="C490" s="120"/>
    </row>
    <row r="491" spans="2:3" x14ac:dyDescent="0.25">
      <c r="B491" s="120"/>
      <c r="C491" s="120"/>
    </row>
    <row r="492" spans="2:3" x14ac:dyDescent="0.25">
      <c r="B492" s="120"/>
      <c r="C492" s="120"/>
    </row>
    <row r="493" spans="2:3" x14ac:dyDescent="0.25">
      <c r="B493" s="120"/>
      <c r="C493" s="120"/>
    </row>
    <row r="494" spans="2:3" x14ac:dyDescent="0.25">
      <c r="B494" s="120"/>
      <c r="C494" s="120"/>
    </row>
    <row r="495" spans="2:3" x14ac:dyDescent="0.25">
      <c r="B495" s="120"/>
      <c r="C495" s="120"/>
    </row>
    <row r="496" spans="2:3" x14ac:dyDescent="0.25">
      <c r="B496" s="120"/>
      <c r="C496" s="120"/>
    </row>
    <row r="497" spans="2:3" x14ac:dyDescent="0.25">
      <c r="B497" s="120"/>
      <c r="C497" s="120"/>
    </row>
    <row r="498" spans="2:3" x14ac:dyDescent="0.25">
      <c r="B498" s="120"/>
      <c r="C498" s="120"/>
    </row>
    <row r="499" spans="2:3" x14ac:dyDescent="0.25">
      <c r="B499" s="120"/>
      <c r="C499" s="120"/>
    </row>
    <row r="500" spans="2:3" x14ac:dyDescent="0.25">
      <c r="B500" s="120"/>
      <c r="C500" s="120"/>
    </row>
    <row r="501" spans="2:3" x14ac:dyDescent="0.25">
      <c r="B501" s="120"/>
      <c r="C501" s="120"/>
    </row>
    <row r="502" spans="2:3" x14ac:dyDescent="0.25">
      <c r="B502" s="120"/>
      <c r="C502" s="120"/>
    </row>
    <row r="503" spans="2:3" x14ac:dyDescent="0.25">
      <c r="B503" s="120"/>
      <c r="C503" s="120"/>
    </row>
    <row r="504" spans="2:3" x14ac:dyDescent="0.25">
      <c r="B504" s="120"/>
      <c r="C504" s="120"/>
    </row>
    <row r="505" spans="2:3" x14ac:dyDescent="0.25">
      <c r="B505" s="120"/>
      <c r="C505" s="120"/>
    </row>
    <row r="506" spans="2:3" x14ac:dyDescent="0.25">
      <c r="B506" s="120"/>
      <c r="C506" s="120"/>
    </row>
    <row r="507" spans="2:3" x14ac:dyDescent="0.25">
      <c r="B507" s="120"/>
      <c r="C507" s="120"/>
    </row>
    <row r="508" spans="2:3" x14ac:dyDescent="0.25">
      <c r="B508" s="120"/>
      <c r="C508" s="120"/>
    </row>
    <row r="509" spans="2:3" x14ac:dyDescent="0.25">
      <c r="B509" s="120"/>
      <c r="C509" s="120"/>
    </row>
    <row r="510" spans="2:3" x14ac:dyDescent="0.25">
      <c r="B510" s="120"/>
      <c r="C510" s="120"/>
    </row>
    <row r="511" spans="2:3" x14ac:dyDescent="0.25">
      <c r="B511" s="120"/>
      <c r="C511" s="120"/>
    </row>
    <row r="512" spans="2:3" x14ac:dyDescent="0.25">
      <c r="B512" s="120"/>
      <c r="C512" s="120"/>
    </row>
    <row r="513" spans="2:3" x14ac:dyDescent="0.25">
      <c r="B513" s="120"/>
      <c r="C513" s="120"/>
    </row>
    <row r="514" spans="2:3" x14ac:dyDescent="0.25">
      <c r="B514" s="120"/>
      <c r="C514" s="120"/>
    </row>
    <row r="515" spans="2:3" x14ac:dyDescent="0.25">
      <c r="B515" s="120"/>
      <c r="C515" s="120"/>
    </row>
    <row r="516" spans="2:3" x14ac:dyDescent="0.25">
      <c r="B516" s="120"/>
      <c r="C516" s="120"/>
    </row>
    <row r="517" spans="2:3" x14ac:dyDescent="0.25">
      <c r="B517" s="120"/>
      <c r="C517" s="120"/>
    </row>
    <row r="518" spans="2:3" x14ac:dyDescent="0.25">
      <c r="B518" s="120"/>
      <c r="C518" s="120"/>
    </row>
    <row r="519" spans="2:3" x14ac:dyDescent="0.25">
      <c r="B519" s="120"/>
      <c r="C519" s="120"/>
    </row>
    <row r="520" spans="2:3" x14ac:dyDescent="0.25">
      <c r="B520" s="120"/>
      <c r="C520" s="120"/>
    </row>
    <row r="521" spans="2:3" x14ac:dyDescent="0.25">
      <c r="B521" s="120"/>
      <c r="C521" s="120"/>
    </row>
    <row r="522" spans="2:3" x14ac:dyDescent="0.25">
      <c r="B522" s="120"/>
      <c r="C522" s="120"/>
    </row>
    <row r="523" spans="2:3" x14ac:dyDescent="0.25">
      <c r="B523" s="120"/>
      <c r="C523" s="120"/>
    </row>
    <row r="524" spans="2:3" x14ac:dyDescent="0.25">
      <c r="B524" s="120"/>
      <c r="C524" s="120"/>
    </row>
    <row r="525" spans="2:3" x14ac:dyDescent="0.25">
      <c r="B525" s="120"/>
      <c r="C525" s="120"/>
    </row>
    <row r="526" spans="2:3" x14ac:dyDescent="0.25">
      <c r="B526" s="120"/>
      <c r="C526" s="120"/>
    </row>
    <row r="527" spans="2:3" x14ac:dyDescent="0.25">
      <c r="B527" s="120"/>
      <c r="C527" s="120"/>
    </row>
    <row r="528" spans="2:3" x14ac:dyDescent="0.25">
      <c r="B528" s="120"/>
      <c r="C528" s="120"/>
    </row>
    <row r="529" spans="2:3" x14ac:dyDescent="0.25">
      <c r="B529" s="120"/>
      <c r="C529" s="120"/>
    </row>
    <row r="530" spans="2:3" x14ac:dyDescent="0.25">
      <c r="B530" s="120"/>
      <c r="C530" s="120"/>
    </row>
    <row r="531" spans="2:3" x14ac:dyDescent="0.25">
      <c r="B531" s="120"/>
      <c r="C531" s="120"/>
    </row>
    <row r="532" spans="2:3" x14ac:dyDescent="0.25">
      <c r="B532" s="120"/>
      <c r="C532" s="120"/>
    </row>
    <row r="533" spans="2:3" x14ac:dyDescent="0.25">
      <c r="B533" s="120"/>
      <c r="C533" s="120"/>
    </row>
    <row r="534" spans="2:3" x14ac:dyDescent="0.25">
      <c r="B534" s="120"/>
      <c r="C534" s="120"/>
    </row>
    <row r="535" spans="2:3" x14ac:dyDescent="0.25">
      <c r="B535" s="120"/>
      <c r="C535" s="120"/>
    </row>
    <row r="536" spans="2:3" x14ac:dyDescent="0.25">
      <c r="B536" s="120"/>
      <c r="C536" s="120"/>
    </row>
    <row r="537" spans="2:3" x14ac:dyDescent="0.25">
      <c r="B537" s="120"/>
      <c r="C537" s="120"/>
    </row>
    <row r="538" spans="2:3" x14ac:dyDescent="0.25">
      <c r="B538" s="120"/>
      <c r="C538" s="120"/>
    </row>
    <row r="539" spans="2:3" x14ac:dyDescent="0.25">
      <c r="B539" s="120"/>
      <c r="C539" s="120"/>
    </row>
    <row r="540" spans="2:3" x14ac:dyDescent="0.25">
      <c r="B540" s="120"/>
      <c r="C540" s="120"/>
    </row>
    <row r="541" spans="2:3" x14ac:dyDescent="0.25">
      <c r="B541" s="120"/>
      <c r="C541" s="120"/>
    </row>
    <row r="542" spans="2:3" x14ac:dyDescent="0.25">
      <c r="B542" s="120"/>
      <c r="C542" s="120"/>
    </row>
    <row r="543" spans="2:3" x14ac:dyDescent="0.25">
      <c r="B543" s="120"/>
      <c r="C543" s="120"/>
    </row>
    <row r="544" spans="2:3" x14ac:dyDescent="0.25">
      <c r="B544" s="120"/>
      <c r="C544" s="120"/>
    </row>
    <row r="545" spans="2:3" x14ac:dyDescent="0.25">
      <c r="B545" s="120"/>
      <c r="C545" s="120"/>
    </row>
    <row r="546" spans="2:3" x14ac:dyDescent="0.25">
      <c r="B546" s="120"/>
      <c r="C546" s="120"/>
    </row>
    <row r="547" spans="2:3" x14ac:dyDescent="0.25">
      <c r="B547" s="120"/>
      <c r="C547" s="120"/>
    </row>
    <row r="548" spans="2:3" x14ac:dyDescent="0.25">
      <c r="B548" s="120"/>
      <c r="C548" s="120"/>
    </row>
    <row r="549" spans="2:3" x14ac:dyDescent="0.25">
      <c r="B549" s="120"/>
      <c r="C549" s="120"/>
    </row>
    <row r="550" spans="2:3" x14ac:dyDescent="0.25">
      <c r="B550" s="120"/>
      <c r="C550" s="120"/>
    </row>
    <row r="551" spans="2:3" x14ac:dyDescent="0.25">
      <c r="B551" s="120"/>
      <c r="C551" s="120"/>
    </row>
    <row r="552" spans="2:3" x14ac:dyDescent="0.25">
      <c r="B552" s="120"/>
      <c r="C552" s="120"/>
    </row>
    <row r="553" spans="2:3" x14ac:dyDescent="0.25">
      <c r="B553" s="120"/>
      <c r="C553" s="120"/>
    </row>
    <row r="554" spans="2:3" x14ac:dyDescent="0.25">
      <c r="B554" s="120"/>
      <c r="C554" s="120"/>
    </row>
    <row r="555" spans="2:3" x14ac:dyDescent="0.25">
      <c r="B555" s="120"/>
      <c r="C555" s="120"/>
    </row>
    <row r="556" spans="2:3" x14ac:dyDescent="0.25">
      <c r="B556" s="120"/>
      <c r="C556" s="120"/>
    </row>
    <row r="557" spans="2:3" x14ac:dyDescent="0.25">
      <c r="B557" s="120"/>
      <c r="C557" s="120"/>
    </row>
    <row r="558" spans="2:3" x14ac:dyDescent="0.25">
      <c r="B558" s="120"/>
      <c r="C558" s="120"/>
    </row>
    <row r="559" spans="2:3" x14ac:dyDescent="0.25">
      <c r="B559" s="120"/>
      <c r="C559" s="120"/>
    </row>
    <row r="560" spans="2:3" x14ac:dyDescent="0.25">
      <c r="B560" s="120"/>
      <c r="C560" s="120"/>
    </row>
    <row r="561" spans="2:3" x14ac:dyDescent="0.25">
      <c r="B561" s="120"/>
      <c r="C561" s="120"/>
    </row>
    <row r="562" spans="2:3" x14ac:dyDescent="0.25">
      <c r="B562" s="120"/>
      <c r="C562" s="120"/>
    </row>
    <row r="563" spans="2:3" x14ac:dyDescent="0.25">
      <c r="B563" s="120"/>
      <c r="C563" s="120"/>
    </row>
    <row r="564" spans="2:3" x14ac:dyDescent="0.25">
      <c r="B564" s="120"/>
      <c r="C564" s="120"/>
    </row>
    <row r="565" spans="2:3" x14ac:dyDescent="0.25">
      <c r="B565" s="120"/>
      <c r="C565" s="120"/>
    </row>
    <row r="566" spans="2:3" x14ac:dyDescent="0.25">
      <c r="B566" s="120"/>
      <c r="C566" s="120"/>
    </row>
    <row r="567" spans="2:3" x14ac:dyDescent="0.25">
      <c r="B567" s="120"/>
      <c r="C567" s="120"/>
    </row>
    <row r="568" spans="2:3" x14ac:dyDescent="0.25">
      <c r="B568" s="120"/>
      <c r="C568" s="120"/>
    </row>
    <row r="569" spans="2:3" x14ac:dyDescent="0.25">
      <c r="B569" s="120"/>
      <c r="C569" s="120"/>
    </row>
    <row r="570" spans="2:3" x14ac:dyDescent="0.25">
      <c r="B570" s="120"/>
      <c r="C570" s="120"/>
    </row>
    <row r="571" spans="2:3" x14ac:dyDescent="0.25">
      <c r="B571" s="120"/>
      <c r="C571" s="120"/>
    </row>
    <row r="572" spans="2:3" x14ac:dyDescent="0.25">
      <c r="B572" s="120"/>
      <c r="C572" s="120"/>
    </row>
    <row r="573" spans="2:3" x14ac:dyDescent="0.25">
      <c r="B573" s="120"/>
      <c r="C573" s="120"/>
    </row>
    <row r="574" spans="2:3" x14ac:dyDescent="0.25">
      <c r="B574" s="120"/>
      <c r="C574" s="120"/>
    </row>
    <row r="575" spans="2:3" x14ac:dyDescent="0.25">
      <c r="B575" s="120"/>
      <c r="C575" s="120"/>
    </row>
    <row r="576" spans="2:3" x14ac:dyDescent="0.25">
      <c r="B576" s="120"/>
      <c r="C576" s="120"/>
    </row>
    <row r="577" spans="2:3" x14ac:dyDescent="0.25">
      <c r="B577" s="120"/>
      <c r="C577" s="120"/>
    </row>
    <row r="578" spans="2:3" x14ac:dyDescent="0.25">
      <c r="B578" s="120"/>
      <c r="C578" s="120"/>
    </row>
    <row r="579" spans="2:3" x14ac:dyDescent="0.25">
      <c r="B579" s="120"/>
      <c r="C579" s="120"/>
    </row>
    <row r="580" spans="2:3" x14ac:dyDescent="0.25">
      <c r="B580" s="120"/>
      <c r="C580" s="120"/>
    </row>
    <row r="581" spans="2:3" x14ac:dyDescent="0.25">
      <c r="B581" s="120"/>
      <c r="C581" s="120"/>
    </row>
    <row r="582" spans="2:3" x14ac:dyDescent="0.25">
      <c r="B582" s="120"/>
      <c r="C582" s="120"/>
    </row>
    <row r="583" spans="2:3" x14ac:dyDescent="0.25">
      <c r="B583" s="120"/>
      <c r="C583" s="120"/>
    </row>
    <row r="584" spans="2:3" x14ac:dyDescent="0.25">
      <c r="B584" s="120"/>
      <c r="C584" s="120"/>
    </row>
    <row r="585" spans="2:3" x14ac:dyDescent="0.25">
      <c r="B585" s="120"/>
      <c r="C585" s="120"/>
    </row>
    <row r="586" spans="2:3" x14ac:dyDescent="0.25">
      <c r="B586" s="120"/>
      <c r="C586" s="120"/>
    </row>
    <row r="587" spans="2:3" x14ac:dyDescent="0.25">
      <c r="B587" s="120"/>
      <c r="C587" s="120"/>
    </row>
    <row r="588" spans="2:3" x14ac:dyDescent="0.25">
      <c r="B588" s="120"/>
      <c r="C588" s="120"/>
    </row>
    <row r="589" spans="2:3" x14ac:dyDescent="0.25">
      <c r="B589" s="120"/>
      <c r="C589" s="120"/>
    </row>
    <row r="590" spans="2:3" x14ac:dyDescent="0.25">
      <c r="B590" s="120"/>
      <c r="C590" s="120"/>
    </row>
    <row r="591" spans="2:3" x14ac:dyDescent="0.25">
      <c r="B591" s="120"/>
      <c r="C591" s="120"/>
    </row>
    <row r="592" spans="2:3" x14ac:dyDescent="0.25">
      <c r="B592" s="120"/>
      <c r="C592" s="120"/>
    </row>
    <row r="593" spans="2:3" x14ac:dyDescent="0.25">
      <c r="B593" s="120"/>
      <c r="C593" s="120"/>
    </row>
    <row r="594" spans="2:3" x14ac:dyDescent="0.25">
      <c r="B594" s="120"/>
      <c r="C594" s="120"/>
    </row>
    <row r="595" spans="2:3" x14ac:dyDescent="0.25">
      <c r="B595" s="120"/>
      <c r="C595" s="120"/>
    </row>
    <row r="596" spans="2:3" x14ac:dyDescent="0.25">
      <c r="B596" s="120"/>
      <c r="C596" s="120"/>
    </row>
    <row r="597" spans="2:3" x14ac:dyDescent="0.25">
      <c r="B597" s="120"/>
      <c r="C597" s="120"/>
    </row>
    <row r="598" spans="2:3" x14ac:dyDescent="0.25">
      <c r="B598" s="120"/>
      <c r="C598" s="120"/>
    </row>
    <row r="599" spans="2:3" x14ac:dyDescent="0.25">
      <c r="B599" s="120"/>
      <c r="C599" s="120"/>
    </row>
    <row r="600" spans="2:3" x14ac:dyDescent="0.25">
      <c r="B600" s="120"/>
      <c r="C600" s="120"/>
    </row>
    <row r="601" spans="2:3" x14ac:dyDescent="0.25">
      <c r="B601" s="120"/>
      <c r="C601" s="120"/>
    </row>
    <row r="602" spans="2:3" x14ac:dyDescent="0.25">
      <c r="B602" s="120"/>
      <c r="C602" s="120"/>
    </row>
    <row r="603" spans="2:3" x14ac:dyDescent="0.25">
      <c r="B603" s="120"/>
      <c r="C603" s="120"/>
    </row>
    <row r="604" spans="2:3" x14ac:dyDescent="0.25">
      <c r="B604" s="120"/>
      <c r="C604" s="120"/>
    </row>
    <row r="605" spans="2:3" x14ac:dyDescent="0.25">
      <c r="B605" s="120"/>
      <c r="C605" s="120"/>
    </row>
    <row r="606" spans="2:3" x14ac:dyDescent="0.25">
      <c r="B606" s="120"/>
      <c r="C606" s="120"/>
    </row>
    <row r="607" spans="2:3" x14ac:dyDescent="0.25">
      <c r="B607" s="120"/>
      <c r="C607" s="120"/>
    </row>
    <row r="608" spans="2:3" x14ac:dyDescent="0.25">
      <c r="B608" s="120"/>
      <c r="C608" s="120"/>
    </row>
    <row r="609" spans="2:3" x14ac:dyDescent="0.25">
      <c r="B609" s="120"/>
      <c r="C609" s="120"/>
    </row>
    <row r="610" spans="2:3" x14ac:dyDescent="0.25">
      <c r="B610" s="120"/>
      <c r="C610" s="120"/>
    </row>
    <row r="611" spans="2:3" x14ac:dyDescent="0.25">
      <c r="B611" s="120"/>
      <c r="C611" s="120"/>
    </row>
    <row r="612" spans="2:3" x14ac:dyDescent="0.25">
      <c r="B612" s="120"/>
      <c r="C612" s="120"/>
    </row>
    <row r="613" spans="2:3" x14ac:dyDescent="0.25">
      <c r="B613" s="120"/>
      <c r="C613" s="120"/>
    </row>
    <row r="614" spans="2:3" x14ac:dyDescent="0.25">
      <c r="B614" s="120"/>
      <c r="C614" s="120"/>
    </row>
    <row r="615" spans="2:3" x14ac:dyDescent="0.25">
      <c r="B615" s="120"/>
      <c r="C615" s="120"/>
    </row>
    <row r="616" spans="2:3" x14ac:dyDescent="0.25">
      <c r="B616" s="120"/>
      <c r="C616" s="120"/>
    </row>
    <row r="617" spans="2:3" x14ac:dyDescent="0.25">
      <c r="B617" s="120"/>
      <c r="C617" s="120"/>
    </row>
    <row r="618" spans="2:3" x14ac:dyDescent="0.25">
      <c r="B618" s="120"/>
      <c r="C618" s="120"/>
    </row>
    <row r="619" spans="2:3" x14ac:dyDescent="0.25">
      <c r="B619" s="120"/>
      <c r="C619" s="120"/>
    </row>
    <row r="620" spans="2:3" x14ac:dyDescent="0.25">
      <c r="B620" s="120"/>
      <c r="C620" s="120"/>
    </row>
    <row r="621" spans="2:3" x14ac:dyDescent="0.25">
      <c r="B621" s="120"/>
      <c r="C621" s="120"/>
    </row>
    <row r="622" spans="2:3" x14ac:dyDescent="0.25">
      <c r="B622" s="120"/>
      <c r="C622" s="120"/>
    </row>
    <row r="623" spans="2:3" x14ac:dyDescent="0.25">
      <c r="B623" s="120"/>
      <c r="C623" s="120"/>
    </row>
    <row r="624" spans="2:3" x14ac:dyDescent="0.25">
      <c r="B624" s="120"/>
      <c r="C624" s="120"/>
    </row>
    <row r="625" spans="2:3" x14ac:dyDescent="0.25">
      <c r="B625" s="120"/>
      <c r="C625" s="120"/>
    </row>
    <row r="626" spans="2:3" x14ac:dyDescent="0.25">
      <c r="B626" s="120"/>
      <c r="C626" s="120"/>
    </row>
    <row r="627" spans="2:3" x14ac:dyDescent="0.25">
      <c r="B627" s="120"/>
      <c r="C627" s="120"/>
    </row>
    <row r="628" spans="2:3" x14ac:dyDescent="0.25">
      <c r="B628" s="120"/>
      <c r="C628" s="120"/>
    </row>
    <row r="629" spans="2:3" x14ac:dyDescent="0.25">
      <c r="B629" s="120"/>
      <c r="C629" s="120"/>
    </row>
    <row r="630" spans="2:3" x14ac:dyDescent="0.25">
      <c r="B630" s="120"/>
      <c r="C630" s="120"/>
    </row>
    <row r="631" spans="2:3" x14ac:dyDescent="0.25">
      <c r="B631" s="120"/>
      <c r="C631" s="120"/>
    </row>
    <row r="632" spans="2:3" x14ac:dyDescent="0.25">
      <c r="B632" s="120"/>
      <c r="C632" s="120"/>
    </row>
    <row r="633" spans="2:3" x14ac:dyDescent="0.25">
      <c r="B633" s="120"/>
      <c r="C633" s="120"/>
    </row>
    <row r="634" spans="2:3" x14ac:dyDescent="0.25">
      <c r="B634" s="120"/>
      <c r="C634" s="120"/>
    </row>
    <row r="635" spans="2:3" x14ac:dyDescent="0.25">
      <c r="B635" s="120"/>
      <c r="C635" s="120"/>
    </row>
    <row r="636" spans="2:3" x14ac:dyDescent="0.25">
      <c r="B636" s="120"/>
      <c r="C636" s="120"/>
    </row>
    <row r="637" spans="2:3" x14ac:dyDescent="0.25">
      <c r="B637" s="120"/>
      <c r="C637" s="120"/>
    </row>
    <row r="638" spans="2:3" x14ac:dyDescent="0.25">
      <c r="B638" s="120"/>
      <c r="C638" s="120"/>
    </row>
    <row r="639" spans="2:3" x14ac:dyDescent="0.25">
      <c r="B639" s="120"/>
      <c r="C639" s="120"/>
    </row>
    <row r="640" spans="2:3" x14ac:dyDescent="0.25">
      <c r="B640" s="120"/>
      <c r="C640" s="120"/>
    </row>
    <row r="641" spans="2:3" x14ac:dyDescent="0.25">
      <c r="B641" s="120"/>
      <c r="C641" s="120"/>
    </row>
    <row r="642" spans="2:3" x14ac:dyDescent="0.25">
      <c r="B642" s="120"/>
      <c r="C642" s="120"/>
    </row>
    <row r="643" spans="2:3" x14ac:dyDescent="0.25">
      <c r="B643" s="120"/>
      <c r="C643" s="120"/>
    </row>
    <row r="644" spans="2:3" x14ac:dyDescent="0.25">
      <c r="B644" s="120"/>
      <c r="C644" s="120"/>
    </row>
    <row r="645" spans="2:3" x14ac:dyDescent="0.25">
      <c r="B645" s="120"/>
      <c r="C645" s="120"/>
    </row>
    <row r="646" spans="2:3" x14ac:dyDescent="0.25">
      <c r="B646" s="120"/>
      <c r="C646" s="120"/>
    </row>
    <row r="647" spans="2:3" x14ac:dyDescent="0.25">
      <c r="B647" s="120"/>
      <c r="C647" s="120"/>
    </row>
    <row r="648" spans="2:3" x14ac:dyDescent="0.25">
      <c r="B648" s="120"/>
      <c r="C648" s="120"/>
    </row>
    <row r="649" spans="2:3" x14ac:dyDescent="0.25">
      <c r="B649" s="120"/>
      <c r="C649" s="120"/>
    </row>
    <row r="650" spans="2:3" x14ac:dyDescent="0.25">
      <c r="B650" s="120"/>
      <c r="C650" s="120"/>
    </row>
    <row r="651" spans="2:3" x14ac:dyDescent="0.25">
      <c r="B651" s="120"/>
      <c r="C651" s="120"/>
    </row>
    <row r="652" spans="2:3" x14ac:dyDescent="0.25">
      <c r="B652" s="120"/>
      <c r="C652" s="120"/>
    </row>
    <row r="653" spans="2:3" x14ac:dyDescent="0.25">
      <c r="B653" s="120"/>
      <c r="C653" s="120"/>
    </row>
    <row r="654" spans="2:3" x14ac:dyDescent="0.25">
      <c r="B654" s="120"/>
      <c r="C654" s="120"/>
    </row>
    <row r="655" spans="2:3" x14ac:dyDescent="0.25">
      <c r="B655" s="120"/>
      <c r="C655" s="120"/>
    </row>
    <row r="656" spans="2:3" x14ac:dyDescent="0.25">
      <c r="B656" s="120"/>
      <c r="C656" s="120"/>
    </row>
    <row r="657" spans="2:3" x14ac:dyDescent="0.25">
      <c r="B657" s="120"/>
      <c r="C657" s="120"/>
    </row>
    <row r="658" spans="2:3" x14ac:dyDescent="0.25">
      <c r="B658" s="120"/>
      <c r="C658" s="120"/>
    </row>
    <row r="659" spans="2:3" x14ac:dyDescent="0.25">
      <c r="B659" s="120"/>
      <c r="C659" s="120"/>
    </row>
    <row r="660" spans="2:3" x14ac:dyDescent="0.25">
      <c r="B660" s="120"/>
      <c r="C660" s="120"/>
    </row>
    <row r="661" spans="2:3" x14ac:dyDescent="0.25">
      <c r="B661" s="120"/>
      <c r="C661" s="120"/>
    </row>
    <row r="662" spans="2:3" x14ac:dyDescent="0.25">
      <c r="B662" s="120"/>
      <c r="C662" s="120"/>
    </row>
    <row r="663" spans="2:3" x14ac:dyDescent="0.25">
      <c r="B663" s="120"/>
      <c r="C663" s="120"/>
    </row>
    <row r="664" spans="2:3" x14ac:dyDescent="0.25">
      <c r="B664" s="120"/>
      <c r="C664" s="120"/>
    </row>
    <row r="665" spans="2:3" x14ac:dyDescent="0.25">
      <c r="B665" s="120"/>
      <c r="C665" s="120"/>
    </row>
    <row r="666" spans="2:3" x14ac:dyDescent="0.25">
      <c r="B666" s="120"/>
      <c r="C666" s="120"/>
    </row>
    <row r="667" spans="2:3" x14ac:dyDescent="0.25">
      <c r="B667" s="120"/>
      <c r="C667" s="120"/>
    </row>
    <row r="668" spans="2:3" x14ac:dyDescent="0.25">
      <c r="B668" s="120"/>
      <c r="C668" s="120"/>
    </row>
    <row r="669" spans="2:3" x14ac:dyDescent="0.25">
      <c r="B669" s="120"/>
      <c r="C669" s="120"/>
    </row>
    <row r="670" spans="2:3" x14ac:dyDescent="0.25">
      <c r="B670" s="120"/>
      <c r="C670" s="120"/>
    </row>
    <row r="671" spans="2:3" x14ac:dyDescent="0.25">
      <c r="B671" s="120"/>
      <c r="C671" s="120"/>
    </row>
    <row r="672" spans="2:3" x14ac:dyDescent="0.25">
      <c r="B672" s="120"/>
      <c r="C672" s="120"/>
    </row>
    <row r="673" spans="2:3" x14ac:dyDescent="0.25">
      <c r="B673" s="120"/>
      <c r="C673" s="120"/>
    </row>
    <row r="674" spans="2:3" x14ac:dyDescent="0.25">
      <c r="B674" s="120"/>
      <c r="C674" s="120"/>
    </row>
    <row r="675" spans="2:3" x14ac:dyDescent="0.25">
      <c r="B675" s="120"/>
      <c r="C675" s="120"/>
    </row>
    <row r="676" spans="2:3" x14ac:dyDescent="0.25">
      <c r="B676" s="120"/>
      <c r="C676" s="120"/>
    </row>
    <row r="677" spans="2:3" x14ac:dyDescent="0.25">
      <c r="B677" s="120"/>
      <c r="C677" s="120"/>
    </row>
    <row r="678" spans="2:3" x14ac:dyDescent="0.25">
      <c r="B678" s="120"/>
      <c r="C678" s="120"/>
    </row>
    <row r="679" spans="2:3" x14ac:dyDescent="0.25">
      <c r="B679" s="120"/>
      <c r="C679" s="120"/>
    </row>
    <row r="680" spans="2:3" x14ac:dyDescent="0.25">
      <c r="B680" s="120"/>
      <c r="C680" s="120"/>
    </row>
    <row r="681" spans="2:3" x14ac:dyDescent="0.25">
      <c r="B681" s="120"/>
      <c r="C681" s="120"/>
    </row>
    <row r="682" spans="2:3" x14ac:dyDescent="0.25">
      <c r="B682" s="120"/>
      <c r="C682" s="120"/>
    </row>
    <row r="683" spans="2:3" x14ac:dyDescent="0.25">
      <c r="B683" s="120"/>
      <c r="C683" s="120"/>
    </row>
    <row r="684" spans="2:3" x14ac:dyDescent="0.25">
      <c r="B684" s="120"/>
      <c r="C684" s="120"/>
    </row>
    <row r="685" spans="2:3" x14ac:dyDescent="0.25">
      <c r="B685" s="120"/>
      <c r="C685" s="120"/>
    </row>
    <row r="686" spans="2:3" x14ac:dyDescent="0.25">
      <c r="B686" s="120"/>
      <c r="C686" s="120"/>
    </row>
    <row r="687" spans="2:3" x14ac:dyDescent="0.25">
      <c r="B687" s="120"/>
      <c r="C687" s="120"/>
    </row>
    <row r="688" spans="2:3" x14ac:dyDescent="0.25">
      <c r="B688" s="120"/>
      <c r="C688" s="120"/>
    </row>
    <row r="689" spans="2:3" x14ac:dyDescent="0.25">
      <c r="B689" s="120"/>
      <c r="C689" s="120"/>
    </row>
    <row r="690" spans="2:3" x14ac:dyDescent="0.25">
      <c r="B690" s="120"/>
      <c r="C690" s="120"/>
    </row>
    <row r="691" spans="2:3" x14ac:dyDescent="0.25">
      <c r="B691" s="120"/>
      <c r="C691" s="120"/>
    </row>
    <row r="692" spans="2:3" x14ac:dyDescent="0.25">
      <c r="B692" s="120"/>
      <c r="C692" s="120"/>
    </row>
    <row r="693" spans="2:3" x14ac:dyDescent="0.25">
      <c r="B693" s="120"/>
      <c r="C693" s="120"/>
    </row>
    <row r="694" spans="2:3" x14ac:dyDescent="0.25">
      <c r="B694" s="120"/>
      <c r="C694" s="120"/>
    </row>
    <row r="695" spans="2:3" x14ac:dyDescent="0.25">
      <c r="B695" s="120"/>
      <c r="C695" s="120"/>
    </row>
    <row r="696" spans="2:3" x14ac:dyDescent="0.25">
      <c r="B696" s="120"/>
      <c r="C696" s="120"/>
    </row>
    <row r="697" spans="2:3" x14ac:dyDescent="0.25">
      <c r="B697" s="120"/>
      <c r="C697" s="120"/>
    </row>
    <row r="698" spans="2:3" x14ac:dyDescent="0.25">
      <c r="B698" s="120"/>
      <c r="C698" s="120"/>
    </row>
    <row r="699" spans="2:3" x14ac:dyDescent="0.25">
      <c r="B699" s="120"/>
      <c r="C699" s="120"/>
    </row>
    <row r="700" spans="2:3" x14ac:dyDescent="0.25">
      <c r="B700" s="120"/>
      <c r="C700" s="120"/>
    </row>
    <row r="701" spans="2:3" x14ac:dyDescent="0.25">
      <c r="B701" s="120"/>
      <c r="C701" s="120"/>
    </row>
    <row r="702" spans="2:3" x14ac:dyDescent="0.25">
      <c r="B702" s="120"/>
      <c r="C702" s="120"/>
    </row>
    <row r="703" spans="2:3" x14ac:dyDescent="0.25">
      <c r="B703" s="120"/>
      <c r="C703" s="120"/>
    </row>
    <row r="704" spans="2:3" x14ac:dyDescent="0.25">
      <c r="B704" s="120"/>
      <c r="C704" s="120"/>
    </row>
    <row r="705" spans="2:3" x14ac:dyDescent="0.25">
      <c r="B705" s="120"/>
      <c r="C705" s="120"/>
    </row>
    <row r="706" spans="2:3" x14ac:dyDescent="0.25">
      <c r="B706" s="120"/>
      <c r="C706" s="120"/>
    </row>
    <row r="707" spans="2:3" x14ac:dyDescent="0.25">
      <c r="B707" s="120"/>
      <c r="C707" s="120"/>
    </row>
    <row r="708" spans="2:3" x14ac:dyDescent="0.25">
      <c r="B708" s="120"/>
      <c r="C708" s="120"/>
    </row>
    <row r="709" spans="2:3" x14ac:dyDescent="0.25">
      <c r="B709" s="120"/>
      <c r="C709" s="120"/>
    </row>
    <row r="710" spans="2:3" x14ac:dyDescent="0.25">
      <c r="B710" s="120"/>
      <c r="C710" s="120"/>
    </row>
    <row r="711" spans="2:3" x14ac:dyDescent="0.25">
      <c r="B711" s="120"/>
      <c r="C711" s="120"/>
    </row>
    <row r="712" spans="2:3" x14ac:dyDescent="0.25">
      <c r="B712" s="120"/>
      <c r="C712" s="120"/>
    </row>
    <row r="713" spans="2:3" x14ac:dyDescent="0.25">
      <c r="B713" s="120"/>
      <c r="C713" s="120"/>
    </row>
    <row r="714" spans="2:3" x14ac:dyDescent="0.25">
      <c r="B714" s="120"/>
      <c r="C714" s="120"/>
    </row>
    <row r="715" spans="2:3" x14ac:dyDescent="0.25">
      <c r="B715" s="120"/>
      <c r="C715" s="120"/>
    </row>
    <row r="716" spans="2:3" x14ac:dyDescent="0.25">
      <c r="B716" s="120"/>
      <c r="C716" s="120"/>
    </row>
    <row r="717" spans="2:3" x14ac:dyDescent="0.25">
      <c r="B717" s="120"/>
      <c r="C717" s="120"/>
    </row>
    <row r="718" spans="2:3" x14ac:dyDescent="0.25">
      <c r="B718" s="120"/>
      <c r="C718" s="120"/>
    </row>
    <row r="719" spans="2:3" x14ac:dyDescent="0.25">
      <c r="B719" s="120"/>
      <c r="C719" s="120"/>
    </row>
    <row r="720" spans="2:3" x14ac:dyDescent="0.25">
      <c r="B720" s="120"/>
      <c r="C720" s="120"/>
    </row>
    <row r="721" spans="2:3" x14ac:dyDescent="0.25">
      <c r="B721" s="120"/>
      <c r="C721" s="120"/>
    </row>
    <row r="722" spans="2:3" x14ac:dyDescent="0.25">
      <c r="B722" s="120"/>
      <c r="C722" s="120"/>
    </row>
    <row r="723" spans="2:3" x14ac:dyDescent="0.25">
      <c r="B723" s="120"/>
      <c r="C723" s="120"/>
    </row>
    <row r="724" spans="2:3" x14ac:dyDescent="0.25">
      <c r="B724" s="120"/>
      <c r="C724" s="120"/>
    </row>
    <row r="725" spans="2:3" x14ac:dyDescent="0.25">
      <c r="B725" s="120"/>
      <c r="C725" s="120"/>
    </row>
    <row r="726" spans="2:3" x14ac:dyDescent="0.25">
      <c r="B726" s="120"/>
      <c r="C726" s="120"/>
    </row>
    <row r="727" spans="2:3" x14ac:dyDescent="0.25">
      <c r="B727" s="120"/>
      <c r="C727" s="120"/>
    </row>
    <row r="728" spans="2:3" x14ac:dyDescent="0.25">
      <c r="B728" s="120"/>
      <c r="C728" s="120"/>
    </row>
    <row r="729" spans="2:3" x14ac:dyDescent="0.25">
      <c r="B729" s="120"/>
      <c r="C729" s="120"/>
    </row>
    <row r="730" spans="2:3" x14ac:dyDescent="0.25">
      <c r="B730" s="120"/>
      <c r="C730" s="120"/>
    </row>
    <row r="731" spans="2:3" x14ac:dyDescent="0.25">
      <c r="B731" s="120"/>
      <c r="C731" s="120"/>
    </row>
    <row r="732" spans="2:3" x14ac:dyDescent="0.25">
      <c r="B732" s="120"/>
      <c r="C732" s="120"/>
    </row>
    <row r="733" spans="2:3" x14ac:dyDescent="0.25">
      <c r="B733" s="120"/>
      <c r="C733" s="120"/>
    </row>
    <row r="734" spans="2:3" x14ac:dyDescent="0.25">
      <c r="B734" s="120"/>
      <c r="C734" s="120"/>
    </row>
    <row r="735" spans="2:3" x14ac:dyDescent="0.25">
      <c r="B735" s="120"/>
      <c r="C735" s="120"/>
    </row>
    <row r="736" spans="2:3" x14ac:dyDescent="0.25">
      <c r="B736" s="120"/>
      <c r="C736" s="120"/>
    </row>
    <row r="737" spans="2:3" x14ac:dyDescent="0.25">
      <c r="B737" s="120"/>
      <c r="C737" s="120"/>
    </row>
    <row r="738" spans="2:3" x14ac:dyDescent="0.25">
      <c r="B738" s="120"/>
      <c r="C738" s="120"/>
    </row>
    <row r="739" spans="2:3" x14ac:dyDescent="0.25">
      <c r="B739" s="120"/>
      <c r="C739" s="120"/>
    </row>
    <row r="740" spans="2:3" x14ac:dyDescent="0.25">
      <c r="B740" s="120"/>
      <c r="C740" s="120"/>
    </row>
    <row r="741" spans="2:3" x14ac:dyDescent="0.25">
      <c r="B741" s="120"/>
      <c r="C741" s="120"/>
    </row>
    <row r="742" spans="2:3" x14ac:dyDescent="0.25">
      <c r="B742" s="120"/>
      <c r="C742" s="120"/>
    </row>
    <row r="743" spans="2:3" x14ac:dyDescent="0.25">
      <c r="B743" s="120"/>
      <c r="C743" s="120"/>
    </row>
    <row r="744" spans="2:3" x14ac:dyDescent="0.25">
      <c r="B744" s="120"/>
      <c r="C744" s="120"/>
    </row>
    <row r="745" spans="2:3" x14ac:dyDescent="0.25">
      <c r="B745" s="120"/>
      <c r="C745" s="120"/>
    </row>
    <row r="746" spans="2:3" x14ac:dyDescent="0.25">
      <c r="B746" s="120"/>
      <c r="C746" s="120"/>
    </row>
    <row r="747" spans="2:3" x14ac:dyDescent="0.25">
      <c r="B747" s="120"/>
      <c r="C747" s="120"/>
    </row>
    <row r="748" spans="2:3" x14ac:dyDescent="0.25">
      <c r="B748" s="120"/>
      <c r="C748" s="120"/>
    </row>
    <row r="749" spans="2:3" x14ac:dyDescent="0.25">
      <c r="B749" s="120"/>
      <c r="C749" s="120"/>
    </row>
    <row r="750" spans="2:3" x14ac:dyDescent="0.25">
      <c r="B750" s="120"/>
      <c r="C750" s="120"/>
    </row>
    <row r="751" spans="2:3" x14ac:dyDescent="0.25">
      <c r="B751" s="120"/>
      <c r="C751" s="120"/>
    </row>
    <row r="752" spans="2:3" x14ac:dyDescent="0.25">
      <c r="B752" s="120"/>
      <c r="C752" s="120"/>
    </row>
    <row r="753" spans="2:3" x14ac:dyDescent="0.25">
      <c r="B753" s="120"/>
      <c r="C753" s="120"/>
    </row>
    <row r="754" spans="2:3" x14ac:dyDescent="0.25">
      <c r="B754" s="120"/>
      <c r="C754" s="120"/>
    </row>
    <row r="755" spans="2:3" x14ac:dyDescent="0.25">
      <c r="B755" s="120"/>
      <c r="C755" s="120"/>
    </row>
    <row r="756" spans="2:3" x14ac:dyDescent="0.25">
      <c r="B756" s="120"/>
      <c r="C756" s="120"/>
    </row>
    <row r="757" spans="2:3" x14ac:dyDescent="0.25">
      <c r="B757" s="120"/>
      <c r="C757" s="120"/>
    </row>
    <row r="758" spans="2:3" x14ac:dyDescent="0.25">
      <c r="B758" s="120"/>
      <c r="C758" s="120"/>
    </row>
    <row r="759" spans="2:3" x14ac:dyDescent="0.25">
      <c r="B759" s="120"/>
      <c r="C759" s="120"/>
    </row>
    <row r="760" spans="2:3" x14ac:dyDescent="0.25">
      <c r="B760" s="120"/>
      <c r="C760" s="120"/>
    </row>
    <row r="761" spans="2:3" x14ac:dyDescent="0.25">
      <c r="B761" s="120"/>
      <c r="C761" s="120"/>
    </row>
    <row r="762" spans="2:3" x14ac:dyDescent="0.25">
      <c r="B762" s="120"/>
      <c r="C762" s="120"/>
    </row>
    <row r="763" spans="2:3" x14ac:dyDescent="0.25">
      <c r="B763" s="120"/>
      <c r="C763" s="120"/>
    </row>
    <row r="764" spans="2:3" x14ac:dyDescent="0.25">
      <c r="B764" s="120"/>
      <c r="C764" s="120"/>
    </row>
    <row r="765" spans="2:3" x14ac:dyDescent="0.25">
      <c r="B765" s="120"/>
      <c r="C765" s="120"/>
    </row>
    <row r="766" spans="2:3" x14ac:dyDescent="0.25">
      <c r="B766" s="120"/>
      <c r="C766" s="120"/>
    </row>
    <row r="767" spans="2:3" x14ac:dyDescent="0.25">
      <c r="B767" s="120"/>
      <c r="C767" s="120"/>
    </row>
    <row r="768" spans="2:3" x14ac:dyDescent="0.25">
      <c r="B768" s="120"/>
      <c r="C768" s="120"/>
    </row>
    <row r="769" spans="2:3" x14ac:dyDescent="0.25">
      <c r="B769" s="120"/>
      <c r="C769" s="120"/>
    </row>
    <row r="770" spans="2:3" x14ac:dyDescent="0.25">
      <c r="B770" s="120"/>
      <c r="C770" s="120"/>
    </row>
    <row r="771" spans="2:3" x14ac:dyDescent="0.25">
      <c r="B771" s="120"/>
      <c r="C771" s="120"/>
    </row>
    <row r="772" spans="2:3" x14ac:dyDescent="0.25">
      <c r="B772" s="120"/>
      <c r="C772" s="120"/>
    </row>
    <row r="773" spans="2:3" x14ac:dyDescent="0.25">
      <c r="B773" s="120"/>
      <c r="C773" s="120"/>
    </row>
    <row r="774" spans="2:3" x14ac:dyDescent="0.25">
      <c r="B774" s="120"/>
      <c r="C774" s="120"/>
    </row>
    <row r="775" spans="2:3" x14ac:dyDescent="0.25">
      <c r="B775" s="120"/>
      <c r="C775" s="120"/>
    </row>
    <row r="776" spans="2:3" x14ac:dyDescent="0.25">
      <c r="B776" s="120"/>
      <c r="C776" s="120"/>
    </row>
    <row r="777" spans="2:3" x14ac:dyDescent="0.25">
      <c r="B777" s="120"/>
      <c r="C777" s="120"/>
    </row>
    <row r="778" spans="2:3" x14ac:dyDescent="0.25">
      <c r="B778" s="120"/>
      <c r="C778" s="120"/>
    </row>
    <row r="779" spans="2:3" x14ac:dyDescent="0.25">
      <c r="B779" s="120"/>
      <c r="C779" s="120"/>
    </row>
    <row r="780" spans="2:3" x14ac:dyDescent="0.25">
      <c r="B780" s="120"/>
      <c r="C780" s="120"/>
    </row>
    <row r="781" spans="2:3" x14ac:dyDescent="0.25">
      <c r="B781" s="120"/>
      <c r="C781" s="120"/>
    </row>
    <row r="782" spans="2:3" x14ac:dyDescent="0.25">
      <c r="B782" s="120"/>
      <c r="C782" s="120"/>
    </row>
    <row r="783" spans="2:3" x14ac:dyDescent="0.25">
      <c r="B783" s="120"/>
      <c r="C783" s="120"/>
    </row>
    <row r="784" spans="2:3" x14ac:dyDescent="0.25">
      <c r="B784" s="120"/>
      <c r="C784" s="120"/>
    </row>
    <row r="785" spans="2:3" x14ac:dyDescent="0.25">
      <c r="B785" s="120"/>
      <c r="C785" s="120"/>
    </row>
    <row r="786" spans="2:3" x14ac:dyDescent="0.25">
      <c r="B786" s="120"/>
      <c r="C786" s="120"/>
    </row>
    <row r="787" spans="2:3" x14ac:dyDescent="0.25">
      <c r="B787" s="120"/>
      <c r="C787" s="120"/>
    </row>
    <row r="788" spans="2:3" x14ac:dyDescent="0.25">
      <c r="B788" s="120"/>
      <c r="C788" s="120"/>
    </row>
    <row r="789" spans="2:3" x14ac:dyDescent="0.25">
      <c r="B789" s="120"/>
      <c r="C789" s="120"/>
    </row>
    <row r="790" spans="2:3" x14ac:dyDescent="0.25">
      <c r="B790" s="120"/>
      <c r="C790" s="120"/>
    </row>
    <row r="791" spans="2:3" x14ac:dyDescent="0.25">
      <c r="B791" s="120"/>
      <c r="C791" s="120"/>
    </row>
    <row r="792" spans="2:3" x14ac:dyDescent="0.25">
      <c r="B792" s="120"/>
      <c r="C792" s="120"/>
    </row>
    <row r="793" spans="2:3" x14ac:dyDescent="0.25">
      <c r="B793" s="120"/>
      <c r="C793" s="120"/>
    </row>
    <row r="794" spans="2:3" x14ac:dyDescent="0.25">
      <c r="B794" s="120"/>
      <c r="C794" s="120"/>
    </row>
    <row r="795" spans="2:3" x14ac:dyDescent="0.25">
      <c r="B795" s="120"/>
      <c r="C795" s="120"/>
    </row>
    <row r="796" spans="2:3" x14ac:dyDescent="0.25">
      <c r="B796" s="120"/>
      <c r="C796" s="120"/>
    </row>
    <row r="797" spans="2:3" x14ac:dyDescent="0.25">
      <c r="B797" s="120"/>
      <c r="C797" s="120"/>
    </row>
    <row r="798" spans="2:3" x14ac:dyDescent="0.25">
      <c r="B798" s="120"/>
      <c r="C798" s="120"/>
    </row>
    <row r="799" spans="2:3" x14ac:dyDescent="0.25">
      <c r="B799" s="120"/>
      <c r="C799" s="120"/>
    </row>
    <row r="800" spans="2:3" x14ac:dyDescent="0.25">
      <c r="B800" s="120"/>
      <c r="C800" s="120"/>
    </row>
    <row r="801" spans="2:3" x14ac:dyDescent="0.25">
      <c r="B801" s="120"/>
      <c r="C801" s="120"/>
    </row>
    <row r="802" spans="2:3" x14ac:dyDescent="0.25">
      <c r="B802" s="120"/>
      <c r="C802" s="120"/>
    </row>
    <row r="803" spans="2:3" x14ac:dyDescent="0.25">
      <c r="B803" s="120"/>
      <c r="C803" s="120"/>
    </row>
    <row r="804" spans="2:3" x14ac:dyDescent="0.25">
      <c r="B804" s="120"/>
      <c r="C804" s="120"/>
    </row>
    <row r="805" spans="2:3" x14ac:dyDescent="0.25">
      <c r="B805" s="120"/>
      <c r="C805" s="120"/>
    </row>
    <row r="806" spans="2:3" x14ac:dyDescent="0.25">
      <c r="B806" s="120"/>
      <c r="C806" s="120"/>
    </row>
    <row r="807" spans="2:3" x14ac:dyDescent="0.25">
      <c r="B807" s="120"/>
      <c r="C807" s="120"/>
    </row>
    <row r="808" spans="2:3" x14ac:dyDescent="0.25">
      <c r="B808" s="120"/>
      <c r="C808" s="120"/>
    </row>
    <row r="809" spans="2:3" x14ac:dyDescent="0.25">
      <c r="B809" s="120"/>
      <c r="C809" s="120"/>
    </row>
    <row r="810" spans="2:3" x14ac:dyDescent="0.25">
      <c r="B810" s="120"/>
      <c r="C810" s="120"/>
    </row>
    <row r="811" spans="2:3" x14ac:dyDescent="0.25">
      <c r="B811" s="120"/>
      <c r="C811" s="120"/>
    </row>
    <row r="812" spans="2:3" x14ac:dyDescent="0.25">
      <c r="B812" s="120"/>
      <c r="C812" s="120"/>
    </row>
    <row r="813" spans="2:3" x14ac:dyDescent="0.25">
      <c r="B813" s="120"/>
      <c r="C813" s="120"/>
    </row>
    <row r="814" spans="2:3" x14ac:dyDescent="0.25">
      <c r="B814" s="120"/>
      <c r="C814" s="120"/>
    </row>
    <row r="815" spans="2:3" x14ac:dyDescent="0.25">
      <c r="B815" s="120"/>
      <c r="C815" s="120"/>
    </row>
    <row r="816" spans="2:3" x14ac:dyDescent="0.25">
      <c r="B816" s="120"/>
      <c r="C816" s="120"/>
    </row>
    <row r="817" spans="2:3" x14ac:dyDescent="0.25">
      <c r="B817" s="120"/>
      <c r="C817" s="120"/>
    </row>
    <row r="818" spans="2:3" x14ac:dyDescent="0.25">
      <c r="B818" s="120"/>
      <c r="C818" s="120"/>
    </row>
    <row r="819" spans="2:3" x14ac:dyDescent="0.25">
      <c r="B819" s="120"/>
      <c r="C819" s="120"/>
    </row>
    <row r="820" spans="2:3" x14ac:dyDescent="0.25">
      <c r="B820" s="120"/>
      <c r="C820" s="120"/>
    </row>
    <row r="821" spans="2:3" x14ac:dyDescent="0.25">
      <c r="B821" s="120"/>
      <c r="C821" s="120"/>
    </row>
    <row r="822" spans="2:3" x14ac:dyDescent="0.25">
      <c r="B822" s="120"/>
      <c r="C822" s="120"/>
    </row>
    <row r="823" spans="2:3" x14ac:dyDescent="0.25">
      <c r="B823" s="120"/>
      <c r="C823" s="120"/>
    </row>
    <row r="824" spans="2:3" x14ac:dyDescent="0.25">
      <c r="B824" s="120"/>
      <c r="C824" s="120"/>
    </row>
    <row r="825" spans="2:3" x14ac:dyDescent="0.25">
      <c r="B825" s="120"/>
      <c r="C825" s="120"/>
    </row>
    <row r="826" spans="2:3" x14ac:dyDescent="0.25">
      <c r="B826" s="120"/>
      <c r="C826" s="120"/>
    </row>
    <row r="827" spans="2:3" x14ac:dyDescent="0.25">
      <c r="B827" s="120"/>
      <c r="C827" s="120"/>
    </row>
    <row r="828" spans="2:3" x14ac:dyDescent="0.25">
      <c r="B828" s="120"/>
      <c r="C828" s="120"/>
    </row>
    <row r="829" spans="2:3" x14ac:dyDescent="0.25">
      <c r="B829" s="120"/>
      <c r="C829" s="120"/>
    </row>
    <row r="830" spans="2:3" x14ac:dyDescent="0.25">
      <c r="B830" s="120"/>
      <c r="C830" s="120"/>
    </row>
    <row r="831" spans="2:3" x14ac:dyDescent="0.25">
      <c r="B831" s="120"/>
      <c r="C831" s="120"/>
    </row>
    <row r="832" spans="2:3" x14ac:dyDescent="0.25">
      <c r="B832" s="120"/>
      <c r="C832" s="120"/>
    </row>
    <row r="833" spans="2:3" x14ac:dyDescent="0.25">
      <c r="B833" s="120"/>
      <c r="C833" s="120"/>
    </row>
    <row r="834" spans="2:3" x14ac:dyDescent="0.25">
      <c r="B834" s="120"/>
      <c r="C834" s="120"/>
    </row>
    <row r="835" spans="2:3" x14ac:dyDescent="0.25">
      <c r="B835" s="120"/>
      <c r="C835" s="120"/>
    </row>
    <row r="836" spans="2:3" x14ac:dyDescent="0.25">
      <c r="B836" s="120"/>
      <c r="C836" s="120"/>
    </row>
    <row r="837" spans="2:3" x14ac:dyDescent="0.25">
      <c r="B837" s="120"/>
      <c r="C837" s="120"/>
    </row>
    <row r="838" spans="2:3" x14ac:dyDescent="0.25">
      <c r="B838" s="120"/>
      <c r="C838" s="120"/>
    </row>
    <row r="839" spans="2:3" x14ac:dyDescent="0.25">
      <c r="B839" s="120"/>
      <c r="C839" s="120"/>
    </row>
    <row r="840" spans="2:3" x14ac:dyDescent="0.25">
      <c r="B840" s="120"/>
      <c r="C840" s="120"/>
    </row>
    <row r="841" spans="2:3" x14ac:dyDescent="0.25">
      <c r="B841" s="120"/>
      <c r="C841" s="120"/>
    </row>
    <row r="842" spans="2:3" x14ac:dyDescent="0.25">
      <c r="B842" s="120"/>
      <c r="C842" s="120"/>
    </row>
    <row r="843" spans="2:3" x14ac:dyDescent="0.25">
      <c r="B843" s="120"/>
      <c r="C843" s="120"/>
    </row>
    <row r="844" spans="2:3" x14ac:dyDescent="0.25">
      <c r="B844" s="120"/>
      <c r="C844" s="120"/>
    </row>
    <row r="845" spans="2:3" x14ac:dyDescent="0.25">
      <c r="B845" s="120"/>
      <c r="C845" s="120"/>
    </row>
    <row r="846" spans="2:3" x14ac:dyDescent="0.25">
      <c r="B846" s="120"/>
      <c r="C846" s="120"/>
    </row>
    <row r="847" spans="2:3" x14ac:dyDescent="0.25">
      <c r="B847" s="120"/>
      <c r="C847" s="120"/>
    </row>
    <row r="848" spans="2:3" x14ac:dyDescent="0.25">
      <c r="B848" s="120"/>
      <c r="C848" s="120"/>
    </row>
    <row r="849" spans="2:3" x14ac:dyDescent="0.25">
      <c r="B849" s="120"/>
      <c r="C849" s="120"/>
    </row>
    <row r="850" spans="2:3" x14ac:dyDescent="0.25">
      <c r="B850" s="120"/>
      <c r="C850" s="120"/>
    </row>
    <row r="851" spans="2:3" x14ac:dyDescent="0.25">
      <c r="B851" s="120"/>
      <c r="C851" s="120"/>
    </row>
    <row r="852" spans="2:3" x14ac:dyDescent="0.25">
      <c r="B852" s="120"/>
      <c r="C852" s="120"/>
    </row>
    <row r="853" spans="2:3" x14ac:dyDescent="0.25">
      <c r="B853" s="120"/>
      <c r="C853" s="120"/>
    </row>
    <row r="854" spans="2:3" x14ac:dyDescent="0.25">
      <c r="B854" s="120"/>
      <c r="C854" s="120"/>
    </row>
    <row r="855" spans="2:3" x14ac:dyDescent="0.25">
      <c r="B855" s="120"/>
      <c r="C855" s="120"/>
    </row>
    <row r="856" spans="2:3" x14ac:dyDescent="0.25">
      <c r="B856" s="120"/>
      <c r="C856" s="120"/>
    </row>
    <row r="857" spans="2:3" x14ac:dyDescent="0.25">
      <c r="B857" s="120"/>
      <c r="C857" s="120"/>
    </row>
    <row r="858" spans="2:3" x14ac:dyDescent="0.25">
      <c r="B858" s="120"/>
      <c r="C858" s="120"/>
    </row>
    <row r="859" spans="2:3" x14ac:dyDescent="0.25">
      <c r="B859" s="120"/>
      <c r="C859" s="120"/>
    </row>
    <row r="860" spans="2:3" x14ac:dyDescent="0.25">
      <c r="B860" s="120"/>
      <c r="C860" s="120"/>
    </row>
    <row r="861" spans="2:3" x14ac:dyDescent="0.25">
      <c r="B861" s="120"/>
      <c r="C861" s="120"/>
    </row>
    <row r="862" spans="2:3" x14ac:dyDescent="0.25">
      <c r="B862" s="120"/>
      <c r="C862" s="120"/>
    </row>
    <row r="863" spans="2:3" x14ac:dyDescent="0.25">
      <c r="B863" s="120"/>
      <c r="C863" s="120"/>
    </row>
    <row r="864" spans="2:3" x14ac:dyDescent="0.25">
      <c r="B864" s="120"/>
      <c r="C864" s="120"/>
    </row>
    <row r="865" spans="2:3" x14ac:dyDescent="0.25">
      <c r="B865" s="120"/>
      <c r="C865" s="120"/>
    </row>
    <row r="866" spans="2:3" x14ac:dyDescent="0.25">
      <c r="B866" s="120"/>
      <c r="C866" s="120"/>
    </row>
    <row r="867" spans="2:3" x14ac:dyDescent="0.25">
      <c r="B867" s="120"/>
      <c r="C867" s="120"/>
    </row>
    <row r="868" spans="2:3" x14ac:dyDescent="0.25">
      <c r="B868" s="120"/>
      <c r="C868" s="120"/>
    </row>
    <row r="869" spans="2:3" x14ac:dyDescent="0.25">
      <c r="B869" s="120"/>
      <c r="C869" s="120"/>
    </row>
    <row r="870" spans="2:3" x14ac:dyDescent="0.25">
      <c r="B870" s="120"/>
      <c r="C870" s="120"/>
    </row>
    <row r="871" spans="2:3" x14ac:dyDescent="0.25">
      <c r="B871" s="120"/>
      <c r="C871" s="120"/>
    </row>
    <row r="872" spans="2:3" x14ac:dyDescent="0.25">
      <c r="B872" s="120"/>
      <c r="C872" s="120"/>
    </row>
    <row r="873" spans="2:3" x14ac:dyDescent="0.25">
      <c r="B873" s="120"/>
      <c r="C873" s="120"/>
    </row>
    <row r="874" spans="2:3" x14ac:dyDescent="0.25">
      <c r="B874" s="120"/>
      <c r="C874" s="120"/>
    </row>
    <row r="875" spans="2:3" x14ac:dyDescent="0.25">
      <c r="B875" s="120"/>
      <c r="C875" s="120"/>
    </row>
    <row r="876" spans="2:3" x14ac:dyDescent="0.25">
      <c r="B876" s="120"/>
      <c r="C876" s="120"/>
    </row>
    <row r="877" spans="2:3" x14ac:dyDescent="0.25">
      <c r="B877" s="120"/>
      <c r="C877" s="120"/>
    </row>
    <row r="878" spans="2:3" x14ac:dyDescent="0.25">
      <c r="B878" s="120"/>
      <c r="C878" s="120"/>
    </row>
    <row r="879" spans="2:3" x14ac:dyDescent="0.25">
      <c r="B879" s="120"/>
      <c r="C879" s="120"/>
    </row>
    <row r="880" spans="2:3" x14ac:dyDescent="0.25">
      <c r="B880" s="120"/>
      <c r="C880" s="120"/>
    </row>
    <row r="881" spans="2:3" x14ac:dyDescent="0.25">
      <c r="B881" s="120"/>
      <c r="C881" s="120"/>
    </row>
    <row r="882" spans="2:3" x14ac:dyDescent="0.25">
      <c r="B882" s="120"/>
      <c r="C882" s="120"/>
    </row>
    <row r="883" spans="2:3" x14ac:dyDescent="0.25">
      <c r="B883" s="120"/>
      <c r="C883" s="120"/>
    </row>
    <row r="884" spans="2:3" x14ac:dyDescent="0.25">
      <c r="B884" s="120"/>
      <c r="C884" s="120"/>
    </row>
    <row r="885" spans="2:3" x14ac:dyDescent="0.25">
      <c r="B885" s="120"/>
      <c r="C885" s="120"/>
    </row>
    <row r="886" spans="2:3" x14ac:dyDescent="0.25">
      <c r="B886" s="120"/>
      <c r="C886" s="120"/>
    </row>
    <row r="887" spans="2:3" x14ac:dyDescent="0.25">
      <c r="B887" s="120"/>
      <c r="C887" s="120"/>
    </row>
    <row r="888" spans="2:3" x14ac:dyDescent="0.25">
      <c r="B888" s="120"/>
      <c r="C888" s="120"/>
    </row>
    <row r="889" spans="2:3" x14ac:dyDescent="0.25">
      <c r="B889" s="120"/>
      <c r="C889" s="120"/>
    </row>
    <row r="890" spans="2:3" x14ac:dyDescent="0.25">
      <c r="B890" s="120"/>
      <c r="C890" s="120"/>
    </row>
    <row r="891" spans="2:3" x14ac:dyDescent="0.25">
      <c r="B891" s="120"/>
      <c r="C891" s="120"/>
    </row>
    <row r="892" spans="2:3" x14ac:dyDescent="0.25">
      <c r="B892" s="120"/>
      <c r="C892" s="120"/>
    </row>
    <row r="893" spans="2:3" x14ac:dyDescent="0.25">
      <c r="B893" s="120"/>
      <c r="C893" s="120"/>
    </row>
    <row r="894" spans="2:3" x14ac:dyDescent="0.25">
      <c r="B894" s="120"/>
      <c r="C894" s="120"/>
    </row>
    <row r="895" spans="2:3" x14ac:dyDescent="0.25">
      <c r="B895" s="120"/>
      <c r="C895" s="120"/>
    </row>
    <row r="896" spans="2:3" x14ac:dyDescent="0.25">
      <c r="B896" s="120"/>
      <c r="C896" s="120"/>
    </row>
    <row r="897" spans="2:3" x14ac:dyDescent="0.25">
      <c r="B897" s="120"/>
      <c r="C897" s="120"/>
    </row>
    <row r="898" spans="2:3" x14ac:dyDescent="0.25">
      <c r="B898" s="120"/>
      <c r="C898" s="120"/>
    </row>
    <row r="899" spans="2:3" x14ac:dyDescent="0.25">
      <c r="B899" s="120"/>
      <c r="C899" s="120"/>
    </row>
    <row r="900" spans="2:3" x14ac:dyDescent="0.25">
      <c r="B900" s="120"/>
      <c r="C900" s="120"/>
    </row>
    <row r="901" spans="2:3" x14ac:dyDescent="0.25">
      <c r="B901" s="120"/>
      <c r="C901" s="120"/>
    </row>
    <row r="902" spans="2:3" x14ac:dyDescent="0.25">
      <c r="B902" s="120"/>
      <c r="C902" s="120"/>
    </row>
    <row r="903" spans="2:3" x14ac:dyDescent="0.25">
      <c r="B903" s="120"/>
      <c r="C903" s="120"/>
    </row>
    <row r="904" spans="2:3" x14ac:dyDescent="0.25">
      <c r="B904" s="120"/>
      <c r="C904" s="120"/>
    </row>
    <row r="905" spans="2:3" x14ac:dyDescent="0.25">
      <c r="B905" s="120"/>
      <c r="C905" s="120"/>
    </row>
    <row r="906" spans="2:3" x14ac:dyDescent="0.25">
      <c r="B906" s="120"/>
      <c r="C906" s="120"/>
    </row>
    <row r="907" spans="2:3" x14ac:dyDescent="0.25">
      <c r="B907" s="120"/>
      <c r="C907" s="120"/>
    </row>
    <row r="908" spans="2:3" x14ac:dyDescent="0.25">
      <c r="B908" s="120"/>
      <c r="C908" s="120"/>
    </row>
    <row r="909" spans="2:3" x14ac:dyDescent="0.25">
      <c r="B909" s="120"/>
      <c r="C909" s="120"/>
    </row>
    <row r="910" spans="2:3" x14ac:dyDescent="0.25">
      <c r="B910" s="120"/>
      <c r="C910" s="120"/>
    </row>
    <row r="911" spans="2:3" x14ac:dyDescent="0.25">
      <c r="B911" s="120"/>
      <c r="C911" s="120"/>
    </row>
    <row r="912" spans="2:3" x14ac:dyDescent="0.25">
      <c r="B912" s="120"/>
      <c r="C912" s="120"/>
    </row>
    <row r="913" spans="2:3" x14ac:dyDescent="0.25">
      <c r="B913" s="120"/>
      <c r="C913" s="120"/>
    </row>
    <row r="914" spans="2:3" x14ac:dyDescent="0.25">
      <c r="B914" s="120"/>
      <c r="C914" s="120"/>
    </row>
    <row r="915" spans="2:3" x14ac:dyDescent="0.25">
      <c r="B915" s="120"/>
      <c r="C915" s="120"/>
    </row>
    <row r="916" spans="2:3" x14ac:dyDescent="0.25">
      <c r="B916" s="120"/>
      <c r="C916" s="120"/>
    </row>
    <row r="917" spans="2:3" x14ac:dyDescent="0.25">
      <c r="B917" s="120"/>
      <c r="C917" s="120"/>
    </row>
    <row r="918" spans="2:3" x14ac:dyDescent="0.25">
      <c r="B918" s="120"/>
      <c r="C918" s="120"/>
    </row>
    <row r="919" spans="2:3" x14ac:dyDescent="0.25">
      <c r="B919" s="120"/>
      <c r="C919" s="120"/>
    </row>
    <row r="920" spans="2:3" x14ac:dyDescent="0.25">
      <c r="B920" s="120"/>
      <c r="C920" s="120"/>
    </row>
    <row r="921" spans="2:3" x14ac:dyDescent="0.25">
      <c r="B921" s="120"/>
      <c r="C921" s="120"/>
    </row>
    <row r="922" spans="2:3" x14ac:dyDescent="0.25">
      <c r="B922" s="120"/>
      <c r="C922" s="120"/>
    </row>
    <row r="923" spans="2:3" x14ac:dyDescent="0.25">
      <c r="B923" s="120"/>
      <c r="C923" s="120"/>
    </row>
    <row r="924" spans="2:3" x14ac:dyDescent="0.25">
      <c r="B924" s="120"/>
      <c r="C924" s="120"/>
    </row>
    <row r="925" spans="2:3" x14ac:dyDescent="0.25">
      <c r="B925" s="120"/>
      <c r="C925" s="120"/>
    </row>
    <row r="926" spans="2:3" x14ac:dyDescent="0.25">
      <c r="B926" s="120"/>
      <c r="C926" s="120"/>
    </row>
    <row r="927" spans="2:3" x14ac:dyDescent="0.25">
      <c r="B927" s="120"/>
      <c r="C927" s="120"/>
    </row>
    <row r="928" spans="2:3" x14ac:dyDescent="0.25">
      <c r="B928" s="120"/>
      <c r="C928" s="120"/>
    </row>
    <row r="929" spans="2:3" x14ac:dyDescent="0.25">
      <c r="B929" s="120"/>
      <c r="C929" s="120"/>
    </row>
    <row r="930" spans="2:3" x14ac:dyDescent="0.25">
      <c r="B930" s="120"/>
      <c r="C930" s="120"/>
    </row>
    <row r="931" spans="2:3" x14ac:dyDescent="0.25">
      <c r="B931" s="120"/>
      <c r="C931" s="120"/>
    </row>
    <row r="932" spans="2:3" x14ac:dyDescent="0.25">
      <c r="B932" s="120"/>
      <c r="C932" s="120"/>
    </row>
    <row r="933" spans="2:3" x14ac:dyDescent="0.25">
      <c r="B933" s="120"/>
      <c r="C933" s="120"/>
    </row>
    <row r="934" spans="2:3" x14ac:dyDescent="0.25">
      <c r="B934" s="120"/>
      <c r="C934" s="120"/>
    </row>
    <row r="935" spans="2:3" x14ac:dyDescent="0.25">
      <c r="B935" s="120"/>
      <c r="C935" s="120"/>
    </row>
    <row r="936" spans="2:3" x14ac:dyDescent="0.25">
      <c r="B936" s="120"/>
      <c r="C936" s="120"/>
    </row>
    <row r="937" spans="2:3" x14ac:dyDescent="0.25">
      <c r="B937" s="120"/>
      <c r="C937" s="120"/>
    </row>
    <row r="938" spans="2:3" x14ac:dyDescent="0.25">
      <c r="B938" s="120"/>
      <c r="C938" s="120"/>
    </row>
    <row r="939" spans="2:3" x14ac:dyDescent="0.25">
      <c r="B939" s="120"/>
      <c r="C939" s="120"/>
    </row>
    <row r="940" spans="2:3" x14ac:dyDescent="0.25">
      <c r="B940" s="120"/>
      <c r="C940" s="120"/>
    </row>
    <row r="941" spans="2:3" x14ac:dyDescent="0.25">
      <c r="B941" s="120"/>
      <c r="C941" s="120"/>
    </row>
    <row r="942" spans="2:3" x14ac:dyDescent="0.25">
      <c r="B942" s="120"/>
      <c r="C942" s="120"/>
    </row>
    <row r="943" spans="2:3" x14ac:dyDescent="0.25">
      <c r="B943" s="120"/>
      <c r="C943" s="120"/>
    </row>
    <row r="944" spans="2:3" x14ac:dyDescent="0.25">
      <c r="B944" s="120"/>
      <c r="C944" s="120"/>
    </row>
    <row r="945" spans="2:3" x14ac:dyDescent="0.25">
      <c r="B945" s="120"/>
      <c r="C945" s="120"/>
    </row>
    <row r="946" spans="2:3" x14ac:dyDescent="0.25">
      <c r="B946" s="120"/>
      <c r="C946" s="120"/>
    </row>
    <row r="947" spans="2:3" x14ac:dyDescent="0.25">
      <c r="B947" s="120"/>
      <c r="C947" s="120"/>
    </row>
    <row r="948" spans="2:3" x14ac:dyDescent="0.25">
      <c r="B948" s="120"/>
      <c r="C948" s="120"/>
    </row>
    <row r="949" spans="2:3" x14ac:dyDescent="0.25">
      <c r="B949" s="120"/>
      <c r="C949" s="120"/>
    </row>
    <row r="950" spans="2:3" x14ac:dyDescent="0.25">
      <c r="B950" s="120"/>
      <c r="C950" s="120"/>
    </row>
    <row r="951" spans="2:3" x14ac:dyDescent="0.25">
      <c r="B951" s="120"/>
      <c r="C951" s="120"/>
    </row>
    <row r="952" spans="2:3" x14ac:dyDescent="0.25">
      <c r="B952" s="120"/>
      <c r="C952" s="120"/>
    </row>
    <row r="953" spans="2:3" x14ac:dyDescent="0.25">
      <c r="B953" s="120"/>
      <c r="C953" s="120"/>
    </row>
    <row r="954" spans="2:3" x14ac:dyDescent="0.25">
      <c r="B954" s="120"/>
      <c r="C954" s="120"/>
    </row>
    <row r="955" spans="2:3" x14ac:dyDescent="0.25">
      <c r="B955" s="120"/>
      <c r="C955" s="120"/>
    </row>
    <row r="956" spans="2:3" x14ac:dyDescent="0.25">
      <c r="B956" s="120"/>
      <c r="C956" s="120"/>
    </row>
    <row r="957" spans="2:3" x14ac:dyDescent="0.25">
      <c r="B957" s="120"/>
      <c r="C957" s="120"/>
    </row>
    <row r="958" spans="2:3" x14ac:dyDescent="0.25">
      <c r="B958" s="120"/>
      <c r="C958" s="120"/>
    </row>
    <row r="959" spans="2:3" x14ac:dyDescent="0.25">
      <c r="B959" s="120"/>
      <c r="C959" s="120"/>
    </row>
    <row r="960" spans="2:3" x14ac:dyDescent="0.25">
      <c r="B960" s="120"/>
      <c r="C960" s="120"/>
    </row>
    <row r="961" spans="2:3" x14ac:dyDescent="0.25">
      <c r="B961" s="120"/>
      <c r="C961" s="120"/>
    </row>
    <row r="962" spans="2:3" x14ac:dyDescent="0.25">
      <c r="B962" s="120"/>
      <c r="C962" s="120"/>
    </row>
    <row r="963" spans="2:3" x14ac:dyDescent="0.25">
      <c r="B963" s="120"/>
      <c r="C963" s="120"/>
    </row>
    <row r="964" spans="2:3" x14ac:dyDescent="0.25">
      <c r="B964" s="120"/>
      <c r="C964" s="120"/>
    </row>
    <row r="965" spans="2:3" x14ac:dyDescent="0.25">
      <c r="B965" s="120"/>
      <c r="C965" s="120"/>
    </row>
    <row r="966" spans="2:3" x14ac:dyDescent="0.25">
      <c r="B966" s="120"/>
      <c r="C966" s="120"/>
    </row>
    <row r="967" spans="2:3" x14ac:dyDescent="0.25">
      <c r="B967" s="120"/>
      <c r="C967" s="120"/>
    </row>
    <row r="968" spans="2:3" x14ac:dyDescent="0.25">
      <c r="B968" s="120"/>
      <c r="C968" s="120"/>
    </row>
    <row r="969" spans="2:3" x14ac:dyDescent="0.25">
      <c r="B969" s="120"/>
      <c r="C969" s="120"/>
    </row>
    <row r="970" spans="2:3" x14ac:dyDescent="0.25">
      <c r="B970" s="120"/>
      <c r="C970" s="120"/>
    </row>
    <row r="971" spans="2:3" x14ac:dyDescent="0.25">
      <c r="B971" s="120"/>
      <c r="C971" s="120"/>
    </row>
    <row r="972" spans="2:3" x14ac:dyDescent="0.25">
      <c r="B972" s="120"/>
      <c r="C972" s="120"/>
    </row>
    <row r="973" spans="2:3" x14ac:dyDescent="0.25">
      <c r="B973" s="120"/>
      <c r="C973" s="120"/>
    </row>
    <row r="974" spans="2:3" x14ac:dyDescent="0.25">
      <c r="B974" s="120"/>
      <c r="C974" s="120"/>
    </row>
    <row r="975" spans="2:3" x14ac:dyDescent="0.25">
      <c r="B975" s="120"/>
      <c r="C975" s="120"/>
    </row>
    <row r="976" spans="2:3" x14ac:dyDescent="0.25">
      <c r="B976" s="120"/>
      <c r="C976" s="120"/>
    </row>
    <row r="977" spans="2:3" x14ac:dyDescent="0.25">
      <c r="B977" s="120"/>
      <c r="C977" s="120"/>
    </row>
    <row r="978" spans="2:3" x14ac:dyDescent="0.25">
      <c r="B978" s="120"/>
      <c r="C978" s="120"/>
    </row>
    <row r="979" spans="2:3" x14ac:dyDescent="0.25">
      <c r="B979" s="120"/>
      <c r="C979" s="120"/>
    </row>
    <row r="980" spans="2:3" x14ac:dyDescent="0.25">
      <c r="B980" s="120"/>
      <c r="C980" s="120"/>
    </row>
    <row r="981" spans="2:3" x14ac:dyDescent="0.25">
      <c r="B981" s="120"/>
      <c r="C981" s="120"/>
    </row>
    <row r="982" spans="2:3" x14ac:dyDescent="0.25">
      <c r="B982" s="120"/>
      <c r="C982" s="120"/>
    </row>
    <row r="983" spans="2:3" x14ac:dyDescent="0.25">
      <c r="B983" s="120"/>
      <c r="C983" s="120"/>
    </row>
    <row r="984" spans="2:3" x14ac:dyDescent="0.25">
      <c r="B984" s="120"/>
      <c r="C984" s="120"/>
    </row>
    <row r="985" spans="2:3" x14ac:dyDescent="0.25">
      <c r="B985" s="120"/>
      <c r="C985" s="120"/>
    </row>
    <row r="986" spans="2:3" x14ac:dyDescent="0.25">
      <c r="B986" s="120"/>
      <c r="C986" s="120"/>
    </row>
    <row r="987" spans="2:3" x14ac:dyDescent="0.25">
      <c r="B987" s="120"/>
      <c r="C987" s="120"/>
    </row>
    <row r="988" spans="2:3" x14ac:dyDescent="0.25">
      <c r="B988" s="120"/>
      <c r="C988" s="120"/>
    </row>
    <row r="989" spans="2:3" x14ac:dyDescent="0.25">
      <c r="B989" s="120"/>
      <c r="C989" s="120"/>
    </row>
    <row r="990" spans="2:3" x14ac:dyDescent="0.25">
      <c r="B990" s="120"/>
      <c r="C990" s="120"/>
    </row>
    <row r="991" spans="2:3" x14ac:dyDescent="0.25">
      <c r="B991" s="120"/>
      <c r="C991" s="120"/>
    </row>
    <row r="992" spans="2:3" x14ac:dyDescent="0.25">
      <c r="B992" s="120"/>
      <c r="C992" s="120"/>
    </row>
    <row r="993" spans="2:3" x14ac:dyDescent="0.25">
      <c r="B993" s="120"/>
      <c r="C993" s="120"/>
    </row>
    <row r="994" spans="2:3" x14ac:dyDescent="0.25">
      <c r="B994" s="120"/>
      <c r="C994" s="120"/>
    </row>
    <row r="995" spans="2:3" x14ac:dyDescent="0.25">
      <c r="B995" s="120"/>
      <c r="C995" s="120"/>
    </row>
    <row r="996" spans="2:3" x14ac:dyDescent="0.25">
      <c r="B996" s="120"/>
      <c r="C996" s="120"/>
    </row>
    <row r="997" spans="2:3" x14ac:dyDescent="0.25">
      <c r="B997" s="120"/>
      <c r="C997" s="120"/>
    </row>
    <row r="998" spans="2:3" x14ac:dyDescent="0.25">
      <c r="B998" s="120"/>
      <c r="C998" s="120"/>
    </row>
    <row r="999" spans="2:3" x14ac:dyDescent="0.25">
      <c r="B999" s="120"/>
      <c r="C999" s="120"/>
    </row>
    <row r="1000" spans="2:3" x14ac:dyDescent="0.25">
      <c r="B1000" s="120"/>
      <c r="C1000" s="120"/>
    </row>
    <row r="1001" spans="2:3" x14ac:dyDescent="0.25">
      <c r="B1001" s="120"/>
      <c r="C1001" s="120"/>
    </row>
    <row r="1002" spans="2:3" x14ac:dyDescent="0.25">
      <c r="B1002" s="120"/>
      <c r="C1002" s="120"/>
    </row>
    <row r="1003" spans="2:3" x14ac:dyDescent="0.25">
      <c r="B1003" s="120"/>
      <c r="C1003" s="120"/>
    </row>
    <row r="1004" spans="2:3" x14ac:dyDescent="0.25">
      <c r="B1004" s="120"/>
      <c r="C1004" s="120"/>
    </row>
    <row r="1005" spans="2:3" x14ac:dyDescent="0.25">
      <c r="B1005" s="120"/>
      <c r="C1005" s="120"/>
    </row>
    <row r="1006" spans="2:3" x14ac:dyDescent="0.25">
      <c r="B1006" s="120"/>
      <c r="C1006" s="120"/>
    </row>
    <row r="1007" spans="2:3" x14ac:dyDescent="0.25">
      <c r="B1007" s="120"/>
      <c r="C1007" s="120"/>
    </row>
    <row r="1008" spans="2:3" x14ac:dyDescent="0.25">
      <c r="B1008" s="120"/>
      <c r="C1008" s="120"/>
    </row>
    <row r="1009" spans="2:3" x14ac:dyDescent="0.25">
      <c r="B1009" s="120"/>
      <c r="C1009" s="120"/>
    </row>
    <row r="1010" spans="2:3" x14ac:dyDescent="0.25">
      <c r="B1010" s="120"/>
      <c r="C1010" s="120"/>
    </row>
    <row r="1011" spans="2:3" x14ac:dyDescent="0.25">
      <c r="B1011" s="120"/>
      <c r="C1011" s="120"/>
    </row>
    <row r="1012" spans="2:3" x14ac:dyDescent="0.25">
      <c r="B1012" s="120"/>
      <c r="C1012" s="120"/>
    </row>
    <row r="1013" spans="2:3" x14ac:dyDescent="0.25">
      <c r="B1013" s="120"/>
      <c r="C1013" s="120"/>
    </row>
    <row r="1014" spans="2:3" x14ac:dyDescent="0.25">
      <c r="B1014" s="120"/>
      <c r="C1014" s="120"/>
    </row>
    <row r="1015" spans="2:3" x14ac:dyDescent="0.25">
      <c r="B1015" s="120"/>
      <c r="C1015" s="120"/>
    </row>
    <row r="1016" spans="2:3" x14ac:dyDescent="0.25">
      <c r="B1016" s="120"/>
      <c r="C1016" s="120"/>
    </row>
    <row r="1017" spans="2:3" x14ac:dyDescent="0.25">
      <c r="B1017" s="120"/>
      <c r="C1017" s="120"/>
    </row>
    <row r="1018" spans="2:3" x14ac:dyDescent="0.25">
      <c r="B1018" s="120"/>
      <c r="C1018" s="120"/>
    </row>
    <row r="1019" spans="2:3" x14ac:dyDescent="0.25">
      <c r="B1019" s="120"/>
      <c r="C1019" s="120"/>
    </row>
    <row r="1020" spans="2:3" x14ac:dyDescent="0.25">
      <c r="B1020" s="120"/>
      <c r="C1020" s="120"/>
    </row>
    <row r="1021" spans="2:3" x14ac:dyDescent="0.25">
      <c r="B1021" s="120"/>
      <c r="C1021" s="120"/>
    </row>
    <row r="1022" spans="2:3" x14ac:dyDescent="0.25">
      <c r="B1022" s="120"/>
      <c r="C1022" s="120"/>
    </row>
    <row r="1023" spans="2:3" x14ac:dyDescent="0.25">
      <c r="B1023" s="120"/>
      <c r="C1023" s="120"/>
    </row>
    <row r="1024" spans="2:3" x14ac:dyDescent="0.25">
      <c r="B1024" s="120"/>
      <c r="C1024" s="120"/>
    </row>
    <row r="1025" spans="2:3" x14ac:dyDescent="0.25">
      <c r="B1025" s="120"/>
      <c r="C1025" s="120"/>
    </row>
    <row r="1026" spans="2:3" x14ac:dyDescent="0.25">
      <c r="B1026" s="120"/>
      <c r="C1026" s="120"/>
    </row>
    <row r="1027" spans="2:3" x14ac:dyDescent="0.25">
      <c r="B1027" s="120"/>
      <c r="C1027" s="120"/>
    </row>
    <row r="1028" spans="2:3" x14ac:dyDescent="0.25">
      <c r="B1028" s="120"/>
      <c r="C1028" s="120"/>
    </row>
    <row r="1029" spans="2:3" x14ac:dyDescent="0.25">
      <c r="B1029" s="120"/>
      <c r="C1029" s="120"/>
    </row>
    <row r="1030" spans="2:3" x14ac:dyDescent="0.25">
      <c r="B1030" s="120"/>
      <c r="C1030" s="120"/>
    </row>
    <row r="1031" spans="2:3" x14ac:dyDescent="0.25">
      <c r="B1031" s="120"/>
      <c r="C1031" s="120"/>
    </row>
    <row r="1032" spans="2:3" x14ac:dyDescent="0.25">
      <c r="B1032" s="120"/>
      <c r="C1032" s="120"/>
    </row>
    <row r="1033" spans="2:3" x14ac:dyDescent="0.25">
      <c r="B1033" s="120"/>
      <c r="C1033" s="120"/>
    </row>
    <row r="1034" spans="2:3" x14ac:dyDescent="0.25">
      <c r="B1034" s="120"/>
      <c r="C1034" s="120"/>
    </row>
    <row r="1035" spans="2:3" x14ac:dyDescent="0.25">
      <c r="B1035" s="120"/>
      <c r="C1035" s="120"/>
    </row>
    <row r="1036" spans="2:3" x14ac:dyDescent="0.25">
      <c r="B1036" s="120"/>
      <c r="C1036" s="120"/>
    </row>
    <row r="1037" spans="2:3" x14ac:dyDescent="0.25">
      <c r="B1037" s="120"/>
      <c r="C1037" s="120"/>
    </row>
    <row r="1038" spans="2:3" x14ac:dyDescent="0.25">
      <c r="B1038" s="120"/>
      <c r="C1038" s="120"/>
    </row>
    <row r="1039" spans="2:3" x14ac:dyDescent="0.25">
      <c r="B1039" s="120"/>
      <c r="C1039" s="120"/>
    </row>
    <row r="1040" spans="2:3" x14ac:dyDescent="0.25">
      <c r="B1040" s="120"/>
      <c r="C1040" s="120"/>
    </row>
    <row r="1041" spans="2:3" x14ac:dyDescent="0.25">
      <c r="B1041" s="120"/>
      <c r="C1041" s="120"/>
    </row>
    <row r="1042" spans="2:3" x14ac:dyDescent="0.25">
      <c r="B1042" s="120"/>
      <c r="C1042" s="120"/>
    </row>
    <row r="1043" spans="2:3" x14ac:dyDescent="0.25">
      <c r="B1043" s="120"/>
      <c r="C1043" s="120"/>
    </row>
    <row r="1044" spans="2:3" x14ac:dyDescent="0.25">
      <c r="B1044" s="120"/>
      <c r="C1044" s="120"/>
    </row>
    <row r="1045" spans="2:3" x14ac:dyDescent="0.25">
      <c r="B1045" s="120"/>
      <c r="C1045" s="120"/>
    </row>
    <row r="1046" spans="2:3" x14ac:dyDescent="0.25">
      <c r="B1046" s="120"/>
      <c r="C1046" s="120"/>
    </row>
    <row r="1047" spans="2:3" x14ac:dyDescent="0.25">
      <c r="B1047" s="120"/>
      <c r="C1047" s="120"/>
    </row>
    <row r="1048" spans="2:3" x14ac:dyDescent="0.25">
      <c r="B1048" s="120"/>
      <c r="C1048" s="120"/>
    </row>
    <row r="1049" spans="2:3" x14ac:dyDescent="0.25">
      <c r="B1049" s="120"/>
      <c r="C1049" s="120"/>
    </row>
    <row r="1050" spans="2:3" x14ac:dyDescent="0.25">
      <c r="B1050" s="120"/>
      <c r="C1050" s="120"/>
    </row>
    <row r="1051" spans="2:3" x14ac:dyDescent="0.25">
      <c r="B1051" s="120"/>
      <c r="C1051" s="120"/>
    </row>
    <row r="1052" spans="2:3" x14ac:dyDescent="0.25">
      <c r="B1052" s="120"/>
      <c r="C1052" s="120"/>
    </row>
    <row r="1053" spans="2:3" x14ac:dyDescent="0.25">
      <c r="B1053" s="120"/>
      <c r="C1053" s="120"/>
    </row>
    <row r="1054" spans="2:3" x14ac:dyDescent="0.25">
      <c r="B1054" s="120"/>
      <c r="C1054" s="120"/>
    </row>
    <row r="1055" spans="2:3" x14ac:dyDescent="0.25">
      <c r="B1055" s="120"/>
      <c r="C1055" s="120"/>
    </row>
    <row r="1056" spans="2:3" x14ac:dyDescent="0.25">
      <c r="B1056" s="120"/>
      <c r="C1056" s="120"/>
    </row>
    <row r="1057" spans="2:3" x14ac:dyDescent="0.25">
      <c r="B1057" s="120"/>
      <c r="C1057" s="120"/>
    </row>
    <row r="1058" spans="2:3" x14ac:dyDescent="0.25">
      <c r="B1058" s="120"/>
      <c r="C1058" s="120"/>
    </row>
    <row r="1059" spans="2:3" x14ac:dyDescent="0.25">
      <c r="B1059" s="120"/>
      <c r="C1059" s="120"/>
    </row>
    <row r="1060" spans="2:3" x14ac:dyDescent="0.25">
      <c r="B1060" s="120"/>
      <c r="C1060" s="120"/>
    </row>
    <row r="1061" spans="2:3" x14ac:dyDescent="0.25">
      <c r="B1061" s="120"/>
      <c r="C1061" s="120"/>
    </row>
    <row r="1062" spans="2:3" x14ac:dyDescent="0.25">
      <c r="B1062" s="120"/>
      <c r="C1062" s="120"/>
    </row>
    <row r="1063" spans="2:3" x14ac:dyDescent="0.25">
      <c r="B1063" s="120"/>
      <c r="C1063" s="120"/>
    </row>
    <row r="1064" spans="2:3" x14ac:dyDescent="0.25">
      <c r="B1064" s="120"/>
      <c r="C1064" s="120"/>
    </row>
    <row r="1065" spans="2:3" x14ac:dyDescent="0.25">
      <c r="B1065" s="120"/>
      <c r="C1065" s="120"/>
    </row>
    <row r="1066" spans="2:3" x14ac:dyDescent="0.25">
      <c r="B1066" s="120"/>
      <c r="C1066" s="120"/>
    </row>
    <row r="1067" spans="2:3" x14ac:dyDescent="0.25">
      <c r="B1067" s="120"/>
      <c r="C1067" s="120"/>
    </row>
    <row r="1068" spans="2:3" x14ac:dyDescent="0.25">
      <c r="B1068" s="120"/>
      <c r="C1068" s="120"/>
    </row>
    <row r="1069" spans="2:3" x14ac:dyDescent="0.25">
      <c r="B1069" s="120"/>
      <c r="C1069" s="120"/>
    </row>
    <row r="1070" spans="2:3" x14ac:dyDescent="0.25">
      <c r="B1070" s="120"/>
      <c r="C1070" s="120"/>
    </row>
    <row r="1071" spans="2:3" x14ac:dyDescent="0.25">
      <c r="B1071" s="120"/>
      <c r="C1071" s="120"/>
    </row>
    <row r="1072" spans="2:3" x14ac:dyDescent="0.25">
      <c r="B1072" s="120"/>
      <c r="C1072" s="120"/>
    </row>
    <row r="1073" spans="2:3" x14ac:dyDescent="0.25">
      <c r="B1073" s="120"/>
      <c r="C1073" s="120"/>
    </row>
    <row r="1074" spans="2:3" x14ac:dyDescent="0.25">
      <c r="B1074" s="120"/>
      <c r="C1074" s="120"/>
    </row>
    <row r="1075" spans="2:3" x14ac:dyDescent="0.25">
      <c r="B1075" s="120"/>
      <c r="C1075" s="120"/>
    </row>
    <row r="1076" spans="2:3" x14ac:dyDescent="0.25">
      <c r="B1076" s="120"/>
      <c r="C1076" s="120"/>
    </row>
    <row r="1077" spans="2:3" x14ac:dyDescent="0.25">
      <c r="B1077" s="120"/>
      <c r="C1077" s="120"/>
    </row>
    <row r="1078" spans="2:3" x14ac:dyDescent="0.25">
      <c r="B1078" s="120"/>
      <c r="C1078" s="120"/>
    </row>
    <row r="1079" spans="2:3" x14ac:dyDescent="0.25">
      <c r="B1079" s="120"/>
      <c r="C1079" s="120"/>
    </row>
    <row r="1080" spans="2:3" x14ac:dyDescent="0.25">
      <c r="B1080" s="120"/>
      <c r="C1080" s="120"/>
    </row>
    <row r="1081" spans="2:3" x14ac:dyDescent="0.25">
      <c r="B1081" s="120"/>
      <c r="C1081" s="120"/>
    </row>
    <row r="1082" spans="2:3" x14ac:dyDescent="0.25">
      <c r="B1082" s="120"/>
      <c r="C1082" s="120"/>
    </row>
    <row r="1083" spans="2:3" x14ac:dyDescent="0.25">
      <c r="B1083" s="120"/>
      <c r="C1083" s="120"/>
    </row>
    <row r="1084" spans="2:3" x14ac:dyDescent="0.25">
      <c r="B1084" s="120"/>
      <c r="C1084" s="120"/>
    </row>
    <row r="1085" spans="2:3" x14ac:dyDescent="0.25">
      <c r="B1085" s="120"/>
      <c r="C1085" s="120"/>
    </row>
    <row r="1086" spans="2:3" x14ac:dyDescent="0.25">
      <c r="B1086" s="120"/>
      <c r="C1086" s="120"/>
    </row>
    <row r="1087" spans="2:3" x14ac:dyDescent="0.25">
      <c r="B1087" s="120"/>
      <c r="C1087" s="120"/>
    </row>
    <row r="1088" spans="2:3" x14ac:dyDescent="0.25">
      <c r="B1088" s="120"/>
      <c r="C1088" s="120"/>
    </row>
    <row r="1089" spans="2:3" x14ac:dyDescent="0.25">
      <c r="B1089" s="120"/>
      <c r="C1089" s="120"/>
    </row>
    <row r="1090" spans="2:3" x14ac:dyDescent="0.25">
      <c r="B1090" s="120"/>
      <c r="C1090" s="120"/>
    </row>
    <row r="1091" spans="2:3" x14ac:dyDescent="0.25">
      <c r="B1091" s="120"/>
      <c r="C1091" s="120"/>
    </row>
    <row r="1092" spans="2:3" x14ac:dyDescent="0.25">
      <c r="B1092" s="120"/>
      <c r="C1092" s="120"/>
    </row>
    <row r="1093" spans="2:3" x14ac:dyDescent="0.25">
      <c r="B1093" s="120"/>
      <c r="C1093" s="120"/>
    </row>
    <row r="1094" spans="2:3" x14ac:dyDescent="0.25">
      <c r="B1094" s="120"/>
      <c r="C1094" s="120"/>
    </row>
    <row r="1095" spans="2:3" x14ac:dyDescent="0.25">
      <c r="B1095" s="120"/>
      <c r="C1095" s="120"/>
    </row>
    <row r="1096" spans="2:3" x14ac:dyDescent="0.25">
      <c r="B1096" s="120"/>
      <c r="C1096" s="120"/>
    </row>
    <row r="1097" spans="2:3" x14ac:dyDescent="0.25">
      <c r="B1097" s="120"/>
      <c r="C1097" s="120"/>
    </row>
    <row r="1098" spans="2:3" x14ac:dyDescent="0.25">
      <c r="B1098" s="120"/>
      <c r="C1098" s="120"/>
    </row>
    <row r="1099" spans="2:3" x14ac:dyDescent="0.25">
      <c r="B1099" s="120"/>
      <c r="C1099" s="120"/>
    </row>
    <row r="1100" spans="2:3" x14ac:dyDescent="0.25">
      <c r="B1100" s="120"/>
      <c r="C1100" s="120"/>
    </row>
    <row r="1101" spans="2:3" x14ac:dyDescent="0.25">
      <c r="B1101" s="120"/>
      <c r="C1101" s="120"/>
    </row>
    <row r="1102" spans="2:3" x14ac:dyDescent="0.25">
      <c r="B1102" s="120"/>
      <c r="C1102" s="120"/>
    </row>
    <row r="1103" spans="2:3" x14ac:dyDescent="0.25">
      <c r="B1103" s="120"/>
      <c r="C1103" s="120"/>
    </row>
    <row r="1104" spans="2:3" x14ac:dyDescent="0.25">
      <c r="B1104" s="120"/>
      <c r="C1104" s="120"/>
    </row>
    <row r="1105" spans="2:3" x14ac:dyDescent="0.25">
      <c r="B1105" s="120"/>
      <c r="C1105" s="120"/>
    </row>
    <row r="1106" spans="2:3" x14ac:dyDescent="0.25">
      <c r="B1106" s="120"/>
      <c r="C1106" s="120"/>
    </row>
    <row r="1107" spans="2:3" x14ac:dyDescent="0.25">
      <c r="B1107" s="120"/>
      <c r="C1107" s="120"/>
    </row>
    <row r="1108" spans="2:3" x14ac:dyDescent="0.25">
      <c r="B1108" s="120"/>
      <c r="C1108" s="120"/>
    </row>
    <row r="1109" spans="2:3" x14ac:dyDescent="0.25">
      <c r="B1109" s="120"/>
      <c r="C1109" s="120"/>
    </row>
    <row r="1110" spans="2:3" x14ac:dyDescent="0.25">
      <c r="B1110" s="120"/>
      <c r="C1110" s="120"/>
    </row>
    <row r="1111" spans="2:3" x14ac:dyDescent="0.25">
      <c r="B1111" s="120"/>
      <c r="C1111" s="120"/>
    </row>
    <row r="1112" spans="2:3" x14ac:dyDescent="0.25">
      <c r="B1112" s="120"/>
      <c r="C1112" s="120"/>
    </row>
    <row r="1113" spans="2:3" x14ac:dyDescent="0.25">
      <c r="B1113" s="120"/>
      <c r="C1113" s="120"/>
    </row>
    <row r="1114" spans="2:3" x14ac:dyDescent="0.25">
      <c r="B1114" s="120"/>
      <c r="C1114" s="120"/>
    </row>
    <row r="1115" spans="2:3" x14ac:dyDescent="0.25">
      <c r="B1115" s="120"/>
      <c r="C1115" s="120"/>
    </row>
    <row r="1116" spans="2:3" x14ac:dyDescent="0.25">
      <c r="B1116" s="120"/>
      <c r="C1116" s="120"/>
    </row>
    <row r="1117" spans="2:3" x14ac:dyDescent="0.25">
      <c r="B1117" s="120"/>
      <c r="C1117" s="120"/>
    </row>
    <row r="1118" spans="2:3" x14ac:dyDescent="0.25">
      <c r="B1118" s="120"/>
      <c r="C1118" s="120"/>
    </row>
    <row r="1119" spans="2:3" x14ac:dyDescent="0.25">
      <c r="B1119" s="120"/>
      <c r="C1119" s="120"/>
    </row>
    <row r="1120" spans="2:3" x14ac:dyDescent="0.25">
      <c r="B1120" s="120"/>
      <c r="C1120" s="120"/>
    </row>
    <row r="1121" spans="2:3" x14ac:dyDescent="0.25">
      <c r="B1121" s="120"/>
      <c r="C1121" s="120"/>
    </row>
    <row r="1122" spans="2:3" x14ac:dyDescent="0.25">
      <c r="B1122" s="120"/>
      <c r="C1122" s="120"/>
    </row>
    <row r="1123" spans="2:3" x14ac:dyDescent="0.25">
      <c r="B1123" s="120"/>
      <c r="C1123" s="120"/>
    </row>
    <row r="1124" spans="2:3" x14ac:dyDescent="0.25">
      <c r="B1124" s="120"/>
      <c r="C1124" s="120"/>
    </row>
    <row r="1125" spans="2:3" x14ac:dyDescent="0.25">
      <c r="B1125" s="120"/>
      <c r="C1125" s="120"/>
    </row>
    <row r="1126" spans="2:3" x14ac:dyDescent="0.25">
      <c r="B1126" s="120"/>
      <c r="C1126" s="120"/>
    </row>
    <row r="1127" spans="2:3" x14ac:dyDescent="0.25">
      <c r="B1127" s="120"/>
      <c r="C1127" s="120"/>
    </row>
    <row r="1128" spans="2:3" x14ac:dyDescent="0.25">
      <c r="B1128" s="120"/>
      <c r="C1128" s="120"/>
    </row>
    <row r="1129" spans="2:3" x14ac:dyDescent="0.25">
      <c r="B1129" s="120"/>
      <c r="C1129" s="120"/>
    </row>
    <row r="1130" spans="2:3" x14ac:dyDescent="0.25">
      <c r="B1130" s="120"/>
      <c r="C1130" s="120"/>
    </row>
    <row r="1131" spans="2:3" x14ac:dyDescent="0.25">
      <c r="B1131" s="120"/>
      <c r="C1131" s="120"/>
    </row>
    <row r="1132" spans="2:3" x14ac:dyDescent="0.25">
      <c r="B1132" s="120"/>
      <c r="C1132" s="120"/>
    </row>
    <row r="1133" spans="2:3" x14ac:dyDescent="0.25">
      <c r="B1133" s="120"/>
      <c r="C1133" s="120"/>
    </row>
    <row r="1134" spans="2:3" x14ac:dyDescent="0.25">
      <c r="B1134" s="120"/>
      <c r="C1134" s="120"/>
    </row>
    <row r="1135" spans="2:3" x14ac:dyDescent="0.25">
      <c r="B1135" s="120"/>
      <c r="C1135" s="120"/>
    </row>
    <row r="1136" spans="2:3" x14ac:dyDescent="0.25">
      <c r="B1136" s="120"/>
      <c r="C1136" s="120"/>
    </row>
    <row r="1137" spans="2:3" x14ac:dyDescent="0.25">
      <c r="B1137" s="120"/>
      <c r="C1137" s="120"/>
    </row>
    <row r="1138" spans="2:3" x14ac:dyDescent="0.25">
      <c r="B1138" s="120"/>
      <c r="C1138" s="120"/>
    </row>
    <row r="1139" spans="2:3" x14ac:dyDescent="0.25">
      <c r="B1139" s="120"/>
      <c r="C1139" s="120"/>
    </row>
    <row r="1140" spans="2:3" x14ac:dyDescent="0.25">
      <c r="B1140" s="120"/>
      <c r="C1140" s="120"/>
    </row>
    <row r="1141" spans="2:3" x14ac:dyDescent="0.25">
      <c r="B1141" s="120"/>
      <c r="C1141" s="120"/>
    </row>
    <row r="1142" spans="2:3" x14ac:dyDescent="0.25">
      <c r="B1142" s="120"/>
      <c r="C1142" s="120"/>
    </row>
    <row r="1143" spans="2:3" x14ac:dyDescent="0.25">
      <c r="B1143" s="120"/>
      <c r="C1143" s="120"/>
    </row>
    <row r="1144" spans="2:3" x14ac:dyDescent="0.25">
      <c r="B1144" s="120"/>
      <c r="C1144" s="120"/>
    </row>
    <row r="1145" spans="2:3" x14ac:dyDescent="0.25">
      <c r="B1145" s="120"/>
      <c r="C1145" s="120"/>
    </row>
    <row r="1146" spans="2:3" x14ac:dyDescent="0.25">
      <c r="B1146" s="120"/>
      <c r="C1146" s="120"/>
    </row>
    <row r="1147" spans="2:3" x14ac:dyDescent="0.25">
      <c r="B1147" s="120"/>
      <c r="C1147" s="120"/>
    </row>
    <row r="1148" spans="2:3" x14ac:dyDescent="0.25">
      <c r="B1148" s="120"/>
      <c r="C1148" s="120"/>
    </row>
    <row r="1149" spans="2:3" x14ac:dyDescent="0.25">
      <c r="B1149" s="120"/>
      <c r="C1149" s="120"/>
    </row>
    <row r="1150" spans="2:3" x14ac:dyDescent="0.25">
      <c r="B1150" s="120"/>
      <c r="C1150" s="120"/>
    </row>
    <row r="1151" spans="2:3" x14ac:dyDescent="0.25">
      <c r="B1151" s="120"/>
      <c r="C1151" s="120"/>
    </row>
    <row r="1152" spans="2:3" x14ac:dyDescent="0.25">
      <c r="B1152" s="120"/>
      <c r="C1152" s="120"/>
    </row>
    <row r="1153" spans="2:3" x14ac:dyDescent="0.25">
      <c r="B1153" s="120"/>
      <c r="C1153" s="120"/>
    </row>
    <row r="1154" spans="2:3" x14ac:dyDescent="0.25">
      <c r="B1154" s="120"/>
      <c r="C1154" s="120"/>
    </row>
    <row r="1155" spans="2:3" x14ac:dyDescent="0.25">
      <c r="B1155" s="120"/>
      <c r="C1155" s="120"/>
    </row>
    <row r="1156" spans="2:3" x14ac:dyDescent="0.25">
      <c r="B1156" s="120"/>
      <c r="C1156" s="120"/>
    </row>
    <row r="1157" spans="2:3" x14ac:dyDescent="0.25">
      <c r="B1157" s="120"/>
      <c r="C1157" s="120"/>
    </row>
    <row r="1158" spans="2:3" x14ac:dyDescent="0.25">
      <c r="B1158" s="120"/>
      <c r="C1158" s="120"/>
    </row>
    <row r="1159" spans="2:3" x14ac:dyDescent="0.25">
      <c r="B1159" s="120"/>
      <c r="C1159" s="120"/>
    </row>
    <row r="1160" spans="2:3" x14ac:dyDescent="0.25">
      <c r="B1160" s="120"/>
      <c r="C1160" s="120"/>
    </row>
    <row r="1161" spans="2:3" x14ac:dyDescent="0.25">
      <c r="B1161" s="120"/>
      <c r="C1161" s="120"/>
    </row>
    <row r="1162" spans="2:3" x14ac:dyDescent="0.25">
      <c r="B1162" s="120"/>
      <c r="C1162" s="120"/>
    </row>
    <row r="1163" spans="2:3" x14ac:dyDescent="0.25">
      <c r="B1163" s="120"/>
      <c r="C1163" s="120"/>
    </row>
    <row r="1164" spans="2:3" x14ac:dyDescent="0.25">
      <c r="B1164" s="120"/>
      <c r="C1164" s="120"/>
    </row>
    <row r="1165" spans="2:3" x14ac:dyDescent="0.25">
      <c r="B1165" s="120"/>
      <c r="C1165" s="120"/>
    </row>
    <row r="1166" spans="2:3" x14ac:dyDescent="0.25">
      <c r="B1166" s="120"/>
      <c r="C1166" s="120"/>
    </row>
    <row r="1167" spans="2:3" x14ac:dyDescent="0.25">
      <c r="B1167" s="120"/>
      <c r="C1167" s="120"/>
    </row>
    <row r="1168" spans="2:3" x14ac:dyDescent="0.25">
      <c r="B1168" s="120"/>
      <c r="C1168" s="120"/>
    </row>
    <row r="1169" spans="2:3" x14ac:dyDescent="0.25">
      <c r="B1169" s="120"/>
      <c r="C1169" s="120"/>
    </row>
    <row r="1170" spans="2:3" x14ac:dyDescent="0.25">
      <c r="B1170" s="120"/>
      <c r="C1170" s="120"/>
    </row>
    <row r="1171" spans="2:3" x14ac:dyDescent="0.25">
      <c r="B1171" s="120"/>
      <c r="C1171" s="120"/>
    </row>
    <row r="1172" spans="2:3" x14ac:dyDescent="0.25">
      <c r="B1172" s="120"/>
      <c r="C1172" s="120"/>
    </row>
    <row r="1173" spans="2:3" x14ac:dyDescent="0.25">
      <c r="B1173" s="120"/>
      <c r="C1173" s="120"/>
    </row>
    <row r="1174" spans="2:3" x14ac:dyDescent="0.25">
      <c r="B1174" s="120"/>
      <c r="C1174" s="120"/>
    </row>
    <row r="1175" spans="2:3" x14ac:dyDescent="0.25">
      <c r="B1175" s="120"/>
      <c r="C1175" s="120"/>
    </row>
    <row r="1176" spans="2:3" x14ac:dyDescent="0.25">
      <c r="B1176" s="120"/>
      <c r="C1176" s="120"/>
    </row>
    <row r="1177" spans="2:3" x14ac:dyDescent="0.25">
      <c r="B1177" s="120"/>
      <c r="C1177" s="120"/>
    </row>
    <row r="1178" spans="2:3" x14ac:dyDescent="0.25">
      <c r="B1178" s="120"/>
      <c r="C1178" s="120"/>
    </row>
    <row r="1179" spans="2:3" x14ac:dyDescent="0.25">
      <c r="B1179" s="120"/>
      <c r="C1179" s="120"/>
    </row>
    <row r="1180" spans="2:3" x14ac:dyDescent="0.25">
      <c r="B1180" s="120"/>
      <c r="C1180" s="120"/>
    </row>
    <row r="1181" spans="2:3" x14ac:dyDescent="0.25">
      <c r="B1181" s="120"/>
      <c r="C1181" s="120"/>
    </row>
    <row r="1182" spans="2:3" x14ac:dyDescent="0.25">
      <c r="B1182" s="120"/>
      <c r="C1182" s="120"/>
    </row>
    <row r="1183" spans="2:3" x14ac:dyDescent="0.25">
      <c r="B1183" s="120"/>
      <c r="C1183" s="120"/>
    </row>
    <row r="1184" spans="2:3" x14ac:dyDescent="0.25">
      <c r="B1184" s="120"/>
      <c r="C1184" s="120"/>
    </row>
    <row r="1185" spans="2:3" x14ac:dyDescent="0.25">
      <c r="B1185" s="120"/>
      <c r="C1185" s="120"/>
    </row>
    <row r="1186" spans="2:3" x14ac:dyDescent="0.25">
      <c r="B1186" s="120"/>
      <c r="C1186" s="120"/>
    </row>
    <row r="1187" spans="2:3" x14ac:dyDescent="0.25">
      <c r="B1187" s="120"/>
      <c r="C1187" s="120"/>
    </row>
    <row r="1188" spans="2:3" x14ac:dyDescent="0.25">
      <c r="B1188" s="120"/>
      <c r="C1188" s="120"/>
    </row>
    <row r="1189" spans="2:3" x14ac:dyDescent="0.25">
      <c r="B1189" s="120"/>
      <c r="C1189" s="120"/>
    </row>
    <row r="1190" spans="2:3" x14ac:dyDescent="0.25">
      <c r="B1190" s="120"/>
      <c r="C1190" s="120"/>
    </row>
    <row r="1191" spans="2:3" x14ac:dyDescent="0.25">
      <c r="B1191" s="120"/>
      <c r="C1191" s="120"/>
    </row>
    <row r="1192" spans="2:3" x14ac:dyDescent="0.25">
      <c r="B1192" s="120"/>
      <c r="C1192" s="120"/>
    </row>
    <row r="1193" spans="2:3" x14ac:dyDescent="0.25">
      <c r="B1193" s="120"/>
      <c r="C1193" s="120"/>
    </row>
    <row r="1194" spans="2:3" x14ac:dyDescent="0.25">
      <c r="B1194" s="120"/>
      <c r="C1194" s="120"/>
    </row>
    <row r="1195" spans="2:3" x14ac:dyDescent="0.25">
      <c r="B1195" s="120"/>
      <c r="C1195" s="120"/>
    </row>
    <row r="1196" spans="2:3" x14ac:dyDescent="0.25">
      <c r="B1196" s="120"/>
      <c r="C1196" s="120"/>
    </row>
    <row r="1197" spans="2:3" x14ac:dyDescent="0.25">
      <c r="B1197" s="120"/>
      <c r="C1197" s="120"/>
    </row>
    <row r="1198" spans="2:3" x14ac:dyDescent="0.25">
      <c r="B1198" s="120"/>
      <c r="C1198" s="120"/>
    </row>
    <row r="1199" spans="2:3" x14ac:dyDescent="0.25">
      <c r="B1199" s="120"/>
      <c r="C1199" s="120"/>
    </row>
    <row r="1200" spans="2:3" x14ac:dyDescent="0.25">
      <c r="B1200" s="120"/>
      <c r="C1200" s="120"/>
    </row>
    <row r="1201" spans="2:3" x14ac:dyDescent="0.25">
      <c r="B1201" s="120"/>
      <c r="C1201" s="120"/>
    </row>
    <row r="1202" spans="2:3" x14ac:dyDescent="0.25">
      <c r="B1202" s="120"/>
      <c r="C1202" s="120"/>
    </row>
    <row r="1203" spans="2:3" x14ac:dyDescent="0.25">
      <c r="B1203" s="120"/>
      <c r="C1203" s="120"/>
    </row>
    <row r="1204" spans="2:3" x14ac:dyDescent="0.25">
      <c r="B1204" s="120"/>
      <c r="C1204" s="120"/>
    </row>
    <row r="1205" spans="2:3" x14ac:dyDescent="0.25">
      <c r="B1205" s="120"/>
      <c r="C1205" s="120"/>
    </row>
    <row r="1206" spans="2:3" x14ac:dyDescent="0.25">
      <c r="B1206" s="120"/>
      <c r="C1206" s="120"/>
    </row>
    <row r="1207" spans="2:3" x14ac:dyDescent="0.25">
      <c r="B1207" s="120"/>
      <c r="C1207" s="120"/>
    </row>
    <row r="1208" spans="2:3" x14ac:dyDescent="0.25">
      <c r="B1208" s="120"/>
      <c r="C1208" s="120"/>
    </row>
    <row r="1209" spans="2:3" x14ac:dyDescent="0.25">
      <c r="B1209" s="120"/>
      <c r="C1209" s="120"/>
    </row>
    <row r="1210" spans="2:3" x14ac:dyDescent="0.25">
      <c r="B1210" s="120"/>
      <c r="C1210" s="120"/>
    </row>
    <row r="1211" spans="2:3" x14ac:dyDescent="0.25">
      <c r="B1211" s="120"/>
      <c r="C1211" s="120"/>
    </row>
    <row r="1212" spans="2:3" x14ac:dyDescent="0.25">
      <c r="B1212" s="120"/>
      <c r="C1212" s="120"/>
    </row>
    <row r="1213" spans="2:3" x14ac:dyDescent="0.25">
      <c r="B1213" s="120"/>
      <c r="C1213" s="120"/>
    </row>
    <row r="1214" spans="2:3" x14ac:dyDescent="0.25">
      <c r="B1214" s="120"/>
      <c r="C1214" s="120"/>
    </row>
    <row r="1215" spans="2:3" x14ac:dyDescent="0.25">
      <c r="B1215" s="120"/>
      <c r="C1215" s="120"/>
    </row>
    <row r="1216" spans="2:3" x14ac:dyDescent="0.25">
      <c r="B1216" s="120"/>
      <c r="C1216" s="120"/>
    </row>
    <row r="1217" spans="2:3" x14ac:dyDescent="0.25">
      <c r="B1217" s="120"/>
      <c r="C1217" s="120"/>
    </row>
    <row r="1218" spans="2:3" x14ac:dyDescent="0.25">
      <c r="B1218" s="120"/>
      <c r="C1218" s="120"/>
    </row>
    <row r="1219" spans="2:3" x14ac:dyDescent="0.25">
      <c r="B1219" s="120"/>
      <c r="C1219" s="120"/>
    </row>
    <row r="1220" spans="2:3" x14ac:dyDescent="0.25">
      <c r="B1220" s="120"/>
      <c r="C1220" s="120"/>
    </row>
    <row r="1221" spans="2:3" x14ac:dyDescent="0.25">
      <c r="B1221" s="120"/>
      <c r="C1221" s="120"/>
    </row>
    <row r="1222" spans="2:3" x14ac:dyDescent="0.25">
      <c r="B1222" s="120"/>
      <c r="C1222" s="120"/>
    </row>
    <row r="1223" spans="2:3" x14ac:dyDescent="0.25">
      <c r="B1223" s="120"/>
      <c r="C1223" s="120"/>
    </row>
    <row r="1224" spans="2:3" x14ac:dyDescent="0.25">
      <c r="B1224" s="120"/>
      <c r="C1224" s="120"/>
    </row>
    <row r="1225" spans="2:3" x14ac:dyDescent="0.25">
      <c r="B1225" s="120"/>
      <c r="C1225" s="120"/>
    </row>
    <row r="1226" spans="2:3" x14ac:dyDescent="0.25">
      <c r="B1226" s="120"/>
      <c r="C1226" s="120"/>
    </row>
    <row r="1227" spans="2:3" x14ac:dyDescent="0.25">
      <c r="B1227" s="120"/>
      <c r="C1227" s="120"/>
    </row>
    <row r="1228" spans="2:3" x14ac:dyDescent="0.25">
      <c r="B1228" s="120"/>
      <c r="C1228" s="120"/>
    </row>
    <row r="1229" spans="2:3" x14ac:dyDescent="0.25">
      <c r="B1229" s="120"/>
      <c r="C1229" s="120"/>
    </row>
    <row r="1230" spans="2:3" x14ac:dyDescent="0.25">
      <c r="B1230" s="120"/>
      <c r="C1230" s="120"/>
    </row>
    <row r="1231" spans="2:3" x14ac:dyDescent="0.25">
      <c r="B1231" s="120"/>
      <c r="C1231" s="120"/>
    </row>
    <row r="1232" spans="2:3" x14ac:dyDescent="0.25">
      <c r="B1232" s="120"/>
      <c r="C1232" s="120"/>
    </row>
    <row r="1233" spans="2:3" x14ac:dyDescent="0.25">
      <c r="B1233" s="120"/>
      <c r="C1233" s="120"/>
    </row>
    <row r="1234" spans="2:3" x14ac:dyDescent="0.25">
      <c r="B1234" s="120"/>
      <c r="C1234" s="120"/>
    </row>
    <row r="1235" spans="2:3" x14ac:dyDescent="0.25">
      <c r="B1235" s="120"/>
      <c r="C1235" s="120"/>
    </row>
    <row r="1236" spans="2:3" x14ac:dyDescent="0.25">
      <c r="B1236" s="120"/>
      <c r="C1236" s="120"/>
    </row>
    <row r="1237" spans="2:3" x14ac:dyDescent="0.25">
      <c r="B1237" s="120"/>
      <c r="C1237" s="120"/>
    </row>
    <row r="1238" spans="2:3" x14ac:dyDescent="0.25">
      <c r="B1238" s="120"/>
      <c r="C1238" s="120"/>
    </row>
    <row r="1239" spans="2:3" x14ac:dyDescent="0.25">
      <c r="B1239" s="120"/>
      <c r="C1239" s="120"/>
    </row>
    <row r="1240" spans="2:3" x14ac:dyDescent="0.25">
      <c r="B1240" s="120"/>
      <c r="C1240" s="120"/>
    </row>
    <row r="1241" spans="2:3" x14ac:dyDescent="0.25">
      <c r="B1241" s="120"/>
      <c r="C1241" s="120"/>
    </row>
    <row r="1242" spans="2:3" x14ac:dyDescent="0.25">
      <c r="B1242" s="120"/>
      <c r="C1242" s="120"/>
    </row>
    <row r="1243" spans="2:3" x14ac:dyDescent="0.25">
      <c r="B1243" s="120"/>
      <c r="C1243" s="120"/>
    </row>
    <row r="1244" spans="2:3" x14ac:dyDescent="0.25">
      <c r="B1244" s="120"/>
      <c r="C1244" s="120"/>
    </row>
    <row r="1245" spans="2:3" x14ac:dyDescent="0.25">
      <c r="B1245" s="120"/>
      <c r="C1245" s="120"/>
    </row>
    <row r="1246" spans="2:3" x14ac:dyDescent="0.25">
      <c r="B1246" s="120"/>
      <c r="C1246" s="120"/>
    </row>
    <row r="1247" spans="2:3" x14ac:dyDescent="0.25">
      <c r="B1247" s="120"/>
      <c r="C1247" s="120"/>
    </row>
    <row r="1248" spans="2:3" x14ac:dyDescent="0.25">
      <c r="B1248" s="120"/>
      <c r="C1248" s="120"/>
    </row>
    <row r="1249" spans="2:3" x14ac:dyDescent="0.25">
      <c r="B1249" s="120"/>
      <c r="C1249" s="120"/>
    </row>
    <row r="1250" spans="2:3" x14ac:dyDescent="0.25">
      <c r="B1250" s="120"/>
      <c r="C1250" s="120"/>
    </row>
    <row r="1251" spans="2:3" x14ac:dyDescent="0.25">
      <c r="B1251" s="120"/>
      <c r="C1251" s="120"/>
    </row>
    <row r="1252" spans="2:3" x14ac:dyDescent="0.25">
      <c r="B1252" s="120"/>
      <c r="C1252" s="120"/>
    </row>
    <row r="1253" spans="2:3" x14ac:dyDescent="0.25">
      <c r="B1253" s="120"/>
      <c r="C1253" s="120"/>
    </row>
    <row r="1254" spans="2:3" x14ac:dyDescent="0.25">
      <c r="B1254" s="120"/>
      <c r="C1254" s="120"/>
    </row>
    <row r="1255" spans="2:3" x14ac:dyDescent="0.25">
      <c r="B1255" s="120"/>
      <c r="C1255" s="120"/>
    </row>
    <row r="1256" spans="2:3" x14ac:dyDescent="0.25">
      <c r="B1256" s="120"/>
      <c r="C1256" s="120"/>
    </row>
    <row r="1257" spans="2:3" x14ac:dyDescent="0.25">
      <c r="B1257" s="120"/>
      <c r="C1257" s="120"/>
    </row>
    <row r="1258" spans="2:3" x14ac:dyDescent="0.25">
      <c r="B1258" s="120"/>
      <c r="C1258" s="120"/>
    </row>
    <row r="1259" spans="2:3" x14ac:dyDescent="0.25">
      <c r="B1259" s="120"/>
      <c r="C1259" s="120"/>
    </row>
    <row r="1260" spans="2:3" x14ac:dyDescent="0.25">
      <c r="B1260" s="120"/>
      <c r="C1260" s="120"/>
    </row>
    <row r="1261" spans="2:3" x14ac:dyDescent="0.25">
      <c r="B1261" s="120"/>
      <c r="C1261" s="120"/>
    </row>
    <row r="1262" spans="2:3" x14ac:dyDescent="0.25">
      <c r="B1262" s="120"/>
      <c r="C1262" s="120"/>
    </row>
    <row r="1263" spans="2:3" x14ac:dyDescent="0.25">
      <c r="B1263" s="120"/>
      <c r="C1263" s="120"/>
    </row>
    <row r="1264" spans="2:3" x14ac:dyDescent="0.25">
      <c r="B1264" s="120"/>
      <c r="C1264" s="120"/>
    </row>
    <row r="1265" spans="2:3" x14ac:dyDescent="0.25">
      <c r="B1265" s="120"/>
      <c r="C1265" s="120"/>
    </row>
    <row r="1266" spans="2:3" x14ac:dyDescent="0.25">
      <c r="B1266" s="120"/>
      <c r="C1266" s="120"/>
    </row>
    <row r="1267" spans="2:3" x14ac:dyDescent="0.25">
      <c r="B1267" s="120"/>
      <c r="C1267" s="120"/>
    </row>
    <row r="1268" spans="2:3" x14ac:dyDescent="0.25">
      <c r="B1268" s="120"/>
      <c r="C1268" s="120"/>
    </row>
    <row r="1269" spans="2:3" x14ac:dyDescent="0.25">
      <c r="B1269" s="120"/>
      <c r="C1269" s="120"/>
    </row>
    <row r="1270" spans="2:3" x14ac:dyDescent="0.25">
      <c r="B1270" s="120"/>
      <c r="C1270" s="120"/>
    </row>
    <row r="1271" spans="2:3" x14ac:dyDescent="0.25">
      <c r="B1271" s="120"/>
      <c r="C1271" s="120"/>
    </row>
    <row r="1272" spans="2:3" x14ac:dyDescent="0.25">
      <c r="B1272" s="120"/>
      <c r="C1272" s="120"/>
    </row>
    <row r="1273" spans="2:3" x14ac:dyDescent="0.25">
      <c r="B1273" s="120"/>
      <c r="C1273" s="120"/>
    </row>
    <row r="1274" spans="2:3" x14ac:dyDescent="0.25">
      <c r="B1274" s="120"/>
      <c r="C1274" s="120"/>
    </row>
    <row r="1275" spans="2:3" x14ac:dyDescent="0.25">
      <c r="B1275" s="120"/>
      <c r="C1275" s="120"/>
    </row>
    <row r="1276" spans="2:3" x14ac:dyDescent="0.25">
      <c r="B1276" s="120"/>
      <c r="C1276" s="120"/>
    </row>
    <row r="1277" spans="2:3" x14ac:dyDescent="0.25">
      <c r="B1277" s="120"/>
      <c r="C1277" s="120"/>
    </row>
    <row r="1278" spans="2:3" x14ac:dyDescent="0.25">
      <c r="B1278" s="120"/>
      <c r="C1278" s="120"/>
    </row>
    <row r="1279" spans="2:3" x14ac:dyDescent="0.25">
      <c r="B1279" s="120"/>
      <c r="C1279" s="120"/>
    </row>
    <row r="1280" spans="2:3" x14ac:dyDescent="0.25">
      <c r="B1280" s="120"/>
      <c r="C1280" s="120"/>
    </row>
    <row r="1281" spans="2:3" x14ac:dyDescent="0.25">
      <c r="B1281" s="120"/>
      <c r="C1281" s="120"/>
    </row>
    <row r="1282" spans="2:3" x14ac:dyDescent="0.25">
      <c r="B1282" s="120"/>
      <c r="C1282" s="120"/>
    </row>
    <row r="1283" spans="2:3" x14ac:dyDescent="0.25">
      <c r="B1283" s="120"/>
      <c r="C1283" s="120"/>
    </row>
    <row r="1284" spans="2:3" x14ac:dyDescent="0.25">
      <c r="B1284" s="120"/>
      <c r="C1284" s="120"/>
    </row>
    <row r="1285" spans="2:3" x14ac:dyDescent="0.25">
      <c r="B1285" s="120"/>
      <c r="C1285" s="120"/>
    </row>
    <row r="1286" spans="2:3" x14ac:dyDescent="0.25">
      <c r="B1286" s="120"/>
      <c r="C1286" s="120"/>
    </row>
    <row r="1287" spans="2:3" x14ac:dyDescent="0.25">
      <c r="B1287" s="120"/>
      <c r="C1287" s="120"/>
    </row>
    <row r="1288" spans="2:3" x14ac:dyDescent="0.25">
      <c r="B1288" s="120"/>
      <c r="C1288" s="120"/>
    </row>
    <row r="1289" spans="2:3" x14ac:dyDescent="0.25">
      <c r="B1289" s="120"/>
      <c r="C1289" s="120"/>
    </row>
    <row r="1290" spans="2:3" x14ac:dyDescent="0.25">
      <c r="B1290" s="120"/>
      <c r="C1290" s="120"/>
    </row>
    <row r="1291" spans="2:3" x14ac:dyDescent="0.25">
      <c r="B1291" s="120"/>
      <c r="C1291" s="120"/>
    </row>
    <row r="1292" spans="2:3" x14ac:dyDescent="0.25">
      <c r="B1292" s="120"/>
      <c r="C1292" s="120"/>
    </row>
    <row r="1293" spans="2:3" x14ac:dyDescent="0.25">
      <c r="B1293" s="120"/>
      <c r="C1293" s="120"/>
    </row>
    <row r="1294" spans="2:3" x14ac:dyDescent="0.25">
      <c r="B1294" s="120"/>
      <c r="C1294" s="120"/>
    </row>
    <row r="1295" spans="2:3" x14ac:dyDescent="0.25">
      <c r="B1295" s="120"/>
      <c r="C1295" s="120"/>
    </row>
    <row r="1296" spans="2:3" x14ac:dyDescent="0.25">
      <c r="B1296" s="120"/>
      <c r="C1296" s="120"/>
    </row>
    <row r="1297" spans="2:3" x14ac:dyDescent="0.25">
      <c r="B1297" s="120"/>
      <c r="C1297" s="120"/>
    </row>
    <row r="1298" spans="2:3" x14ac:dyDescent="0.25">
      <c r="B1298" s="120"/>
      <c r="C1298" s="120"/>
    </row>
    <row r="1299" spans="2:3" x14ac:dyDescent="0.25">
      <c r="B1299" s="120"/>
      <c r="C1299" s="120"/>
    </row>
    <row r="1300" spans="2:3" x14ac:dyDescent="0.25">
      <c r="B1300" s="120"/>
      <c r="C1300" s="120"/>
    </row>
    <row r="1301" spans="2:3" x14ac:dyDescent="0.25">
      <c r="B1301" s="120"/>
      <c r="C1301" s="120"/>
    </row>
    <row r="1302" spans="2:3" x14ac:dyDescent="0.25">
      <c r="B1302" s="120"/>
      <c r="C1302" s="120"/>
    </row>
    <row r="1303" spans="2:3" x14ac:dyDescent="0.25">
      <c r="B1303" s="120"/>
      <c r="C1303" s="120"/>
    </row>
    <row r="1304" spans="2:3" x14ac:dyDescent="0.25">
      <c r="B1304" s="120"/>
      <c r="C1304" s="120"/>
    </row>
    <row r="1305" spans="2:3" x14ac:dyDescent="0.25">
      <c r="B1305" s="120"/>
      <c r="C1305" s="120"/>
    </row>
    <row r="1306" spans="2:3" x14ac:dyDescent="0.25">
      <c r="B1306" s="120"/>
      <c r="C1306" s="120"/>
    </row>
    <row r="1307" spans="2:3" x14ac:dyDescent="0.25">
      <c r="B1307" s="120"/>
      <c r="C1307" s="120"/>
    </row>
    <row r="1308" spans="2:3" x14ac:dyDescent="0.25">
      <c r="B1308" s="120"/>
      <c r="C1308" s="120"/>
    </row>
    <row r="1309" spans="2:3" x14ac:dyDescent="0.25">
      <c r="B1309" s="120"/>
      <c r="C1309" s="120"/>
    </row>
    <row r="1310" spans="2:3" x14ac:dyDescent="0.25">
      <c r="B1310" s="120"/>
      <c r="C1310" s="120"/>
    </row>
    <row r="1311" spans="2:3" x14ac:dyDescent="0.25">
      <c r="B1311" s="120"/>
      <c r="C1311" s="120"/>
    </row>
    <row r="1312" spans="2:3" x14ac:dyDescent="0.25">
      <c r="B1312" s="120"/>
      <c r="C1312" s="120"/>
    </row>
    <row r="1313" spans="2:3" x14ac:dyDescent="0.25">
      <c r="B1313" s="120"/>
      <c r="C1313" s="120"/>
    </row>
    <row r="1314" spans="2:3" x14ac:dyDescent="0.25">
      <c r="B1314" s="120"/>
      <c r="C1314" s="120"/>
    </row>
    <row r="1315" spans="2:3" x14ac:dyDescent="0.25">
      <c r="B1315" s="120"/>
      <c r="C1315" s="120"/>
    </row>
    <row r="1316" spans="2:3" x14ac:dyDescent="0.25">
      <c r="B1316" s="120"/>
      <c r="C1316" s="120"/>
    </row>
    <row r="1317" spans="2:3" x14ac:dyDescent="0.25">
      <c r="B1317" s="120"/>
      <c r="C1317" s="120"/>
    </row>
    <row r="1318" spans="2:3" x14ac:dyDescent="0.25">
      <c r="B1318" s="120"/>
      <c r="C1318" s="120"/>
    </row>
    <row r="1319" spans="2:3" x14ac:dyDescent="0.25">
      <c r="B1319" s="120"/>
      <c r="C1319" s="120"/>
    </row>
    <row r="1320" spans="2:3" x14ac:dyDescent="0.25">
      <c r="B1320" s="120"/>
      <c r="C1320" s="120"/>
    </row>
    <row r="1321" spans="2:3" x14ac:dyDescent="0.25">
      <c r="B1321" s="120"/>
      <c r="C1321" s="120"/>
    </row>
    <row r="1322" spans="2:3" x14ac:dyDescent="0.25">
      <c r="B1322" s="120"/>
      <c r="C1322" s="120"/>
    </row>
    <row r="1323" spans="2:3" x14ac:dyDescent="0.25">
      <c r="B1323" s="120"/>
      <c r="C1323" s="120"/>
    </row>
    <row r="1324" spans="2:3" x14ac:dyDescent="0.25">
      <c r="B1324" s="120"/>
      <c r="C1324" s="120"/>
    </row>
    <row r="1325" spans="2:3" x14ac:dyDescent="0.25">
      <c r="B1325" s="120"/>
      <c r="C1325" s="120"/>
    </row>
    <row r="1326" spans="2:3" x14ac:dyDescent="0.25">
      <c r="B1326" s="120"/>
      <c r="C1326" s="120"/>
    </row>
    <row r="1327" spans="2:3" x14ac:dyDescent="0.25">
      <c r="B1327" s="120"/>
      <c r="C1327" s="120"/>
    </row>
    <row r="1328" spans="2:3" x14ac:dyDescent="0.25">
      <c r="B1328" s="120"/>
      <c r="C1328" s="120"/>
    </row>
    <row r="1329" spans="2:3" x14ac:dyDescent="0.25">
      <c r="B1329" s="120"/>
      <c r="C1329" s="120"/>
    </row>
    <row r="1330" spans="2:3" x14ac:dyDescent="0.25">
      <c r="B1330" s="120"/>
      <c r="C1330" s="120"/>
    </row>
    <row r="1331" spans="2:3" x14ac:dyDescent="0.25">
      <c r="B1331" s="120"/>
      <c r="C1331" s="120"/>
    </row>
    <row r="1332" spans="2:3" x14ac:dyDescent="0.25">
      <c r="B1332" s="120"/>
      <c r="C1332" s="120"/>
    </row>
    <row r="1333" spans="2:3" x14ac:dyDescent="0.25">
      <c r="B1333" s="120"/>
      <c r="C1333" s="120"/>
    </row>
    <row r="1334" spans="2:3" x14ac:dyDescent="0.25">
      <c r="B1334" s="120"/>
      <c r="C1334" s="120"/>
    </row>
    <row r="1335" spans="2:3" x14ac:dyDescent="0.25">
      <c r="B1335" s="120"/>
      <c r="C1335" s="120"/>
    </row>
    <row r="1336" spans="2:3" x14ac:dyDescent="0.25">
      <c r="B1336" s="120"/>
      <c r="C1336" s="120"/>
    </row>
    <row r="1337" spans="2:3" x14ac:dyDescent="0.25">
      <c r="B1337" s="120"/>
      <c r="C1337" s="120"/>
    </row>
    <row r="1338" spans="2:3" x14ac:dyDescent="0.25">
      <c r="B1338" s="120"/>
      <c r="C1338" s="120"/>
    </row>
    <row r="1339" spans="2:3" x14ac:dyDescent="0.25">
      <c r="B1339" s="120"/>
      <c r="C1339" s="120"/>
    </row>
    <row r="1340" spans="2:3" x14ac:dyDescent="0.25">
      <c r="B1340" s="120"/>
      <c r="C1340" s="120"/>
    </row>
    <row r="1341" spans="2:3" x14ac:dyDescent="0.25">
      <c r="B1341" s="120"/>
      <c r="C1341" s="120"/>
    </row>
    <row r="1342" spans="2:3" x14ac:dyDescent="0.25">
      <c r="B1342" s="120"/>
      <c r="C1342" s="120"/>
    </row>
    <row r="1343" spans="2:3" x14ac:dyDescent="0.25">
      <c r="B1343" s="120"/>
      <c r="C1343" s="120"/>
    </row>
    <row r="1344" spans="2:3" x14ac:dyDescent="0.25">
      <c r="B1344" s="120"/>
      <c r="C1344" s="120"/>
    </row>
    <row r="1345" spans="2:3" x14ac:dyDescent="0.25">
      <c r="B1345" s="120"/>
      <c r="C1345" s="120"/>
    </row>
    <row r="1346" spans="2:3" x14ac:dyDescent="0.25">
      <c r="B1346" s="120"/>
      <c r="C1346" s="120"/>
    </row>
    <row r="1347" spans="2:3" x14ac:dyDescent="0.25">
      <c r="B1347" s="120"/>
      <c r="C1347" s="120"/>
    </row>
    <row r="1348" spans="2:3" x14ac:dyDescent="0.25">
      <c r="B1348" s="120"/>
      <c r="C1348" s="120"/>
    </row>
    <row r="1349" spans="2:3" x14ac:dyDescent="0.25">
      <c r="B1349" s="120"/>
      <c r="C1349" s="120"/>
    </row>
    <row r="1350" spans="2:3" x14ac:dyDescent="0.25">
      <c r="B1350" s="120"/>
      <c r="C1350" s="120"/>
    </row>
    <row r="1351" spans="2:3" x14ac:dyDescent="0.25">
      <c r="B1351" s="120"/>
      <c r="C1351" s="120"/>
    </row>
    <row r="1352" spans="2:3" x14ac:dyDescent="0.25">
      <c r="B1352" s="120"/>
      <c r="C1352" s="120"/>
    </row>
    <row r="1353" spans="2:3" x14ac:dyDescent="0.25">
      <c r="B1353" s="120"/>
      <c r="C1353" s="120"/>
    </row>
    <row r="1354" spans="2:3" x14ac:dyDescent="0.25">
      <c r="B1354" s="120"/>
      <c r="C1354" s="120"/>
    </row>
    <row r="1355" spans="2:3" x14ac:dyDescent="0.25">
      <c r="B1355" s="120"/>
      <c r="C1355" s="120"/>
    </row>
    <row r="1356" spans="2:3" x14ac:dyDescent="0.25">
      <c r="B1356" s="120"/>
      <c r="C1356" s="120"/>
    </row>
    <row r="1357" spans="2:3" x14ac:dyDescent="0.25">
      <c r="B1357" s="120"/>
      <c r="C1357" s="120"/>
    </row>
    <row r="1358" spans="2:3" x14ac:dyDescent="0.25">
      <c r="B1358" s="120"/>
      <c r="C1358" s="120"/>
    </row>
    <row r="1359" spans="2:3" x14ac:dyDescent="0.25">
      <c r="B1359" s="120"/>
      <c r="C1359" s="120"/>
    </row>
    <row r="1360" spans="2:3" x14ac:dyDescent="0.25">
      <c r="B1360" s="120"/>
      <c r="C1360" s="120"/>
    </row>
    <row r="1361" spans="2:3" x14ac:dyDescent="0.25">
      <c r="B1361" s="120"/>
      <c r="C1361" s="120"/>
    </row>
    <row r="1362" spans="2:3" x14ac:dyDescent="0.25">
      <c r="B1362" s="120"/>
      <c r="C1362" s="120"/>
    </row>
    <row r="1363" spans="2:3" x14ac:dyDescent="0.25">
      <c r="B1363" s="120"/>
      <c r="C1363" s="120"/>
    </row>
    <row r="1364" spans="2:3" x14ac:dyDescent="0.25">
      <c r="B1364" s="120"/>
      <c r="C1364" s="120"/>
    </row>
    <row r="1365" spans="2:3" x14ac:dyDescent="0.25">
      <c r="B1365" s="120"/>
      <c r="C1365" s="120"/>
    </row>
    <row r="1366" spans="2:3" x14ac:dyDescent="0.25">
      <c r="B1366" s="120"/>
      <c r="C1366" s="120"/>
    </row>
    <row r="1367" spans="2:3" x14ac:dyDescent="0.25">
      <c r="B1367" s="120"/>
      <c r="C1367" s="120"/>
    </row>
    <row r="1368" spans="2:3" x14ac:dyDescent="0.25">
      <c r="B1368" s="120"/>
      <c r="C1368" s="120"/>
    </row>
    <row r="1369" spans="2:3" x14ac:dyDescent="0.25">
      <c r="B1369" s="120"/>
      <c r="C1369" s="120"/>
    </row>
    <row r="1370" spans="2:3" x14ac:dyDescent="0.25">
      <c r="B1370" s="120"/>
      <c r="C1370" s="120"/>
    </row>
    <row r="1371" spans="2:3" x14ac:dyDescent="0.25">
      <c r="B1371" s="120"/>
      <c r="C1371" s="120"/>
    </row>
    <row r="1372" spans="2:3" x14ac:dyDescent="0.25">
      <c r="B1372" s="120"/>
      <c r="C1372" s="120"/>
    </row>
    <row r="1373" spans="2:3" x14ac:dyDescent="0.25">
      <c r="B1373" s="120"/>
      <c r="C1373" s="120"/>
    </row>
    <row r="1374" spans="2:3" x14ac:dyDescent="0.25">
      <c r="B1374" s="120"/>
      <c r="C1374" s="120"/>
    </row>
    <row r="1375" spans="2:3" x14ac:dyDescent="0.25">
      <c r="B1375" s="120"/>
      <c r="C1375" s="120"/>
    </row>
    <row r="1376" spans="2:3" x14ac:dyDescent="0.25">
      <c r="B1376" s="120"/>
      <c r="C1376" s="120"/>
    </row>
    <row r="1377" spans="2:3" x14ac:dyDescent="0.25">
      <c r="B1377" s="120"/>
      <c r="C1377" s="120"/>
    </row>
    <row r="1378" spans="2:3" x14ac:dyDescent="0.25">
      <c r="B1378" s="120"/>
      <c r="C1378" s="120"/>
    </row>
    <row r="1379" spans="2:3" x14ac:dyDescent="0.25">
      <c r="B1379" s="120"/>
      <c r="C1379" s="120"/>
    </row>
    <row r="1380" spans="2:3" x14ac:dyDescent="0.25">
      <c r="B1380" s="120"/>
      <c r="C1380" s="120"/>
    </row>
    <row r="1381" spans="2:3" x14ac:dyDescent="0.25">
      <c r="B1381" s="120"/>
      <c r="C1381" s="120"/>
    </row>
    <row r="1382" spans="2:3" x14ac:dyDescent="0.25">
      <c r="B1382" s="120"/>
      <c r="C1382" s="120"/>
    </row>
    <row r="1383" spans="2:3" x14ac:dyDescent="0.25">
      <c r="B1383" s="120"/>
      <c r="C1383" s="120"/>
    </row>
    <row r="1384" spans="2:3" x14ac:dyDescent="0.25">
      <c r="B1384" s="120"/>
      <c r="C1384" s="120"/>
    </row>
    <row r="1385" spans="2:3" x14ac:dyDescent="0.25">
      <c r="B1385" s="120"/>
      <c r="C1385" s="120"/>
    </row>
    <row r="1386" spans="2:3" x14ac:dyDescent="0.25">
      <c r="B1386" s="120"/>
      <c r="C1386" s="120"/>
    </row>
    <row r="1387" spans="2:3" x14ac:dyDescent="0.25">
      <c r="B1387" s="120"/>
      <c r="C1387" s="120"/>
    </row>
    <row r="1388" spans="2:3" x14ac:dyDescent="0.25">
      <c r="B1388" s="120"/>
      <c r="C1388" s="120"/>
    </row>
    <row r="1389" spans="2:3" x14ac:dyDescent="0.25">
      <c r="B1389" s="120"/>
      <c r="C1389" s="120"/>
    </row>
    <row r="1390" spans="2:3" x14ac:dyDescent="0.25">
      <c r="B1390" s="120"/>
      <c r="C1390" s="120"/>
    </row>
    <row r="1391" spans="2:3" x14ac:dyDescent="0.25">
      <c r="B1391" s="120"/>
      <c r="C1391" s="120"/>
    </row>
    <row r="1392" spans="2:3" x14ac:dyDescent="0.25">
      <c r="B1392" s="120"/>
      <c r="C1392" s="120"/>
    </row>
    <row r="1393" spans="2:3" x14ac:dyDescent="0.25">
      <c r="B1393" s="120"/>
      <c r="C1393" s="120"/>
    </row>
    <row r="1394" spans="2:3" x14ac:dyDescent="0.25">
      <c r="B1394" s="120"/>
      <c r="C1394" s="120"/>
    </row>
    <row r="1395" spans="2:3" x14ac:dyDescent="0.25">
      <c r="B1395" s="120"/>
      <c r="C1395" s="120"/>
    </row>
    <row r="1396" spans="2:3" x14ac:dyDescent="0.25">
      <c r="B1396" s="120"/>
      <c r="C1396" s="120"/>
    </row>
    <row r="1397" spans="2:3" x14ac:dyDescent="0.25">
      <c r="B1397" s="120"/>
      <c r="C1397" s="120"/>
    </row>
    <row r="1398" spans="2:3" x14ac:dyDescent="0.25">
      <c r="B1398" s="120"/>
      <c r="C1398" s="120"/>
    </row>
    <row r="1399" spans="2:3" x14ac:dyDescent="0.25">
      <c r="B1399" s="120"/>
      <c r="C1399" s="120"/>
    </row>
    <row r="1400" spans="2:3" x14ac:dyDescent="0.25">
      <c r="B1400" s="120"/>
      <c r="C1400" s="120"/>
    </row>
    <row r="1401" spans="2:3" x14ac:dyDescent="0.25">
      <c r="B1401" s="120"/>
      <c r="C1401" s="120"/>
    </row>
    <row r="1402" spans="2:3" x14ac:dyDescent="0.25">
      <c r="B1402" s="120"/>
      <c r="C1402" s="120"/>
    </row>
    <row r="1403" spans="2:3" x14ac:dyDescent="0.25">
      <c r="B1403" s="120"/>
      <c r="C1403" s="120"/>
    </row>
    <row r="1404" spans="2:3" x14ac:dyDescent="0.25">
      <c r="B1404" s="120"/>
      <c r="C1404" s="120"/>
    </row>
    <row r="1405" spans="2:3" x14ac:dyDescent="0.25">
      <c r="B1405" s="120"/>
      <c r="C1405" s="120"/>
    </row>
    <row r="1406" spans="2:3" x14ac:dyDescent="0.25">
      <c r="B1406" s="120"/>
      <c r="C1406" s="120"/>
    </row>
    <row r="1407" spans="2:3" x14ac:dyDescent="0.25">
      <c r="B1407" s="120"/>
      <c r="C1407" s="120"/>
    </row>
    <row r="1408" spans="2:3" x14ac:dyDescent="0.25">
      <c r="B1408" s="120"/>
      <c r="C1408" s="120"/>
    </row>
    <row r="1409" spans="2:3" x14ac:dyDescent="0.25">
      <c r="B1409" s="120"/>
      <c r="C1409" s="120"/>
    </row>
    <row r="1410" spans="2:3" x14ac:dyDescent="0.25">
      <c r="B1410" s="120"/>
      <c r="C1410" s="120"/>
    </row>
    <row r="1411" spans="2:3" x14ac:dyDescent="0.25">
      <c r="B1411" s="120"/>
      <c r="C1411" s="120"/>
    </row>
    <row r="1412" spans="2:3" x14ac:dyDescent="0.25">
      <c r="B1412" s="120"/>
      <c r="C1412" s="120"/>
    </row>
    <row r="1413" spans="2:3" x14ac:dyDescent="0.25">
      <c r="B1413" s="120"/>
      <c r="C1413" s="120"/>
    </row>
    <row r="1414" spans="2:3" x14ac:dyDescent="0.25">
      <c r="B1414" s="120"/>
      <c r="C1414" s="120"/>
    </row>
    <row r="1415" spans="2:3" x14ac:dyDescent="0.25">
      <c r="B1415" s="120"/>
      <c r="C1415" s="120"/>
    </row>
    <row r="1416" spans="2:3" x14ac:dyDescent="0.25">
      <c r="B1416" s="120"/>
      <c r="C1416" s="120"/>
    </row>
    <row r="1417" spans="2:3" x14ac:dyDescent="0.25">
      <c r="B1417" s="120"/>
      <c r="C1417" s="120"/>
    </row>
    <row r="1418" spans="2:3" x14ac:dyDescent="0.25">
      <c r="B1418" s="120"/>
      <c r="C1418" s="120"/>
    </row>
    <row r="1419" spans="2:3" x14ac:dyDescent="0.25">
      <c r="B1419" s="120"/>
      <c r="C1419" s="120"/>
    </row>
    <row r="1420" spans="2:3" x14ac:dyDescent="0.25">
      <c r="B1420" s="120"/>
      <c r="C1420" s="120"/>
    </row>
    <row r="1421" spans="2:3" x14ac:dyDescent="0.25">
      <c r="B1421" s="120"/>
      <c r="C1421" s="120"/>
    </row>
    <row r="1422" spans="2:3" x14ac:dyDescent="0.25">
      <c r="B1422" s="120"/>
      <c r="C1422" s="120"/>
    </row>
    <row r="1423" spans="2:3" x14ac:dyDescent="0.25">
      <c r="B1423" s="120"/>
      <c r="C1423" s="120"/>
    </row>
    <row r="1424" spans="2:3" x14ac:dyDescent="0.25">
      <c r="B1424" s="120"/>
      <c r="C1424" s="120"/>
    </row>
    <row r="1425" spans="2:3" x14ac:dyDescent="0.25">
      <c r="B1425" s="120"/>
      <c r="C1425" s="120"/>
    </row>
    <row r="1426" spans="2:3" x14ac:dyDescent="0.25">
      <c r="B1426" s="120"/>
      <c r="C1426" s="120"/>
    </row>
    <row r="1427" spans="2:3" x14ac:dyDescent="0.25">
      <c r="B1427" s="120"/>
      <c r="C1427" s="120"/>
    </row>
    <row r="1428" spans="2:3" x14ac:dyDescent="0.25">
      <c r="B1428" s="120"/>
      <c r="C1428" s="120"/>
    </row>
    <row r="1429" spans="2:3" x14ac:dyDescent="0.25">
      <c r="B1429" s="120"/>
      <c r="C1429" s="120"/>
    </row>
    <row r="1430" spans="2:3" x14ac:dyDescent="0.25">
      <c r="B1430" s="120"/>
      <c r="C1430" s="120"/>
    </row>
    <row r="1431" spans="2:3" x14ac:dyDescent="0.25">
      <c r="B1431" s="120"/>
      <c r="C1431" s="120"/>
    </row>
    <row r="1432" spans="2:3" x14ac:dyDescent="0.25">
      <c r="B1432" s="120"/>
      <c r="C1432" s="120"/>
    </row>
    <row r="1433" spans="2:3" x14ac:dyDescent="0.25">
      <c r="B1433" s="120"/>
      <c r="C1433" s="120"/>
    </row>
    <row r="1434" spans="2:3" x14ac:dyDescent="0.25">
      <c r="B1434" s="120"/>
      <c r="C1434" s="120"/>
    </row>
    <row r="1435" spans="2:3" x14ac:dyDescent="0.25">
      <c r="B1435" s="120"/>
      <c r="C1435" s="120"/>
    </row>
    <row r="1436" spans="2:3" x14ac:dyDescent="0.25">
      <c r="B1436" s="120"/>
      <c r="C1436" s="120"/>
    </row>
    <row r="1437" spans="2:3" x14ac:dyDescent="0.25">
      <c r="B1437" s="120"/>
      <c r="C1437" s="120"/>
    </row>
    <row r="1438" spans="2:3" x14ac:dyDescent="0.25">
      <c r="B1438" s="120"/>
      <c r="C1438" s="120"/>
    </row>
    <row r="1439" spans="2:3" x14ac:dyDescent="0.25">
      <c r="B1439" s="120"/>
      <c r="C1439" s="120"/>
    </row>
    <row r="1440" spans="2:3" x14ac:dyDescent="0.25">
      <c r="B1440" s="120"/>
      <c r="C1440" s="120"/>
    </row>
    <row r="1441" spans="2:3" x14ac:dyDescent="0.25">
      <c r="B1441" s="120"/>
      <c r="C1441" s="120"/>
    </row>
    <row r="1442" spans="2:3" x14ac:dyDescent="0.25">
      <c r="B1442" s="120"/>
      <c r="C1442" s="120"/>
    </row>
    <row r="1443" spans="2:3" x14ac:dyDescent="0.25">
      <c r="B1443" s="120"/>
      <c r="C1443" s="120"/>
    </row>
    <row r="1444" spans="2:3" x14ac:dyDescent="0.25">
      <c r="B1444" s="120"/>
      <c r="C1444" s="120"/>
    </row>
    <row r="1445" spans="2:3" x14ac:dyDescent="0.25">
      <c r="B1445" s="120"/>
      <c r="C1445" s="120"/>
    </row>
    <row r="1446" spans="2:3" x14ac:dyDescent="0.25">
      <c r="B1446" s="120"/>
      <c r="C1446" s="120"/>
    </row>
    <row r="1447" spans="2:3" x14ac:dyDescent="0.25">
      <c r="B1447" s="120"/>
      <c r="C1447" s="120"/>
    </row>
    <row r="1448" spans="2:3" x14ac:dyDescent="0.25">
      <c r="B1448" s="120"/>
      <c r="C1448" s="120"/>
    </row>
    <row r="1449" spans="2:3" x14ac:dyDescent="0.25">
      <c r="B1449" s="120"/>
      <c r="C1449" s="120"/>
    </row>
    <row r="1450" spans="2:3" x14ac:dyDescent="0.25">
      <c r="B1450" s="120"/>
      <c r="C1450" s="121"/>
    </row>
    <row r="1451" spans="2:3" x14ac:dyDescent="0.25">
      <c r="B1451" s="120"/>
      <c r="C1451" s="121"/>
    </row>
    <row r="1452" spans="2:3" x14ac:dyDescent="0.25">
      <c r="B1452" s="120"/>
      <c r="C1452" s="121"/>
    </row>
    <row r="1453" spans="2:3" x14ac:dyDescent="0.25">
      <c r="B1453" s="120"/>
      <c r="C1453" s="121"/>
    </row>
    <row r="1454" spans="2:3" x14ac:dyDescent="0.25">
      <c r="B1454" s="120"/>
      <c r="C1454" s="12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Refinitiv-MktData</vt:lpstr>
      <vt:lpstr>FXRate</vt:lpstr>
      <vt:lpstr>ZeroCurve</vt:lpstr>
      <vt:lpstr>FX-ImpliedCurve</vt:lpstr>
      <vt:lpstr>FX-MtM</vt:lpstr>
      <vt:lpstr>IRS-MtM</vt:lpstr>
      <vt:lpstr>Opt-MtM</vt:lpstr>
      <vt:lpstr>Hist_USD</vt:lpstr>
    </vt:vector>
  </TitlesOfParts>
  <Company>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Chien, Josh-CH</dc:creator>
  <cp:lastModifiedBy>簡志豪</cp:lastModifiedBy>
  <cp:lastPrinted>2018-09-13T00:50:50Z</cp:lastPrinted>
  <dcterms:created xsi:type="dcterms:W3CDTF">2016-11-18T01:38:02Z</dcterms:created>
  <dcterms:modified xsi:type="dcterms:W3CDTF">2022-01-06T07:50:54Z</dcterms:modified>
</cp:coreProperties>
</file>