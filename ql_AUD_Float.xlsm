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105" yWindow="-105" windowWidth="19425" windowHeight="10305" activeTab="4"/>
  </bookViews>
  <sheets>
    <sheet name="Reference" sheetId="19" r:id="rId1"/>
    <sheet name="ql-AU-ZC" sheetId="22" r:id="rId2"/>
    <sheet name="ScheduleObj" sheetId="14" r:id="rId3"/>
    <sheet name="FlotBondObj" sheetId="20" r:id="rId4"/>
    <sheet name="Pricing" sheetId="13" r:id="rId5"/>
  </sheets>
  <externalReferences>
    <externalReference r:id="rId6"/>
  </externalReferences>
  <definedNames>
    <definedName name="_xlnm._FilterDatabase" localSheetId="2" hidden="1">ScheduleObj!$A$1:$Z$106</definedName>
    <definedName name="IborIndex6M">[1]Indexes!$B$1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3" l="1"/>
  <c r="B68" i="22" l="1"/>
  <c r="B86" i="22"/>
  <c r="B70" i="22"/>
  <c r="B58" i="22"/>
  <c r="C36" i="22"/>
  <c r="B36" i="22"/>
  <c r="S33" i="22"/>
  <c r="B80" i="22"/>
  <c r="B3" i="13"/>
  <c r="Z3" i="13" l="1"/>
  <c r="T2" i="20"/>
  <c r="N3" i="14"/>
  <c r="A3" i="14"/>
  <c r="G42" i="22" l="1"/>
  <c r="S44" i="22" l="1"/>
  <c r="M44" i="22"/>
  <c r="N44" i="22"/>
  <c r="P44" i="22"/>
  <c r="Q44" i="22"/>
  <c r="M45" i="22"/>
  <c r="M46" i="22" s="1"/>
  <c r="M47" i="22" s="1"/>
  <c r="M48" i="22" s="1"/>
  <c r="M49" i="22" s="1"/>
  <c r="N45" i="22"/>
  <c r="P45" i="22"/>
  <c r="Q45" i="22"/>
  <c r="N46" i="22"/>
  <c r="P46" i="22"/>
  <c r="Q46" i="22"/>
  <c r="N47" i="22"/>
  <c r="P47" i="22"/>
  <c r="Q47" i="22"/>
  <c r="N48" i="22"/>
  <c r="P48" i="22"/>
  <c r="Q48" i="22"/>
  <c r="N49" i="22"/>
  <c r="P49" i="22"/>
  <c r="Q49" i="22"/>
  <c r="K29" i="22"/>
  <c r="K30" i="22"/>
  <c r="K31" i="22"/>
  <c r="O29" i="22"/>
  <c r="M29" i="22"/>
  <c r="M30" i="22"/>
  <c r="M31" i="22"/>
  <c r="P65" i="22"/>
  <c r="P64" i="22"/>
  <c r="P63" i="22"/>
  <c r="P62" i="22"/>
  <c r="P61" i="22"/>
  <c r="P60" i="22"/>
  <c r="P59" i="22"/>
  <c r="P58" i="22"/>
  <c r="P57" i="22"/>
  <c r="Y56" i="22"/>
  <c r="P56" i="22"/>
  <c r="P55" i="22"/>
  <c r="P54" i="22"/>
  <c r="Q43" i="22"/>
  <c r="Q64" i="22" s="1"/>
  <c r="P43" i="22"/>
  <c r="N43" i="22"/>
  <c r="Q42" i="22"/>
  <c r="P42" i="22"/>
  <c r="N42" i="22"/>
  <c r="Q41" i="22"/>
  <c r="P41" i="22"/>
  <c r="N41" i="22"/>
  <c r="Q40" i="22"/>
  <c r="P40" i="22"/>
  <c r="N40" i="22"/>
  <c r="Q39" i="22"/>
  <c r="P39" i="22"/>
  <c r="N39" i="22"/>
  <c r="Q38" i="22"/>
  <c r="P38" i="22"/>
  <c r="N38" i="22"/>
  <c r="Q37" i="22"/>
  <c r="P37" i="22"/>
  <c r="N37" i="22"/>
  <c r="M37" i="22"/>
  <c r="M38" i="22" s="1"/>
  <c r="M39" i="22" s="1"/>
  <c r="M40" i="22" s="1"/>
  <c r="M41" i="22" s="1"/>
  <c r="M42" i="22" s="1"/>
  <c r="M43" i="22" s="1"/>
  <c r="Q36" i="22"/>
  <c r="P36" i="22"/>
  <c r="N36" i="22"/>
  <c r="Q35" i="22"/>
  <c r="P35" i="22"/>
  <c r="N35" i="22"/>
  <c r="Q34" i="22"/>
  <c r="P34" i="22"/>
  <c r="N34" i="22"/>
  <c r="Q33" i="22"/>
  <c r="P33" i="22"/>
  <c r="N33" i="22"/>
  <c r="S27" i="22" s="1"/>
  <c r="B29" i="22"/>
  <c r="M28" i="22"/>
  <c r="K28" i="22"/>
  <c r="M27" i="22"/>
  <c r="K27" i="22"/>
  <c r="B27" i="22"/>
  <c r="M26" i="22"/>
  <c r="K26" i="22"/>
  <c r="M25" i="22"/>
  <c r="K25" i="22"/>
  <c r="M24" i="22"/>
  <c r="K24" i="22"/>
  <c r="M23" i="22"/>
  <c r="K23" i="22"/>
  <c r="M22" i="22"/>
  <c r="K22" i="22"/>
  <c r="M21" i="22"/>
  <c r="K21" i="22"/>
  <c r="M20" i="22"/>
  <c r="K20" i="22"/>
  <c r="M19" i="22"/>
  <c r="K19" i="22"/>
  <c r="M18" i="22"/>
  <c r="K18" i="22"/>
  <c r="M17" i="22"/>
  <c r="K17" i="22"/>
  <c r="M16" i="22"/>
  <c r="K16" i="22"/>
  <c r="M15" i="22"/>
  <c r="K15" i="22"/>
  <c r="M14" i="22"/>
  <c r="K14" i="22"/>
  <c r="M13" i="22"/>
  <c r="K13" i="22"/>
  <c r="M12" i="22"/>
  <c r="K12" i="22"/>
  <c r="M11" i="22"/>
  <c r="K11" i="22"/>
  <c r="M10" i="22"/>
  <c r="K10" i="22"/>
  <c r="M9" i="22"/>
  <c r="K9" i="22"/>
  <c r="M8" i="22"/>
  <c r="K8" i="22"/>
  <c r="M7" i="22"/>
  <c r="K7" i="22"/>
  <c r="M6" i="22"/>
  <c r="K6" i="22"/>
  <c r="M5" i="22"/>
  <c r="K5" i="22"/>
  <c r="M4" i="22"/>
  <c r="K4" i="22"/>
  <c r="T3" i="22"/>
  <c r="K3" i="22"/>
  <c r="E38" i="22"/>
  <c r="B3" i="22"/>
  <c r="B2" i="22"/>
  <c r="I29" i="22"/>
  <c r="A44" i="22" l="1"/>
  <c r="B83" i="22"/>
  <c r="S39" i="22"/>
  <c r="O20" i="22"/>
  <c r="O5" i="22"/>
  <c r="X18" i="22"/>
  <c r="A48" i="22"/>
  <c r="O11" i="22"/>
  <c r="X11" i="22"/>
  <c r="X24" i="22"/>
  <c r="O14" i="22"/>
  <c r="X5" i="22"/>
  <c r="X14" i="22"/>
  <c r="O23" i="22"/>
  <c r="O27" i="22"/>
  <c r="O8" i="22"/>
  <c r="O17" i="22"/>
  <c r="X21" i="22"/>
  <c r="S35" i="22"/>
  <c r="S42" i="22"/>
  <c r="Y65" i="22"/>
  <c r="X8" i="22"/>
  <c r="X17" i="22"/>
  <c r="O26" i="22"/>
  <c r="Y62" i="22"/>
  <c r="X27" i="22"/>
  <c r="Y59" i="22"/>
  <c r="O30" i="22"/>
  <c r="S47" i="22"/>
  <c r="O4" i="22"/>
  <c r="O10" i="22"/>
  <c r="O13" i="22"/>
  <c r="O16" i="22"/>
  <c r="B18" i="22"/>
  <c r="X20" i="22"/>
  <c r="X23" i="22"/>
  <c r="X26" i="22"/>
  <c r="S34" i="22"/>
  <c r="Y54" i="22"/>
  <c r="Y57" i="22"/>
  <c r="Y63" i="22"/>
  <c r="O3" i="22"/>
  <c r="X4" i="22"/>
  <c r="X7" i="22"/>
  <c r="X10" i="22"/>
  <c r="X13" i="22"/>
  <c r="X16" i="22"/>
  <c r="O19" i="22"/>
  <c r="O22" i="22"/>
  <c r="O25" i="22"/>
  <c r="S37" i="22"/>
  <c r="S38" i="22"/>
  <c r="S41" i="22"/>
  <c r="S48" i="22"/>
  <c r="S45" i="22"/>
  <c r="O6" i="22"/>
  <c r="O9" i="22"/>
  <c r="O12" i="22"/>
  <c r="O15" i="22"/>
  <c r="X19" i="22"/>
  <c r="X22" i="22"/>
  <c r="X25" i="22"/>
  <c r="O28" i="22"/>
  <c r="S36" i="22"/>
  <c r="Y55" i="22"/>
  <c r="Y58" i="22"/>
  <c r="Y61" i="22"/>
  <c r="X3" i="22"/>
  <c r="X6" i="22"/>
  <c r="X9" i="22"/>
  <c r="X12" i="22"/>
  <c r="X15" i="22"/>
  <c r="O18" i="22"/>
  <c r="O21" i="22"/>
  <c r="O24" i="22"/>
  <c r="X28" i="22"/>
  <c r="S40" i="22"/>
  <c r="S43" i="22"/>
  <c r="Y64" i="22"/>
  <c r="O31" i="22"/>
  <c r="S49" i="22"/>
  <c r="S46" i="22"/>
  <c r="O7" i="22"/>
  <c r="Y60" i="22"/>
  <c r="K63" i="22"/>
  <c r="S9" i="22"/>
  <c r="S21" i="22"/>
  <c r="S16" i="22"/>
  <c r="S10" i="22"/>
  <c r="S15" i="22"/>
  <c r="S4" i="22"/>
  <c r="S8" i="22"/>
  <c r="S14" i="22"/>
  <c r="S20" i="22"/>
  <c r="S25" i="22"/>
  <c r="S7" i="22"/>
  <c r="S13" i="22"/>
  <c r="S24" i="22"/>
  <c r="S6" i="22"/>
  <c r="S12" i="22"/>
  <c r="S23" i="22"/>
  <c r="S28" i="22"/>
  <c r="S5" i="22"/>
  <c r="S11" i="22"/>
  <c r="S17" i="22"/>
  <c r="S18" i="22"/>
  <c r="Q57" i="22"/>
  <c r="N58" i="22"/>
  <c r="Q61" i="22"/>
  <c r="N62" i="22"/>
  <c r="Q65" i="22"/>
  <c r="S3" i="22"/>
  <c r="S19" i="22"/>
  <c r="S22" i="22"/>
  <c r="S26" i="22"/>
  <c r="N54" i="22"/>
  <c r="N59" i="22"/>
  <c r="N63" i="22"/>
  <c r="N55" i="22"/>
  <c r="Q58" i="22"/>
  <c r="Q62" i="22"/>
  <c r="C29" i="22"/>
  <c r="Q54" i="22"/>
  <c r="N56" i="22"/>
  <c r="Q59" i="22"/>
  <c r="N60" i="22"/>
  <c r="Q63" i="22"/>
  <c r="N64" i="22"/>
  <c r="Q55" i="22"/>
  <c r="N57" i="22"/>
  <c r="N61" i="22"/>
  <c r="N65" i="22"/>
  <c r="C27" i="22"/>
  <c r="Q56" i="22"/>
  <c r="Q60" i="22"/>
  <c r="AE3" i="13"/>
  <c r="I17" i="22"/>
  <c r="I18" i="22"/>
  <c r="I27" i="22"/>
  <c r="I20" i="22"/>
  <c r="I16" i="22"/>
  <c r="I12" i="22"/>
  <c r="I19" i="22"/>
  <c r="I7" i="22"/>
  <c r="I4" i="22"/>
  <c r="I24" i="22"/>
  <c r="I13" i="22"/>
  <c r="I31" i="22"/>
  <c r="R3" i="22"/>
  <c r="I8" i="22"/>
  <c r="I14" i="22"/>
  <c r="I9" i="22"/>
  <c r="I6" i="22"/>
  <c r="I30" i="22"/>
  <c r="I3" i="22"/>
  <c r="B6" i="22"/>
  <c r="I21" i="22"/>
  <c r="I28" i="22"/>
  <c r="I11" i="22"/>
  <c r="I5" i="22"/>
  <c r="I10" i="22"/>
  <c r="I25" i="22"/>
  <c r="I15" i="22"/>
  <c r="I26" i="22"/>
  <c r="I23" i="22"/>
  <c r="I22" i="22"/>
  <c r="K54" i="22" l="1"/>
  <c r="K41" i="22"/>
  <c r="K44" i="22"/>
  <c r="K35" i="22"/>
  <c r="K38" i="22"/>
  <c r="K61" i="22"/>
  <c r="K57" i="22"/>
  <c r="K47" i="22"/>
  <c r="K60" i="22"/>
  <c r="K64" i="22"/>
  <c r="K55" i="22"/>
  <c r="K48" i="22"/>
  <c r="K62" i="22"/>
  <c r="K39" i="22"/>
  <c r="R54" i="22"/>
  <c r="R64" i="22"/>
  <c r="R62" i="22"/>
  <c r="R60" i="22"/>
  <c r="R58" i="22"/>
  <c r="R56" i="22"/>
  <c r="R55" i="22"/>
  <c r="R65" i="22"/>
  <c r="R63" i="22"/>
  <c r="R61" i="22"/>
  <c r="R59" i="22"/>
  <c r="R57" i="22"/>
  <c r="K42" i="22"/>
  <c r="K37" i="22"/>
  <c r="K36" i="22"/>
  <c r="K46" i="22"/>
  <c r="K59" i="22"/>
  <c r="K43" i="22"/>
  <c r="K56" i="22"/>
  <c r="K40" i="22"/>
  <c r="K65" i="22"/>
  <c r="K58" i="22"/>
  <c r="K45" i="22"/>
  <c r="K49" i="22"/>
  <c r="K33" i="22"/>
  <c r="K34" i="22"/>
  <c r="T4" i="22"/>
  <c r="I36" i="22"/>
  <c r="I49" i="22"/>
  <c r="I64" i="22"/>
  <c r="I47" i="22"/>
  <c r="I34" i="22"/>
  <c r="I37" i="22"/>
  <c r="I54" i="22"/>
  <c r="I38" i="22"/>
  <c r="I46" i="22"/>
  <c r="I61" i="22"/>
  <c r="I48" i="22"/>
  <c r="R4" i="22"/>
  <c r="I45" i="22"/>
  <c r="I33" i="22"/>
  <c r="I39" i="22"/>
  <c r="I40" i="22"/>
  <c r="I62" i="22"/>
  <c r="I43" i="22"/>
  <c r="I55" i="22"/>
  <c r="I35" i="22"/>
  <c r="I56" i="22"/>
  <c r="I41" i="22"/>
  <c r="I44" i="22"/>
  <c r="I63" i="22"/>
  <c r="I60" i="22"/>
  <c r="I57" i="22"/>
  <c r="I59" i="22"/>
  <c r="I42" i="22"/>
  <c r="I65" i="22"/>
  <c r="I58" i="22"/>
  <c r="AC3" i="13" l="1"/>
  <c r="H5" i="22"/>
  <c r="H14" i="22"/>
  <c r="H11" i="22"/>
  <c r="H17" i="22"/>
  <c r="H8" i="22"/>
  <c r="H3" i="22"/>
  <c r="H22" i="22"/>
  <c r="H12" i="22"/>
  <c r="H20" i="22"/>
  <c r="H19" i="22"/>
  <c r="H13" i="22"/>
  <c r="H23" i="22"/>
  <c r="H9" i="22"/>
  <c r="H15" i="22"/>
  <c r="H25" i="22"/>
  <c r="H28" i="22"/>
  <c r="H24" i="22"/>
  <c r="H16" i="22"/>
  <c r="H27" i="22"/>
  <c r="H26" i="22"/>
  <c r="H18" i="22"/>
  <c r="H31" i="22"/>
  <c r="H6" i="22"/>
  <c r="H29" i="22"/>
  <c r="H21" i="22"/>
  <c r="H4" i="22"/>
  <c r="H10" i="22"/>
  <c r="H7" i="22"/>
  <c r="H30" i="22"/>
  <c r="T5" i="22"/>
  <c r="T6" i="22"/>
  <c r="R2" i="20"/>
  <c r="O2" i="20"/>
  <c r="G2" i="20"/>
  <c r="R5" i="22"/>
  <c r="R6" i="22"/>
  <c r="H3" i="13" l="1"/>
  <c r="T25" i="22"/>
  <c r="T27" i="22"/>
  <c r="T26" i="22"/>
  <c r="T22" i="22"/>
  <c r="T16" i="22"/>
  <c r="T13" i="22"/>
  <c r="T10" i="22"/>
  <c r="T7" i="22"/>
  <c r="T28" i="22"/>
  <c r="T24" i="22"/>
  <c r="T23" i="22"/>
  <c r="T20" i="22"/>
  <c r="T15" i="22"/>
  <c r="T17" i="22"/>
  <c r="T12" i="22"/>
  <c r="T19" i="22"/>
  <c r="T18" i="22"/>
  <c r="T14" i="22"/>
  <c r="T9" i="22"/>
  <c r="T11" i="22"/>
  <c r="T8" i="22"/>
  <c r="T21" i="22"/>
  <c r="R19" i="22"/>
  <c r="R15" i="22"/>
  <c r="R17" i="22"/>
  <c r="R14" i="22"/>
  <c r="R28" i="22"/>
  <c r="R24" i="22"/>
  <c r="R10" i="22"/>
  <c r="R23" i="22"/>
  <c r="R9" i="22"/>
  <c r="R11" i="22"/>
  <c r="R25" i="22"/>
  <c r="R8" i="22"/>
  <c r="R18" i="22"/>
  <c r="R7" i="22"/>
  <c r="R27" i="22"/>
  <c r="R21" i="22"/>
  <c r="R12" i="22"/>
  <c r="R13" i="22"/>
  <c r="R20" i="22"/>
  <c r="R26" i="22"/>
  <c r="R22" i="22"/>
  <c r="R16" i="22"/>
  <c r="F18" i="14" l="1"/>
  <c r="AA3" i="14" l="1"/>
  <c r="AA6" i="14"/>
  <c r="AA7" i="14"/>
  <c r="AA18" i="14"/>
  <c r="AA19" i="14"/>
  <c r="AA22" i="14"/>
  <c r="AA23" i="14"/>
  <c r="AA24" i="14"/>
  <c r="AA26" i="14"/>
  <c r="AA29" i="14"/>
  <c r="AA30" i="14"/>
  <c r="AA32" i="14"/>
  <c r="AA34" i="14"/>
  <c r="AA35" i="14"/>
  <c r="AA36" i="14"/>
  <c r="AA38" i="14"/>
  <c r="AA39" i="14"/>
  <c r="AA40" i="14"/>
  <c r="AA41" i="14"/>
  <c r="AA43" i="14"/>
  <c r="AA44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4" i="14"/>
  <c r="AA76" i="14"/>
  <c r="AA84" i="14"/>
  <c r="AA85" i="14"/>
  <c r="AA99" i="14"/>
  <c r="AA100" i="14"/>
  <c r="AA101" i="14"/>
  <c r="AA102" i="14"/>
  <c r="AA103" i="14"/>
  <c r="AA104" i="14"/>
  <c r="AA105" i="14"/>
  <c r="AA106" i="14"/>
  <c r="AA2" i="14"/>
  <c r="B3" i="14" l="1"/>
  <c r="B6" i="14"/>
  <c r="B7" i="14"/>
  <c r="B18" i="14"/>
  <c r="B19" i="14"/>
  <c r="B22" i="14"/>
  <c r="B23" i="14"/>
  <c r="B24" i="14"/>
  <c r="B26" i="14"/>
  <c r="B29" i="14"/>
  <c r="B30" i="14"/>
  <c r="B32" i="14"/>
  <c r="B33" i="14"/>
  <c r="B34" i="14"/>
  <c r="B35" i="14"/>
  <c r="B36" i="14"/>
  <c r="B38" i="14"/>
  <c r="B39" i="14"/>
  <c r="B40" i="14"/>
  <c r="B41" i="14"/>
  <c r="B43" i="14"/>
  <c r="B44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4" i="14"/>
  <c r="B76" i="14"/>
  <c r="B84" i="14"/>
  <c r="B85" i="14"/>
  <c r="B99" i="14"/>
  <c r="B100" i="14"/>
  <c r="B101" i="14"/>
  <c r="B102" i="14"/>
  <c r="B103" i="14"/>
  <c r="B104" i="14"/>
  <c r="B105" i="14"/>
  <c r="B106" i="14"/>
  <c r="B2" i="14"/>
  <c r="N18" i="14"/>
  <c r="N19" i="14"/>
  <c r="N22" i="14"/>
  <c r="N23" i="14"/>
  <c r="N24" i="14"/>
  <c r="N26" i="14"/>
  <c r="N29" i="14"/>
  <c r="N30" i="14"/>
  <c r="N32" i="14"/>
  <c r="N33" i="14"/>
  <c r="N34" i="14"/>
  <c r="N35" i="14"/>
  <c r="N36" i="14"/>
  <c r="N38" i="14"/>
  <c r="N39" i="14"/>
  <c r="N40" i="14"/>
  <c r="N41" i="14"/>
  <c r="N43" i="14"/>
  <c r="N44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4" i="14"/>
  <c r="N76" i="14"/>
  <c r="N84" i="14"/>
  <c r="N85" i="14"/>
  <c r="N99" i="14"/>
  <c r="N100" i="14"/>
  <c r="N101" i="14"/>
  <c r="N102" i="14"/>
  <c r="N103" i="14"/>
  <c r="N104" i="14"/>
  <c r="N105" i="14"/>
  <c r="N106" i="14"/>
  <c r="F19" i="14"/>
  <c r="F22" i="14"/>
  <c r="F23" i="14"/>
  <c r="F24" i="14"/>
  <c r="F26" i="14"/>
  <c r="F29" i="14"/>
  <c r="F30" i="14"/>
  <c r="F32" i="14"/>
  <c r="F33" i="14"/>
  <c r="F34" i="14"/>
  <c r="F35" i="14"/>
  <c r="F36" i="14"/>
  <c r="F38" i="14"/>
  <c r="F39" i="14"/>
  <c r="F40" i="14"/>
  <c r="F41" i="14"/>
  <c r="F43" i="14"/>
  <c r="F44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4" i="14"/>
  <c r="F76" i="14"/>
  <c r="F84" i="14"/>
  <c r="F85" i="14"/>
  <c r="F99" i="14"/>
  <c r="F100" i="14"/>
  <c r="F101" i="14"/>
  <c r="F102" i="14"/>
  <c r="F103" i="14"/>
  <c r="F104" i="14"/>
  <c r="F105" i="14"/>
  <c r="F106" i="14"/>
  <c r="F3" i="14"/>
  <c r="F6" i="14"/>
  <c r="F7" i="14"/>
  <c r="F2" i="14"/>
  <c r="E3" i="14"/>
  <c r="E6" i="14"/>
  <c r="E7" i="14"/>
  <c r="E18" i="14"/>
  <c r="E19" i="14"/>
  <c r="E22" i="14"/>
  <c r="E23" i="14"/>
  <c r="E24" i="14"/>
  <c r="E26" i="14"/>
  <c r="E29" i="14"/>
  <c r="E30" i="14"/>
  <c r="E32" i="14"/>
  <c r="E33" i="14"/>
  <c r="E34" i="14"/>
  <c r="E35" i="14"/>
  <c r="E36" i="14"/>
  <c r="E38" i="14"/>
  <c r="E39" i="14"/>
  <c r="E40" i="14"/>
  <c r="E41" i="14"/>
  <c r="E43" i="14"/>
  <c r="E44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4" i="14"/>
  <c r="E76" i="14"/>
  <c r="E84" i="14"/>
  <c r="E85" i="14"/>
  <c r="E99" i="14"/>
  <c r="E100" i="14"/>
  <c r="E101" i="14"/>
  <c r="E102" i="14"/>
  <c r="E103" i="14"/>
  <c r="E104" i="14"/>
  <c r="E105" i="14"/>
  <c r="E106" i="14"/>
  <c r="E2" i="14"/>
  <c r="A100" i="14"/>
  <c r="A30" i="14"/>
  <c r="A60" i="14"/>
  <c r="A85" i="14"/>
  <c r="A76" i="14"/>
  <c r="A19" i="14"/>
  <c r="A103" i="14"/>
  <c r="A84" i="14"/>
  <c r="A104" i="14"/>
  <c r="A23" i="14"/>
  <c r="A33" i="14"/>
  <c r="A106" i="14"/>
  <c r="A34" i="14"/>
  <c r="A61" i="14"/>
  <c r="A64" i="14"/>
  <c r="A102" i="14"/>
  <c r="A41" i="14"/>
  <c r="A74" i="14"/>
  <c r="A70" i="14"/>
  <c r="A18" i="14"/>
  <c r="A35" i="14"/>
  <c r="A26" i="14"/>
  <c r="A67" i="14"/>
  <c r="A101" i="14"/>
  <c r="A38" i="14"/>
  <c r="A59" i="14"/>
  <c r="A99" i="14"/>
  <c r="A29" i="14"/>
  <c r="A71" i="14"/>
  <c r="A43" i="14"/>
  <c r="A69" i="14"/>
  <c r="A58" i="14"/>
  <c r="A65" i="14"/>
  <c r="A39" i="14"/>
  <c r="A63" i="14"/>
  <c r="A40" i="14"/>
  <c r="A68" i="14"/>
  <c r="A36" i="14"/>
  <c r="A24" i="14"/>
  <c r="A105" i="14"/>
  <c r="A44" i="14"/>
  <c r="A22" i="14"/>
  <c r="A62" i="14"/>
  <c r="A32" i="14"/>
  <c r="A66" i="14"/>
  <c r="Z105" i="14" l="1"/>
  <c r="Z99" i="14"/>
  <c r="Z69" i="14"/>
  <c r="Z63" i="14"/>
  <c r="Z39" i="14"/>
  <c r="Z33" i="14"/>
  <c r="Z104" i="14"/>
  <c r="Z74" i="14"/>
  <c r="Z68" i="14"/>
  <c r="Z62" i="14"/>
  <c r="Z44" i="14"/>
  <c r="Z38" i="14"/>
  <c r="Z32" i="14"/>
  <c r="Z26" i="14"/>
  <c r="Z103" i="14"/>
  <c r="Z85" i="14"/>
  <c r="Z67" i="14"/>
  <c r="Z61" i="14"/>
  <c r="Z43" i="14"/>
  <c r="Z19" i="14"/>
  <c r="Z102" i="14"/>
  <c r="Z84" i="14"/>
  <c r="Z66" i="14"/>
  <c r="Z60" i="14"/>
  <c r="Z36" i="14"/>
  <c r="Z30" i="14"/>
  <c r="Z24" i="14"/>
  <c r="Z18" i="14"/>
  <c r="Z101" i="14"/>
  <c r="Z71" i="14"/>
  <c r="Z65" i="14"/>
  <c r="Z41" i="14"/>
  <c r="Z35" i="14"/>
  <c r="Z29" i="14"/>
  <c r="Z23" i="14"/>
  <c r="Z59" i="14"/>
  <c r="Z106" i="14"/>
  <c r="Z100" i="14"/>
  <c r="Z76" i="14"/>
  <c r="Z70" i="14"/>
  <c r="Z64" i="14"/>
  <c r="Z58" i="14"/>
  <c r="Z40" i="14"/>
  <c r="Z34" i="14"/>
  <c r="Z22" i="14"/>
  <c r="AA3" i="13" l="1"/>
  <c r="N7" i="14" l="1"/>
  <c r="N6" i="14"/>
  <c r="N2" i="14"/>
  <c r="A7" i="14"/>
  <c r="A2" i="14"/>
  <c r="A6" i="14"/>
  <c r="Z7" i="14" l="1"/>
  <c r="Z6" i="14"/>
  <c r="Z2" i="14"/>
  <c r="Z3" i="14"/>
  <c r="H2" i="20" s="1"/>
  <c r="AD3" i="13" l="1"/>
  <c r="B24" i="22"/>
  <c r="C24" i="22"/>
  <c r="B84" i="22" l="1"/>
  <c r="B56" i="22"/>
  <c r="A42" i="22"/>
  <c r="B52" i="22"/>
  <c r="B74" i="22"/>
  <c r="E2" i="22" a="1"/>
  <c r="N2" i="20" l="1"/>
  <c r="E4" i="22"/>
  <c r="D4" i="22" s="1"/>
  <c r="E10" i="22"/>
  <c r="D10" i="22" s="1"/>
  <c r="E27" i="22"/>
  <c r="D27" i="22" s="1"/>
  <c r="E7" i="22"/>
  <c r="D7" i="22" s="1"/>
  <c r="E12" i="22"/>
  <c r="D12" i="22" s="1"/>
  <c r="E28" i="22"/>
  <c r="D28" i="22" s="1"/>
  <c r="E30" i="22"/>
  <c r="D30" i="22" s="1"/>
  <c r="E14" i="22"/>
  <c r="D14" i="22" s="1"/>
  <c r="E5" i="22"/>
  <c r="D5" i="22" s="1"/>
  <c r="E13" i="22"/>
  <c r="D13" i="22" s="1"/>
  <c r="E26" i="22"/>
  <c r="D26" i="22" s="1"/>
  <c r="E3" i="22"/>
  <c r="D3" i="22" s="1"/>
  <c r="E16" i="22"/>
  <c r="D16" i="22" s="1"/>
  <c r="E19" i="22"/>
  <c r="D19" i="22" s="1"/>
  <c r="E22" i="22"/>
  <c r="D22" i="22" s="1"/>
  <c r="E8" i="22"/>
  <c r="D8" i="22" s="1"/>
  <c r="E29" i="22"/>
  <c r="D29" i="22" s="1"/>
  <c r="E15" i="22"/>
  <c r="D15" i="22" s="1"/>
  <c r="E21" i="22"/>
  <c r="D21" i="22" s="1"/>
  <c r="E17" i="22"/>
  <c r="D17" i="22" s="1"/>
  <c r="E24" i="22"/>
  <c r="D24" i="22" s="1"/>
  <c r="E2" i="22"/>
  <c r="D2" i="22" s="1"/>
  <c r="E20" i="22"/>
  <c r="D20" i="22" s="1"/>
  <c r="E11" i="22"/>
  <c r="D11" i="22" s="1"/>
  <c r="E23" i="22"/>
  <c r="D23" i="22" s="1"/>
  <c r="E25" i="22"/>
  <c r="D25" i="22" s="1"/>
  <c r="E31" i="22"/>
  <c r="D31" i="22" s="1"/>
  <c r="E9" i="22"/>
  <c r="D9" i="22" s="1"/>
  <c r="E18" i="22"/>
  <c r="D18" i="22" s="1"/>
  <c r="E6" i="22"/>
  <c r="D6" i="22" s="1"/>
  <c r="C54" i="22"/>
  <c r="B51" i="22"/>
  <c r="A2" i="20"/>
  <c r="G3" i="13" l="1"/>
  <c r="C8" i="13" a="1"/>
  <c r="B4" i="13"/>
  <c r="M3" i="13"/>
  <c r="L3" i="13" s="1"/>
  <c r="F2" i="22" a="1"/>
  <c r="G2" i="22" a="1"/>
  <c r="K3" i="13"/>
  <c r="F8" i="13" l="1"/>
  <c r="H10" i="13"/>
  <c r="J12" i="13"/>
  <c r="L14" i="13"/>
  <c r="N16" i="13"/>
  <c r="P18" i="13"/>
  <c r="R20" i="13"/>
  <c r="C23" i="13"/>
  <c r="E25" i="13"/>
  <c r="G27" i="13"/>
  <c r="I29" i="13"/>
  <c r="K31" i="13"/>
  <c r="M33" i="13"/>
  <c r="N9" i="13"/>
  <c r="P11" i="13"/>
  <c r="E11" i="13"/>
  <c r="P13" i="13"/>
  <c r="I16" i="13"/>
  <c r="R18" i="13"/>
  <c r="J21" i="13"/>
  <c r="S23" i="13"/>
  <c r="K26" i="13"/>
  <c r="D29" i="13"/>
  <c r="M31" i="13"/>
  <c r="C8" i="13"/>
  <c r="F11" i="13"/>
  <c r="R13" i="13"/>
  <c r="J16" i="13"/>
  <c r="S18" i="13"/>
  <c r="Q10" i="13"/>
  <c r="T10" i="13" s="1"/>
  <c r="U10" i="13" s="1"/>
  <c r="M13" i="13"/>
  <c r="E16" i="13"/>
  <c r="N18" i="13"/>
  <c r="F21" i="13"/>
  <c r="P23" i="13"/>
  <c r="H26" i="13"/>
  <c r="Q28" i="13"/>
  <c r="I31" i="13"/>
  <c r="R33" i="13"/>
  <c r="S17" i="13"/>
  <c r="D23" i="13"/>
  <c r="H27" i="13"/>
  <c r="R10" i="13"/>
  <c r="N13" i="13"/>
  <c r="F16" i="13"/>
  <c r="O18" i="13"/>
  <c r="H21" i="13"/>
  <c r="Q23" i="13"/>
  <c r="T23" i="13" s="1"/>
  <c r="U23" i="13" s="1"/>
  <c r="I26" i="13"/>
  <c r="R28" i="13"/>
  <c r="J31" i="13"/>
  <c r="I8" i="13"/>
  <c r="C12" i="13"/>
  <c r="J15" i="13"/>
  <c r="K20" i="13"/>
  <c r="F25" i="13"/>
  <c r="P17" i="13"/>
  <c r="E26" i="13"/>
  <c r="N31" i="13"/>
  <c r="F18" i="13"/>
  <c r="G26" i="13"/>
  <c r="O31" i="13"/>
  <c r="M18" i="13"/>
  <c r="M26" i="13"/>
  <c r="S31" i="13"/>
  <c r="K16" i="13"/>
  <c r="I25" i="13"/>
  <c r="G31" i="13"/>
  <c r="I14" i="13"/>
  <c r="K24" i="13"/>
  <c r="Q29" i="13"/>
  <c r="N30" i="13"/>
  <c r="S28" i="13"/>
  <c r="G23" i="13"/>
  <c r="S15" i="13"/>
  <c r="J24" i="13"/>
  <c r="R32" i="13"/>
  <c r="S12" i="13"/>
  <c r="E23" i="13"/>
  <c r="F28" i="13"/>
  <c r="E10" i="13"/>
  <c r="L15" i="13"/>
  <c r="P9" i="13"/>
  <c r="Q17" i="13"/>
  <c r="T17" i="13" s="1"/>
  <c r="U17" i="13" s="1"/>
  <c r="R22" i="13"/>
  <c r="L8" i="13"/>
  <c r="N10" i="13"/>
  <c r="P12" i="13"/>
  <c r="R14" i="13"/>
  <c r="C17" i="13"/>
  <c r="E19" i="13"/>
  <c r="G21" i="13"/>
  <c r="I23" i="13"/>
  <c r="K25" i="13"/>
  <c r="M27" i="13"/>
  <c r="O29" i="13"/>
  <c r="Q31" i="13"/>
  <c r="S33" i="13"/>
  <c r="C10" i="13"/>
  <c r="J8" i="13"/>
  <c r="M11" i="13"/>
  <c r="G14" i="13"/>
  <c r="P16" i="13"/>
  <c r="H19" i="13"/>
  <c r="Q21" i="13"/>
  <c r="I24" i="13"/>
  <c r="S26" i="13"/>
  <c r="K29" i="13"/>
  <c r="C32" i="13"/>
  <c r="K8" i="13"/>
  <c r="N11" i="13"/>
  <c r="H14" i="13"/>
  <c r="Q16" i="13"/>
  <c r="E8" i="13"/>
  <c r="H11" i="13"/>
  <c r="C14" i="13"/>
  <c r="L16" i="13"/>
  <c r="D19" i="13"/>
  <c r="N21" i="13"/>
  <c r="F24" i="13"/>
  <c r="O26" i="13"/>
  <c r="G29" i="13"/>
  <c r="P31" i="13"/>
  <c r="Q8" i="13"/>
  <c r="I18" i="13"/>
  <c r="R23" i="13"/>
  <c r="H8" i="13"/>
  <c r="K11" i="13"/>
  <c r="D14" i="13"/>
  <c r="M16" i="13"/>
  <c r="F19" i="13"/>
  <c r="O21" i="13"/>
  <c r="G24" i="13"/>
  <c r="P26" i="13"/>
  <c r="H29" i="13"/>
  <c r="R31" i="13"/>
  <c r="J9" i="13"/>
  <c r="K12" i="13"/>
  <c r="Q15" i="13"/>
  <c r="T15" i="13" s="1"/>
  <c r="U15" i="13" s="1"/>
  <c r="S20" i="13"/>
  <c r="C26" i="13"/>
  <c r="P19" i="13"/>
  <c r="J27" i="13"/>
  <c r="K32" i="13"/>
  <c r="R19" i="13"/>
  <c r="K27" i="13"/>
  <c r="M32" i="13"/>
  <c r="G20" i="13"/>
  <c r="O27" i="13"/>
  <c r="P32" i="13"/>
  <c r="C19" i="13"/>
  <c r="N26" i="13"/>
  <c r="D32" i="13"/>
  <c r="R16" i="13"/>
  <c r="O25" i="13"/>
  <c r="I32" i="13"/>
  <c r="F33" i="13"/>
  <c r="P14" i="13"/>
  <c r="L31" i="13"/>
  <c r="Q13" i="13"/>
  <c r="L26" i="13"/>
  <c r="S8" i="13"/>
  <c r="K15" i="13"/>
  <c r="C18" i="13"/>
  <c r="N25" i="13"/>
  <c r="H33" i="13"/>
  <c r="L30" i="13"/>
  <c r="R8" i="13"/>
  <c r="C11" i="13"/>
  <c r="E13" i="13"/>
  <c r="G15" i="13"/>
  <c r="I17" i="13"/>
  <c r="K19" i="13"/>
  <c r="M21" i="13"/>
  <c r="O23" i="13"/>
  <c r="Q25" i="13"/>
  <c r="S27" i="13"/>
  <c r="D30" i="13"/>
  <c r="F32" i="13"/>
  <c r="G8" i="13"/>
  <c r="I10" i="13"/>
  <c r="C9" i="13"/>
  <c r="E12" i="13"/>
  <c r="N14" i="13"/>
  <c r="F17" i="13"/>
  <c r="O19" i="13"/>
  <c r="G22" i="13"/>
  <c r="Q24" i="13"/>
  <c r="I27" i="13"/>
  <c r="R29" i="13"/>
  <c r="J32" i="13"/>
  <c r="D9" i="13"/>
  <c r="F12" i="13"/>
  <c r="O14" i="13"/>
  <c r="G17" i="13"/>
  <c r="O8" i="13"/>
  <c r="R11" i="13"/>
  <c r="J14" i="13"/>
  <c r="S16" i="13"/>
  <c r="L19" i="13"/>
  <c r="D22" i="13"/>
  <c r="M24" i="13"/>
  <c r="E27" i="13"/>
  <c r="N29" i="13"/>
  <c r="G32" i="13"/>
  <c r="O13" i="13"/>
  <c r="Q18" i="13"/>
  <c r="T18" i="13" s="1"/>
  <c r="U18" i="13" s="1"/>
  <c r="O24" i="13"/>
  <c r="P8" i="13"/>
  <c r="S11" i="13"/>
  <c r="K14" i="13"/>
  <c r="D17" i="13"/>
  <c r="M19" i="13"/>
  <c r="E22" i="13"/>
  <c r="N24" i="13"/>
  <c r="F27" i="13"/>
  <c r="P29" i="13"/>
  <c r="H32" i="13"/>
  <c r="R9" i="13"/>
  <c r="R12" i="13"/>
  <c r="O16" i="13"/>
  <c r="I21" i="13"/>
  <c r="E9" i="13"/>
  <c r="D21" i="13"/>
  <c r="G28" i="13"/>
  <c r="I33" i="13"/>
  <c r="E21" i="13"/>
  <c r="I28" i="13"/>
  <c r="J33" i="13"/>
  <c r="K21" i="13"/>
  <c r="L28" i="13"/>
  <c r="N33" i="13"/>
  <c r="H20" i="13"/>
  <c r="Q27" i="13"/>
  <c r="T27" i="13" s="1"/>
  <c r="U27" i="13" s="1"/>
  <c r="S32" i="13"/>
  <c r="I19" i="13"/>
  <c r="C27" i="13"/>
  <c r="K30" i="13"/>
  <c r="C22" i="13"/>
  <c r="L24" i="13"/>
  <c r="M29" i="13"/>
  <c r="O11" i="13"/>
  <c r="D18" i="13"/>
  <c r="F20" i="13"/>
  <c r="H22" i="13"/>
  <c r="P30" i="13"/>
  <c r="D10" i="13"/>
  <c r="M20" i="13"/>
  <c r="O30" i="13"/>
  <c r="C13" i="13"/>
  <c r="E18" i="13"/>
  <c r="O12" i="13"/>
  <c r="G9" i="13"/>
  <c r="I11" i="13"/>
  <c r="K13" i="13"/>
  <c r="M15" i="13"/>
  <c r="O17" i="13"/>
  <c r="Q19" i="13"/>
  <c r="T19" i="13" s="1"/>
  <c r="U19" i="13" s="1"/>
  <c r="S21" i="13"/>
  <c r="D24" i="13"/>
  <c r="F26" i="13"/>
  <c r="H28" i="13"/>
  <c r="J30" i="13"/>
  <c r="L32" i="13"/>
  <c r="M8" i="13"/>
  <c r="O10" i="13"/>
  <c r="K9" i="13"/>
  <c r="L12" i="13"/>
  <c r="D15" i="13"/>
  <c r="M17" i="13"/>
  <c r="E20" i="13"/>
  <c r="O22" i="13"/>
  <c r="G25" i="13"/>
  <c r="P27" i="13"/>
  <c r="H30" i="13"/>
  <c r="Q32" i="13"/>
  <c r="L9" i="13"/>
  <c r="M12" i="13"/>
  <c r="E15" i="13"/>
  <c r="N17" i="13"/>
  <c r="F9" i="13"/>
  <c r="H12" i="13"/>
  <c r="Q14" i="13"/>
  <c r="T14" i="13" s="1"/>
  <c r="U14" i="13" s="1"/>
  <c r="J17" i="13"/>
  <c r="S19" i="13"/>
  <c r="K22" i="13"/>
  <c r="C25" i="13"/>
  <c r="L27" i="13"/>
  <c r="E30" i="13"/>
  <c r="N32" i="13"/>
  <c r="C15" i="13"/>
  <c r="G19" i="13"/>
  <c r="M25" i="13"/>
  <c r="I9" i="13"/>
  <c r="I12" i="13"/>
  <c r="S14" i="13"/>
  <c r="K17" i="13"/>
  <c r="C20" i="13"/>
  <c r="L22" i="13"/>
  <c r="D25" i="13"/>
  <c r="N27" i="13"/>
  <c r="F30" i="13"/>
  <c r="O32" i="13"/>
  <c r="K10" i="13"/>
  <c r="H13" i="13"/>
  <c r="L17" i="13"/>
  <c r="M22" i="13"/>
  <c r="O9" i="13"/>
  <c r="I22" i="13"/>
  <c r="E29" i="13"/>
  <c r="F10" i="13"/>
  <c r="J22" i="13"/>
  <c r="F29" i="13"/>
  <c r="P10" i="13"/>
  <c r="P22" i="13"/>
  <c r="J29" i="13"/>
  <c r="D8" i="13"/>
  <c r="L21" i="13"/>
  <c r="O28" i="13"/>
  <c r="P33" i="13"/>
  <c r="N20" i="13"/>
  <c r="R27" i="13"/>
  <c r="C33" i="13"/>
  <c r="P28" i="13"/>
  <c r="J19" i="13"/>
  <c r="E32" i="13"/>
  <c r="M9" i="13"/>
  <c r="N28" i="13"/>
  <c r="D11" i="13"/>
  <c r="I20" i="13"/>
  <c r="C28" i="13"/>
  <c r="D33" i="13"/>
  <c r="H16" i="13"/>
  <c r="C29" i="13"/>
  <c r="I13" i="13"/>
  <c r="M28" i="13"/>
  <c r="L18" i="13"/>
  <c r="P20" i="13"/>
  <c r="K33" i="13"/>
  <c r="Q26" i="13"/>
  <c r="T26" i="13" s="1"/>
  <c r="U26" i="13" s="1"/>
  <c r="P15" i="13"/>
  <c r="J23" i="13"/>
  <c r="C31" i="13"/>
  <c r="M14" i="13"/>
  <c r="F15" i="13"/>
  <c r="N15" i="13"/>
  <c r="D16" i="13"/>
  <c r="S13" i="13"/>
  <c r="Q11" i="13"/>
  <c r="E28" i="13"/>
  <c r="J18" i="13"/>
  <c r="E31" i="13"/>
  <c r="R15" i="13"/>
  <c r="F31" i="13"/>
  <c r="G10" i="13"/>
  <c r="H23" i="13"/>
  <c r="G16" i="13"/>
  <c r="Q9" i="13"/>
  <c r="T9" i="13" s="1"/>
  <c r="U9" i="13" s="1"/>
  <c r="R17" i="13"/>
  <c r="L25" i="13"/>
  <c r="E33" i="13"/>
  <c r="N19" i="13"/>
  <c r="M23" i="13"/>
  <c r="N23" i="13"/>
  <c r="C24" i="13"/>
  <c r="Q22" i="13"/>
  <c r="T22" i="13" s="1"/>
  <c r="U22" i="13" s="1"/>
  <c r="R21" i="13"/>
  <c r="H31" i="13"/>
  <c r="L20" i="13"/>
  <c r="G33" i="13"/>
  <c r="K18" i="13"/>
  <c r="O33" i="13"/>
  <c r="F13" i="13"/>
  <c r="J25" i="13"/>
  <c r="E17" i="13"/>
  <c r="J10" i="13"/>
  <c r="H18" i="13"/>
  <c r="S25" i="13"/>
  <c r="L33" i="13"/>
  <c r="D20" i="13"/>
  <c r="R24" i="13"/>
  <c r="S24" i="13"/>
  <c r="H25" i="13"/>
  <c r="E24" i="13"/>
  <c r="F23" i="13"/>
  <c r="G12" i="13"/>
  <c r="S9" i="13"/>
  <c r="N22" i="13"/>
  <c r="H9" i="13"/>
  <c r="C21" i="13"/>
  <c r="M10" i="13"/>
  <c r="H15" i="13"/>
  <c r="R25" i="13"/>
  <c r="P21" i="13"/>
  <c r="Q12" i="13"/>
  <c r="J20" i="13"/>
  <c r="D28" i="13"/>
  <c r="S10" i="13"/>
  <c r="K23" i="13"/>
  <c r="S29" i="13"/>
  <c r="C30" i="13"/>
  <c r="G30" i="13"/>
  <c r="L29" i="13"/>
  <c r="H17" i="13"/>
  <c r="D27" i="13"/>
  <c r="D12" i="13"/>
  <c r="P24" i="13"/>
  <c r="J11" i="13"/>
  <c r="L23" i="13"/>
  <c r="J13" i="13"/>
  <c r="O15" i="13"/>
  <c r="J28" i="13"/>
  <c r="F22" i="13"/>
  <c r="G13" i="13"/>
  <c r="Q20" i="13"/>
  <c r="T20" i="13" s="1"/>
  <c r="U20" i="13" s="1"/>
  <c r="K28" i="13"/>
  <c r="L11" i="13"/>
  <c r="D26" i="13"/>
  <c r="S22" i="13"/>
  <c r="D13" i="13"/>
  <c r="N8" i="13"/>
  <c r="C16" i="13"/>
  <c r="M30" i="13"/>
  <c r="R30" i="13"/>
  <c r="P25" i="13"/>
  <c r="G18" i="13"/>
  <c r="E14" i="13"/>
  <c r="L13" i="13"/>
  <c r="O20" i="13"/>
  <c r="F14" i="13"/>
  <c r="S30" i="13"/>
  <c r="H24" i="13"/>
  <c r="D31" i="13"/>
  <c r="Q33" i="13"/>
  <c r="R26" i="13"/>
  <c r="J26" i="13"/>
  <c r="N12" i="13"/>
  <c r="G11" i="13"/>
  <c r="L10" i="13"/>
  <c r="I15" i="13"/>
  <c r="Q30" i="13"/>
  <c r="I30" i="13"/>
  <c r="G18" i="22"/>
  <c r="G15" i="22"/>
  <c r="G20" i="22"/>
  <c r="G3" i="22"/>
  <c r="G5" i="22"/>
  <c r="G23" i="22"/>
  <c r="G27" i="22"/>
  <c r="G31" i="22"/>
  <c r="G13" i="22"/>
  <c r="G17" i="22"/>
  <c r="G16" i="22"/>
  <c r="G30" i="22"/>
  <c r="G11" i="22"/>
  <c r="G26" i="22"/>
  <c r="G7" i="22"/>
  <c r="G10" i="22"/>
  <c r="G4" i="22"/>
  <c r="G9" i="22"/>
  <c r="G21" i="22"/>
  <c r="G14" i="22"/>
  <c r="G12" i="22"/>
  <c r="G8" i="22"/>
  <c r="G29" i="22"/>
  <c r="G28" i="22"/>
  <c r="G2" i="22"/>
  <c r="G19" i="22"/>
  <c r="G24" i="22"/>
  <c r="G22" i="22"/>
  <c r="G6" i="22"/>
  <c r="G25" i="22"/>
  <c r="F13" i="22"/>
  <c r="F29" i="22"/>
  <c r="F23" i="22"/>
  <c r="F18" i="22"/>
  <c r="F19" i="22"/>
  <c r="F10" i="22"/>
  <c r="F20" i="22"/>
  <c r="F6" i="22"/>
  <c r="F7" i="22"/>
  <c r="F27" i="22"/>
  <c r="F12" i="22"/>
  <c r="F28" i="22"/>
  <c r="F30" i="22"/>
  <c r="F25" i="22"/>
  <c r="F26" i="22"/>
  <c r="F11" i="22"/>
  <c r="F8" i="22"/>
  <c r="F15" i="22"/>
  <c r="F9" i="22"/>
  <c r="F3" i="22"/>
  <c r="F2" i="22"/>
  <c r="F22" i="22"/>
  <c r="F4" i="22"/>
  <c r="F31" i="22"/>
  <c r="F24" i="22"/>
  <c r="F17" i="22"/>
  <c r="F5" i="22"/>
  <c r="F14" i="22"/>
  <c r="F21" i="22"/>
  <c r="F16" i="22"/>
  <c r="T12" i="13" l="1"/>
  <c r="U12" i="13" s="1"/>
  <c r="T16" i="13"/>
  <c r="U16" i="13" s="1"/>
  <c r="T13" i="13"/>
  <c r="U13" i="13" s="1"/>
  <c r="T21" i="13"/>
  <c r="U21" i="13" s="1"/>
  <c r="T24" i="13"/>
  <c r="U24" i="13" s="1"/>
  <c r="T25" i="13"/>
  <c r="U25" i="13" s="1"/>
  <c r="T11" i="13"/>
  <c r="U11" i="13" s="1"/>
  <c r="T28" i="13"/>
  <c r="U28" i="13" s="1"/>
  <c r="B64" i="22" l="1"/>
  <c r="E42" i="22"/>
  <c r="O3" i="13"/>
  <c r="C42" i="22"/>
  <c r="N4" i="13"/>
  <c r="F3" i="13"/>
  <c r="Y3" i="13"/>
  <c r="C3" i="13"/>
  <c r="C4" i="13"/>
</calcChain>
</file>

<file path=xl/sharedStrings.xml><?xml version="1.0" encoding="utf-8"?>
<sst xmlns="http://schemas.openxmlformats.org/spreadsheetml/2006/main" count="869" uniqueCount="301">
  <si>
    <t>1M</t>
  </si>
  <si>
    <t>3M</t>
  </si>
  <si>
    <t>1Y</t>
  </si>
  <si>
    <t>2Y</t>
  </si>
  <si>
    <t>3Y</t>
  </si>
  <si>
    <t>5Y</t>
  </si>
  <si>
    <t>7Y</t>
  </si>
  <si>
    <t>10Y</t>
  </si>
  <si>
    <t>Evaluation Date</t>
    <phoneticPr fontId="3" type="noConversion"/>
  </si>
  <si>
    <t>SetEvaluationDate</t>
    <phoneticPr fontId="3" type="noConversion"/>
  </si>
  <si>
    <t>ObjectId</t>
    <phoneticPr fontId="3" type="noConversion"/>
  </si>
  <si>
    <t>Currency</t>
    <phoneticPr fontId="3" type="noConversion"/>
  </si>
  <si>
    <t>Tenor</t>
    <phoneticPr fontId="3" type="noConversion"/>
  </si>
  <si>
    <t>Permanent</t>
    <phoneticPr fontId="3" type="noConversion"/>
  </si>
  <si>
    <t>Trigger</t>
    <phoneticPr fontId="3" type="noConversion"/>
  </si>
  <si>
    <t>Overwrite</t>
    <phoneticPr fontId="3" type="noConversion"/>
  </si>
  <si>
    <t>Calendar</t>
    <phoneticPr fontId="3" type="noConversion"/>
  </si>
  <si>
    <t>DayCounter</t>
    <phoneticPr fontId="3" type="noConversion"/>
  </si>
  <si>
    <t>ObjectID</t>
    <phoneticPr fontId="3" type="noConversion"/>
  </si>
  <si>
    <t>Quote</t>
    <phoneticPr fontId="3" type="noConversion"/>
  </si>
  <si>
    <t>QutoeObj</t>
    <phoneticPr fontId="3" type="noConversion"/>
  </si>
  <si>
    <t>TickValue</t>
    <phoneticPr fontId="3" type="noConversion"/>
  </si>
  <si>
    <t>Rate</t>
    <phoneticPr fontId="3" type="noConversion"/>
  </si>
  <si>
    <t>FixingDays</t>
    <phoneticPr fontId="3" type="noConversion"/>
  </si>
  <si>
    <t>Convention</t>
    <phoneticPr fontId="3" type="noConversion"/>
  </si>
  <si>
    <t>EndOfMonth</t>
    <phoneticPr fontId="3" type="noConversion"/>
  </si>
  <si>
    <t>FamilyName</t>
    <phoneticPr fontId="3" type="noConversion"/>
  </si>
  <si>
    <t>BDayConvention</t>
    <phoneticPr fontId="3" type="noConversion"/>
  </si>
  <si>
    <t>EndofMonth</t>
    <phoneticPr fontId="3" type="noConversion"/>
  </si>
  <si>
    <t>FwdCurve</t>
    <phoneticPr fontId="3" type="noConversion"/>
  </si>
  <si>
    <t>3M</t>
    <phoneticPr fontId="3" type="noConversion"/>
  </si>
  <si>
    <t>MF</t>
    <phoneticPr fontId="3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</si>
  <si>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</si>
  <si>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</si>
  <si>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</si>
  <si>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</si>
  <si>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</si>
  <si>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</si>
  <si>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</si>
  <si>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</si>
  <si>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</si>
  <si>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</si>
  <si>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Permanent</t>
  </si>
  <si>
    <t>Trigger</t>
  </si>
  <si>
    <t>Overwrite</t>
  </si>
  <si>
    <t>qlPiecewiseYieldCurve</t>
    <phoneticPr fontId="3" type="noConversion"/>
  </si>
  <si>
    <t>Compounded</t>
  </si>
  <si>
    <t>YieldTSZeroRate</t>
    <phoneticPr fontId="3" type="noConversion"/>
  </si>
  <si>
    <t>Date</t>
    <phoneticPr fontId="3" type="noConversion"/>
  </si>
  <si>
    <t>Linear</t>
    <phoneticPr fontId="3" type="noConversion"/>
  </si>
  <si>
    <t>SettlDays</t>
    <phoneticPr fontId="3" type="noConversion"/>
  </si>
  <si>
    <t>FixedLegFrequency</t>
    <phoneticPr fontId="3" type="noConversion"/>
  </si>
  <si>
    <t>FixedLegConvention</t>
    <phoneticPr fontId="3" type="noConversion"/>
  </si>
  <si>
    <t>FixedLegDayCounter</t>
    <phoneticPr fontId="3" type="noConversion"/>
  </si>
  <si>
    <t>IborIndex</t>
    <phoneticPr fontId="3" type="noConversion"/>
  </si>
  <si>
    <t>Spread</t>
    <phoneticPr fontId="3" type="noConversion"/>
  </si>
  <si>
    <t>ForwardStart</t>
    <phoneticPr fontId="3" type="noConversion"/>
  </si>
  <si>
    <t>DiscountingCurve</t>
    <phoneticPr fontId="3" type="noConversion"/>
  </si>
  <si>
    <t>PillarDate</t>
    <phoneticPr fontId="3" type="noConversion"/>
  </si>
  <si>
    <t>CustomPillarDate</t>
    <phoneticPr fontId="3" type="noConversion"/>
  </si>
  <si>
    <t>0D</t>
  </si>
  <si>
    <t>Helper Obj</t>
    <phoneticPr fontId="3" type="noConversion"/>
  </si>
  <si>
    <t>zero rate</t>
    <phoneticPr fontId="3" type="noConversion"/>
  </si>
  <si>
    <t>Days</t>
    <phoneticPr fontId="3" type="noConversion"/>
  </si>
  <si>
    <t>DF</t>
    <phoneticPr fontId="2" type="noConversion"/>
  </si>
  <si>
    <t>Taiwan::TSEC</t>
  </si>
  <si>
    <t>6M</t>
  </si>
  <si>
    <t>SettingsEvaluationDate</t>
    <phoneticPr fontId="3" type="noConversion"/>
  </si>
  <si>
    <t>ZeroYield</t>
  </si>
  <si>
    <t>F</t>
  </si>
  <si>
    <t>EffectiveDate</t>
    <phoneticPr fontId="3" type="noConversion"/>
  </si>
  <si>
    <t>TerminationDate</t>
    <phoneticPr fontId="3" type="noConversion"/>
  </si>
  <si>
    <t>TermDateConv</t>
    <phoneticPr fontId="3" type="noConversion"/>
  </si>
  <si>
    <t>GenRule</t>
    <phoneticPr fontId="3" type="noConversion"/>
  </si>
  <si>
    <t>FirstDate</t>
    <phoneticPr fontId="3" type="noConversion"/>
  </si>
  <si>
    <t>NextToLastDate</t>
    <phoneticPr fontId="3" type="noConversion"/>
  </si>
  <si>
    <t>Following</t>
  </si>
  <si>
    <t>YieldCurve</t>
    <phoneticPr fontId="3" type="noConversion"/>
  </si>
  <si>
    <t>SetPricingEngine</t>
    <phoneticPr fontId="3" type="noConversion"/>
  </si>
  <si>
    <t>Annual</t>
  </si>
  <si>
    <t>ZSpread</t>
    <phoneticPr fontId="3" type="noConversion"/>
  </si>
  <si>
    <t>Compounding</t>
    <phoneticPr fontId="3" type="noConversion"/>
  </si>
  <si>
    <t>Frequency</t>
    <phoneticPr fontId="3" type="noConversion"/>
  </si>
  <si>
    <t>SettlementDate</t>
    <phoneticPr fontId="3" type="noConversion"/>
  </si>
  <si>
    <t>Accuracy</t>
    <phoneticPr fontId="3" type="noConversion"/>
  </si>
  <si>
    <t>MaxIterations</t>
    <phoneticPr fontId="3" type="noConversion"/>
  </si>
  <si>
    <t>Guess</t>
    <phoneticPr fontId="3" type="noConversion"/>
  </si>
  <si>
    <t>Bond Object</t>
    <phoneticPr fontId="2" type="noConversion"/>
  </si>
  <si>
    <t>Schedule Obj</t>
    <phoneticPr fontId="2" type="noConversion"/>
  </si>
  <si>
    <t>ObjectID</t>
  </si>
  <si>
    <t>Annual</t>
    <phoneticPr fontId="2" type="noConversion"/>
  </si>
  <si>
    <t>1Y</t>
    <phoneticPr fontId="2" type="noConversion"/>
  </si>
  <si>
    <t>4Y</t>
  </si>
  <si>
    <t>6Y</t>
  </si>
  <si>
    <t>8Y</t>
  </si>
  <si>
    <t>9Y</t>
  </si>
  <si>
    <t>MF</t>
  </si>
  <si>
    <t>Backward</t>
  </si>
  <si>
    <t>BondEngine</t>
  </si>
  <si>
    <t>YieldCurve</t>
  </si>
  <si>
    <t>Discount Curve</t>
  </si>
  <si>
    <t>RateDates</t>
  </si>
  <si>
    <t>CurveDiscounts</t>
  </si>
  <si>
    <t>Aa3(Moody's)</t>
  </si>
  <si>
    <t>Rating</t>
    <phoneticPr fontId="3" type="noConversion"/>
  </si>
  <si>
    <t>BondObj</t>
    <phoneticPr fontId="3" type="noConversion"/>
  </si>
  <si>
    <t>Calbr.Price</t>
    <phoneticPr fontId="3" type="noConversion"/>
  </si>
  <si>
    <t>Notional</t>
    <phoneticPr fontId="3" type="noConversion"/>
  </si>
  <si>
    <t>YieldfromClean</t>
    <phoneticPr fontId="3" type="noConversion"/>
  </si>
  <si>
    <t>DurationfromYield</t>
    <phoneticPr fontId="3" type="noConversion"/>
  </si>
  <si>
    <t>BpsfromYield</t>
    <phoneticPr fontId="3" type="noConversion"/>
  </si>
  <si>
    <t>Clean Price (THEO)</t>
    <phoneticPr fontId="3" type="noConversion"/>
  </si>
  <si>
    <t>Clean Price (Mkt)</t>
    <phoneticPr fontId="3" type="noConversion"/>
  </si>
  <si>
    <t>Market Value</t>
    <phoneticPr fontId="3" type="noConversion"/>
  </si>
  <si>
    <t>Book Value</t>
    <phoneticPr fontId="3" type="noConversion"/>
  </si>
  <si>
    <t>30/360</t>
    <phoneticPr fontId="2" type="noConversion"/>
  </si>
  <si>
    <t>Semiannual</t>
  </si>
  <si>
    <t>USD</t>
  </si>
  <si>
    <t>qlCalendarAdvance</t>
    <phoneticPr fontId="3" type="noConversion"/>
  </si>
  <si>
    <t>calendar</t>
    <phoneticPr fontId="3" type="noConversion"/>
  </si>
  <si>
    <t>StartDate</t>
    <phoneticPr fontId="3" type="noConversion"/>
  </si>
  <si>
    <t>Period</t>
    <phoneticPr fontId="3" type="noConversion"/>
  </si>
  <si>
    <t>BusinessDayConvention</t>
    <phoneticPr fontId="3" type="noConversion"/>
  </si>
  <si>
    <t>O/N</t>
  </si>
  <si>
    <t>1D</t>
    <phoneticPr fontId="2" type="noConversion"/>
  </si>
  <si>
    <t>F</t>
    <phoneticPr fontId="3" type="noConversion"/>
  </si>
  <si>
    <t>T/N</t>
  </si>
  <si>
    <t>S/N</t>
  </si>
  <si>
    <t>1W</t>
  </si>
  <si>
    <t>2W</t>
  </si>
  <si>
    <t>3W</t>
  </si>
  <si>
    <t>2M</t>
  </si>
  <si>
    <t>4M</t>
  </si>
  <si>
    <t>5M</t>
  </si>
  <si>
    <t>12Y</t>
  </si>
  <si>
    <t>15Y</t>
  </si>
  <si>
    <t>20Y</t>
  </si>
  <si>
    <t>25Y</t>
  </si>
  <si>
    <t>30Y</t>
  </si>
  <si>
    <t>qlDepositRateHelper2</t>
    <phoneticPr fontId="3" type="noConversion"/>
  </si>
  <si>
    <t>F</t>
    <phoneticPr fontId="2" type="noConversion"/>
  </si>
  <si>
    <t>Discount</t>
    <phoneticPr fontId="2" type="noConversion"/>
  </si>
  <si>
    <t>Continuous</t>
  </si>
  <si>
    <t>Currency</t>
  </si>
  <si>
    <t>Tenor</t>
  </si>
  <si>
    <t>Floating Index Obj</t>
    <phoneticPr fontId="3" type="noConversion"/>
  </si>
  <si>
    <t>AU3CB0278232</t>
  </si>
  <si>
    <t>AU3FN0054425</t>
  </si>
  <si>
    <t>AU3FN0055216</t>
  </si>
  <si>
    <t>AU3FN0057121</t>
  </si>
  <si>
    <t>XS2289799889</t>
  </si>
  <si>
    <t>AU3CB0268134</t>
  </si>
  <si>
    <t>AU3FN0053096</t>
  </si>
  <si>
    <t>AU3FN0055307</t>
  </si>
  <si>
    <t>XS2213043495</t>
  </si>
  <si>
    <t>XS2227817876</t>
  </si>
  <si>
    <t>US00206RGD89</t>
  </si>
  <si>
    <t>US00216NAB55</t>
  </si>
  <si>
    <t>US023135BY17</t>
  </si>
  <si>
    <t>US037833DY36</t>
  </si>
  <si>
    <t>US037833ED89</t>
  </si>
  <si>
    <t>US05252BCZ04</t>
  </si>
  <si>
    <t>US06407F2C54</t>
  </si>
  <si>
    <t>US064159JF41</t>
  </si>
  <si>
    <t>US136069TZ40</t>
  </si>
  <si>
    <t>US15238RAG74</t>
  </si>
  <si>
    <t>US191216DD90</t>
  </si>
  <si>
    <t>US21688AAM45</t>
  </si>
  <si>
    <t>US742718FM66</t>
  </si>
  <si>
    <t>US892331AD13</t>
  </si>
  <si>
    <t>US892331AM12</t>
  </si>
  <si>
    <t>US91282CAV37</t>
  </si>
  <si>
    <t>US92343VFL36</t>
  </si>
  <si>
    <t>USG91139AD00</t>
  </si>
  <si>
    <t>USG91139AE82</t>
  </si>
  <si>
    <t>USG91139AF57</t>
  </si>
  <si>
    <t>USJ5S39RAC82</t>
  </si>
  <si>
    <t>USQ68009AA98</t>
  </si>
  <si>
    <t>USU9273ADF94</t>
  </si>
  <si>
    <t>USY4949FAF28</t>
  </si>
  <si>
    <t>XS1624141435</t>
  </si>
  <si>
    <t>XS1935188422</t>
  </si>
  <si>
    <t>XS1978205869</t>
  </si>
  <si>
    <t>XS2052134496</t>
  </si>
  <si>
    <t>XS2190999834</t>
  </si>
  <si>
    <t>XS2208843503</t>
  </si>
  <si>
    <t>XS2208844493</t>
  </si>
  <si>
    <t>XS2218281942</t>
  </si>
  <si>
    <t>XS2236363227</t>
  </si>
  <si>
    <t>XS2262853265</t>
  </si>
  <si>
    <t>XS2265238639</t>
  </si>
  <si>
    <t>XS2294493544</t>
  </si>
  <si>
    <t>XS2315827209</t>
  </si>
  <si>
    <t>XS2315967989</t>
  </si>
  <si>
    <t>XS2341140932</t>
  </si>
  <si>
    <t>XS2364514708</t>
  </si>
  <si>
    <t>XS2384719667</t>
  </si>
  <si>
    <t>US00131MAH60</t>
  </si>
  <si>
    <t>US10373QBM15</t>
  </si>
  <si>
    <t>US2027A1JS79</t>
  </si>
  <si>
    <t>US302154CX52</t>
  </si>
  <si>
    <t>US6325C1CK33</t>
  </si>
  <si>
    <t>US82460EAP51</t>
  </si>
  <si>
    <t>USY00284AW20</t>
  </si>
  <si>
    <t>USY3422VCS52</t>
  </si>
  <si>
    <t>XS1678969798</t>
  </si>
  <si>
    <t>XS1804840194</t>
  </si>
  <si>
    <t>XS1838931811</t>
  </si>
  <si>
    <t>XS1857641333</t>
  </si>
  <si>
    <t>XS1961939797</t>
  </si>
  <si>
    <t>XS1982691153</t>
  </si>
  <si>
    <t>XS2035552889</t>
  </si>
  <si>
    <t>XS2181902789</t>
  </si>
  <si>
    <t>XS2193950354</t>
  </si>
  <si>
    <t>XS2201843740</t>
  </si>
  <si>
    <t>XS2213668085</t>
  </si>
  <si>
    <t>XS2305450657</t>
  </si>
  <si>
    <t>XS2334572562</t>
  </si>
  <si>
    <t>Coupon Frequency</t>
    <phoneticPr fontId="2" type="noConversion"/>
  </si>
  <si>
    <t>Freq</t>
    <phoneticPr fontId="2" type="noConversion"/>
  </si>
  <si>
    <t>Quarterly</t>
  </si>
  <si>
    <t>Country</t>
    <phoneticPr fontId="2" type="noConversion"/>
  </si>
  <si>
    <t>CNH</t>
  </si>
  <si>
    <t>CNH</t>
    <phoneticPr fontId="2" type="noConversion"/>
  </si>
  <si>
    <t>CNY</t>
    <phoneticPr fontId="2" type="noConversion"/>
  </si>
  <si>
    <t>AUD</t>
  </si>
  <si>
    <t>AUD</t>
    <phoneticPr fontId="2" type="noConversion"/>
  </si>
  <si>
    <t>USD</t>
    <phoneticPr fontId="2" type="noConversion"/>
  </si>
  <si>
    <t>TWD</t>
    <phoneticPr fontId="2" type="noConversion"/>
  </si>
  <si>
    <t>UnitedStates::Settlement</t>
  </si>
  <si>
    <t>Australia</t>
  </si>
  <si>
    <t>China</t>
  </si>
  <si>
    <t>6M</t>
    <phoneticPr fontId="2" type="noConversion"/>
  </si>
  <si>
    <t>3M</t>
    <phoneticPr fontId="2" type="noConversion"/>
  </si>
  <si>
    <r>
      <rPr>
        <sz val="10"/>
        <color theme="1"/>
        <rFont val="微軟正黑體"/>
        <family val="2"/>
        <charset val="136"/>
      </rPr>
      <t xml:space="preserve">債券編碼
</t>
    </r>
    <r>
      <rPr>
        <sz val="10"/>
        <color theme="1"/>
        <rFont val="Calibri"/>
        <family val="2"/>
      </rPr>
      <t>ISIN</t>
    </r>
    <phoneticPr fontId="2" type="noConversion"/>
  </si>
  <si>
    <t>Fixed /
Floating</t>
    <phoneticPr fontId="2" type="noConversion"/>
  </si>
  <si>
    <t>Issue Date</t>
    <phoneticPr fontId="2" type="noConversion"/>
  </si>
  <si>
    <r>
      <rPr>
        <sz val="10"/>
        <color theme="1"/>
        <rFont val="微軟正黑體"/>
        <family val="2"/>
        <charset val="136"/>
      </rPr>
      <t>到期日</t>
    </r>
    <phoneticPr fontId="2" type="noConversion"/>
  </si>
  <si>
    <r>
      <rPr>
        <sz val="10"/>
        <color theme="1"/>
        <rFont val="微軟正黑體"/>
        <family val="2"/>
        <charset val="136"/>
      </rPr>
      <t>幣別</t>
    </r>
    <phoneticPr fontId="2" type="noConversion"/>
  </si>
  <si>
    <r>
      <rPr>
        <sz val="10"/>
        <color theme="1"/>
        <rFont val="微軟正黑體"/>
        <family val="2"/>
        <charset val="136"/>
      </rPr>
      <t>名目本金</t>
    </r>
    <phoneticPr fontId="2" type="noConversion"/>
  </si>
  <si>
    <t>Coupon</t>
    <phoneticPr fontId="2" type="noConversion"/>
  </si>
  <si>
    <t>FRN Margin</t>
    <phoneticPr fontId="2" type="noConversion"/>
  </si>
  <si>
    <t>Fixed</t>
  </si>
  <si>
    <t>NULL</t>
  </si>
  <si>
    <t>Floating</t>
  </si>
  <si>
    <t>A/365</t>
    <phoneticPr fontId="2" type="noConversion"/>
  </si>
  <si>
    <t>AA-(Fitch)</t>
  </si>
  <si>
    <t>A1(Moody's)</t>
  </si>
  <si>
    <t>A(Fitch)</t>
  </si>
  <si>
    <t>A(S &amp; P)</t>
  </si>
  <si>
    <t>A+(Fitch)</t>
  </si>
  <si>
    <t>A2(Moody's)</t>
  </si>
  <si>
    <t>Aa2(Moody's)</t>
  </si>
  <si>
    <t>A+(S &amp; P)</t>
  </si>
  <si>
    <t>A3(Moody's)</t>
  </si>
  <si>
    <t>A-(S &amp; P)</t>
  </si>
  <si>
    <t>BBB(S &amp; P)</t>
  </si>
  <si>
    <t>Aa1(Moody's)</t>
  </si>
  <si>
    <t>BBB+(S &amp; P)</t>
  </si>
  <si>
    <t>A-(Fitch)</t>
  </si>
  <si>
    <t>M-Spread</t>
    <phoneticPr fontId="3" type="noConversion"/>
  </si>
  <si>
    <t>AUD</t>
    <phoneticPr fontId="2" type="noConversion"/>
  </si>
  <si>
    <t>Description</t>
  </si>
  <si>
    <t>SettlementDays</t>
  </si>
  <si>
    <t>PaymentBDC</t>
  </si>
  <si>
    <t>FaceAmount</t>
  </si>
  <si>
    <t>ScheduleId</t>
  </si>
  <si>
    <t>FixingDays</t>
  </si>
  <si>
    <t>IsInArrears</t>
  </si>
  <si>
    <t>Floors</t>
  </si>
  <si>
    <t>Gearings</t>
  </si>
  <si>
    <t>IborIndex</t>
  </si>
  <si>
    <t>Spreads</t>
  </si>
  <si>
    <t>Caps</t>
  </si>
  <si>
    <t>Redemption</t>
  </si>
  <si>
    <t>IssueDate</t>
  </si>
  <si>
    <t>AUD</t>
    <phoneticPr fontId="3" type="noConversion"/>
  </si>
  <si>
    <t>7M</t>
  </si>
  <si>
    <t>8M</t>
  </si>
  <si>
    <t>9M</t>
  </si>
  <si>
    <t>10M</t>
  </si>
  <si>
    <t>11M</t>
  </si>
  <si>
    <t>AUIndex</t>
    <phoneticPr fontId="3" type="noConversion"/>
  </si>
  <si>
    <t>AU</t>
    <phoneticPr fontId="2" type="noConversion"/>
  </si>
  <si>
    <t>AU LIBOR</t>
    <phoneticPr fontId="2" type="noConversion"/>
  </si>
  <si>
    <t>AUDZC</t>
    <phoneticPr fontId="2" type="noConversion"/>
  </si>
  <si>
    <t>AUDDF</t>
    <phoneticPr fontId="2" type="noConversion"/>
  </si>
  <si>
    <t>AULIBOR3M</t>
    <phoneticPr fontId="2" type="noConversion"/>
  </si>
  <si>
    <t>DF</t>
    <phoneticPr fontId="2" type="noConversion"/>
  </si>
  <si>
    <t>TAIBOR</t>
  </si>
  <si>
    <t>FamilyName</t>
  </si>
  <si>
    <t>BDayConvention</t>
  </si>
  <si>
    <t>EndofMonth</t>
  </si>
  <si>
    <t>FwdCurve</t>
  </si>
  <si>
    <t>AUD</t>
    <phoneticPr fontId="2" type="noConversion"/>
  </si>
  <si>
    <t>AUDIndex</t>
    <phoneticPr fontId="2" type="noConversion"/>
  </si>
  <si>
    <t>Engg</t>
    <phoneticPr fontId="2" type="noConversion"/>
  </si>
  <si>
    <t>AUDSW</t>
    <phoneticPr fontId="2" type="noConversion"/>
  </si>
  <si>
    <t>A/365</t>
    <phoneticPr fontId="3" type="noConversion"/>
  </si>
  <si>
    <t>A/365</t>
    <phoneticPr fontId="2" type="noConversion"/>
  </si>
  <si>
    <t>A/365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</si>
</sst>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-* #,##0.00_-;\-* #,##0.00_-;_-* &quot;-&quot;??_-;_-@_-"/>
    <numFmt numFmtId="176" formatCode="0.00000%"/>
    <numFmt numFmtId="177" formatCode="0_ "/>
    <numFmt numFmtId="178" formatCode="0.00000000_ "/>
    <numFmt numFmtId="179" formatCode="0_);[Red]\(0\)"/>
    <numFmt numFmtId="180" formatCode="#,##0_ "/>
    <numFmt numFmtId="181" formatCode="_-* #,##0_-;\-* #,##0_-;_-* &quot;-&quot;??_-;_-@_-"/>
    <numFmt numFmtId="182" formatCode="0.000%"/>
    <numFmt numFmtId="183" formatCode="0.00000"/>
    <numFmt numFmtId="184" formatCode="_-* #,##0.0000_-;\-* #,##0.0000_-;_-* &quot;-&quot;??_-;_-@_-"/>
    <numFmt numFmtId="185" formatCode="0.0000%"/>
    <numFmt numFmtId="186" formatCode="0.0000"/>
  </numFmts>
  <fonts count="1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indexed="12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9" tint="-0.249977111117893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1"/>
      <color theme="0"/>
      <name val="Calibri"/>
      <family val="2"/>
    </font>
    <font>
      <sz val="10"/>
      <color theme="1"/>
      <name val="微軟正黑體"/>
      <family val="2"/>
      <charset val="136"/>
    </font>
    <font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4" fillId="0" borderId="0" xfId="0" applyFont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7" fillId="3" borderId="0" xfId="0" applyFont="1" applyFill="1">
      <alignment vertical="center"/>
    </xf>
    <xf numFmtId="0" fontId="5" fillId="3" borderId="0" xfId="0" applyFont="1" applyFill="1">
      <alignment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14" fontId="5" fillId="0" borderId="0" xfId="0" applyNumberFormat="1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176" fontId="5" fillId="0" borderId="0" xfId="1" applyNumberFormat="1" applyFont="1">
      <alignment vertical="center"/>
    </xf>
    <xf numFmtId="177" fontId="5" fillId="0" borderId="0" xfId="1" applyNumberFormat="1" applyFont="1">
      <alignment vertical="center"/>
    </xf>
    <xf numFmtId="0" fontId="8" fillId="5" borderId="0" xfId="0" applyFont="1" applyFill="1" applyBorder="1" applyAlignment="1">
      <alignment horizontal="center" vertical="center"/>
    </xf>
    <xf numFmtId="14" fontId="7" fillId="0" borderId="0" xfId="0" applyNumberFormat="1" applyFont="1">
      <alignment vertical="center"/>
    </xf>
    <xf numFmtId="0" fontId="10" fillId="0" borderId="0" xfId="0" applyFont="1">
      <alignment vertical="center"/>
    </xf>
    <xf numFmtId="14" fontId="10" fillId="0" borderId="0" xfId="0" applyNumberFormat="1" applyFont="1">
      <alignment vertical="center"/>
    </xf>
    <xf numFmtId="0" fontId="11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79" fontId="5" fillId="2" borderId="0" xfId="0" applyNumberFormat="1" applyFont="1" applyFill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left" vertical="center"/>
    </xf>
    <xf numFmtId="14" fontId="9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81" fontId="10" fillId="0" borderId="0" xfId="2" applyNumberFormat="1" applyFont="1">
      <alignment vertical="center"/>
    </xf>
    <xf numFmtId="181" fontId="10" fillId="0" borderId="0" xfId="0" applyNumberFormat="1" applyFont="1">
      <alignment vertical="center"/>
    </xf>
    <xf numFmtId="182" fontId="15" fillId="0" borderId="0" xfId="1" applyNumberFormat="1" applyFont="1">
      <alignment vertical="center"/>
    </xf>
    <xf numFmtId="2" fontId="14" fillId="0" borderId="0" xfId="0" applyNumberFormat="1" applyFont="1">
      <alignment vertical="center"/>
    </xf>
    <xf numFmtId="0" fontId="10" fillId="4" borderId="0" xfId="0" applyFont="1" applyFill="1" applyAlignment="1">
      <alignment horizontal="center" vertical="center"/>
    </xf>
    <xf numFmtId="183" fontId="10" fillId="0" borderId="0" xfId="0" applyNumberFormat="1" applyFont="1">
      <alignment vertical="center"/>
    </xf>
    <xf numFmtId="0" fontId="4" fillId="7" borderId="0" xfId="0" applyFont="1" applyFill="1" applyBorder="1" applyAlignment="1">
      <alignment horizontal="center" vertical="center"/>
    </xf>
    <xf numFmtId="2" fontId="10" fillId="0" borderId="0" xfId="0" applyNumberFormat="1" applyFont="1">
      <alignment vertical="center"/>
    </xf>
    <xf numFmtId="0" fontId="13" fillId="6" borderId="0" xfId="0" applyFont="1" applyFill="1" applyAlignment="1">
      <alignment horizontal="center" vertical="center"/>
    </xf>
    <xf numFmtId="181" fontId="13" fillId="6" borderId="0" xfId="2" applyNumberFormat="1" applyFont="1" applyFill="1">
      <alignment vertical="center"/>
    </xf>
    <xf numFmtId="0" fontId="4" fillId="0" borderId="0" xfId="0" applyFont="1" applyBorder="1" applyAlignment="1">
      <alignment horizontal="center" vertical="center"/>
    </xf>
    <xf numFmtId="176" fontId="5" fillId="6" borderId="0" xfId="1" applyNumberFormat="1" applyFont="1" applyFill="1">
      <alignment vertical="center"/>
    </xf>
    <xf numFmtId="178" fontId="5" fillId="6" borderId="0" xfId="1" applyNumberFormat="1" applyFont="1" applyFill="1">
      <alignment vertical="center"/>
    </xf>
    <xf numFmtId="0" fontId="6" fillId="0" borderId="0" xfId="0" applyFont="1">
      <alignment vertical="center"/>
    </xf>
    <xf numFmtId="182" fontId="9" fillId="0" borderId="0" xfId="0" applyNumberFormat="1" applyFont="1">
      <alignment vertical="center"/>
    </xf>
    <xf numFmtId="0" fontId="16" fillId="8" borderId="0" xfId="0" applyFont="1" applyFill="1">
      <alignment vertical="center"/>
    </xf>
    <xf numFmtId="0" fontId="9" fillId="0" borderId="0" xfId="0" applyFont="1" applyAlignment="1">
      <alignment horizontal="center" vertical="center"/>
    </xf>
    <xf numFmtId="176" fontId="7" fillId="0" borderId="0" xfId="1" applyNumberFormat="1" applyFont="1">
      <alignment vertical="center"/>
    </xf>
    <xf numFmtId="0" fontId="18" fillId="9" borderId="1" xfId="0" applyFont="1" applyFill="1" applyBorder="1" applyAlignment="1">
      <alignment horizontal="center" vertical="center" wrapText="1"/>
    </xf>
    <xf numFmtId="14" fontId="18" fillId="9" borderId="1" xfId="0" applyNumberFormat="1" applyFont="1" applyFill="1" applyBorder="1" applyAlignment="1">
      <alignment horizontal="center" vertical="center" wrapText="1"/>
    </xf>
    <xf numFmtId="180" fontId="18" fillId="9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84" fontId="10" fillId="0" borderId="0" xfId="0" applyNumberFormat="1" applyFont="1">
      <alignment vertical="center"/>
    </xf>
    <xf numFmtId="184" fontId="4" fillId="0" borderId="0" xfId="0" applyNumberFormat="1" applyFont="1" applyBorder="1" applyAlignment="1">
      <alignment horizontal="center" vertical="center"/>
    </xf>
    <xf numFmtId="0" fontId="10" fillId="10" borderId="0" xfId="0" applyFont="1" applyFill="1">
      <alignment vertical="center"/>
    </xf>
    <xf numFmtId="2" fontId="12" fillId="10" borderId="0" xfId="0" applyNumberFormat="1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10" fontId="5" fillId="0" borderId="0" xfId="0" applyNumberFormat="1" applyFont="1">
      <alignment vertical="center"/>
    </xf>
    <xf numFmtId="0" fontId="10" fillId="11" borderId="0" xfId="0" applyFont="1" applyFill="1">
      <alignment vertical="center"/>
    </xf>
    <xf numFmtId="0" fontId="11" fillId="11" borderId="0" xfId="0" applyFont="1" applyFill="1">
      <alignment vertical="center"/>
    </xf>
    <xf numFmtId="0" fontId="14" fillId="11" borderId="0" xfId="0" applyFont="1" applyFill="1">
      <alignment vertical="center"/>
    </xf>
    <xf numFmtId="14" fontId="10" fillId="11" borderId="0" xfId="0" applyNumberFormat="1" applyFont="1" applyFill="1">
      <alignment vertical="center"/>
    </xf>
    <xf numFmtId="0" fontId="9" fillId="11" borderId="0" xfId="0" applyFont="1" applyFill="1" applyBorder="1" applyAlignment="1">
      <alignment horizontal="center" vertical="center"/>
    </xf>
    <xf numFmtId="14" fontId="11" fillId="0" borderId="0" xfId="0" applyNumberFormat="1" applyFont="1">
      <alignment vertical="center"/>
    </xf>
    <xf numFmtId="181" fontId="10" fillId="0" borderId="0" xfId="2" applyNumberFormat="1" applyFont="1" applyAlignment="1">
      <alignment horizontal="center" vertical="center"/>
    </xf>
    <xf numFmtId="185" fontId="10" fillId="0" borderId="0" xfId="1" applyNumberFormat="1" applyFont="1">
      <alignment vertical="center"/>
    </xf>
    <xf numFmtId="43" fontId="14" fillId="0" borderId="0" xfId="2" applyNumberFormat="1" applyFont="1">
      <alignment vertical="center"/>
    </xf>
    <xf numFmtId="186" fontId="10" fillId="0" borderId="0" xfId="0" applyNumberFormat="1" applyFont="1">
      <alignment vertical="center"/>
    </xf>
    <xf numFmtId="0" fontId="10" fillId="4" borderId="0" xfId="0" applyFont="1" applyFill="1">
      <alignment vertical="center"/>
    </xf>
    <xf numFmtId="185" fontId="10" fillId="0" borderId="0" xfId="0" applyNumberFormat="1" applyFont="1">
      <alignment vertical="center"/>
    </xf>
    <xf numFmtId="185" fontId="10" fillId="4" borderId="0" xfId="1" applyNumberFormat="1" applyFont="1" applyFill="1">
      <alignment vertical="center"/>
    </xf>
    <xf numFmtId="185" fontId="10" fillId="4" borderId="0" xfId="0" applyNumberFormat="1" applyFont="1" applyFill="1">
      <alignment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chien/Desktop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obj_00015#0000</v>
          </cell>
        </row>
      </sheetData>
      <sheetData sheetId="1">
        <row r="12">
          <cell r="A12" t="e">
            <v>#NUM!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opLeftCell="A7" workbookViewId="0">
      <selection activeCell="D4" sqref="D4"/>
    </sheetView>
  </sheetViews>
  <sheetFormatPr defaultRowHeight="16.5" x14ac:dyDescent="0.25"/>
  <cols>
    <col min="1" max="1" width="9.125" customWidth="1"/>
    <col min="4" max="4" width="16.75" customWidth="1"/>
  </cols>
  <sheetData>
    <row r="1" spans="1:5" ht="25.5" x14ac:dyDescent="0.25">
      <c r="A1" s="57" t="s">
        <v>218</v>
      </c>
      <c r="B1" s="57" t="s">
        <v>219</v>
      </c>
      <c r="C1" s="57" t="s">
        <v>221</v>
      </c>
      <c r="D1" s="57"/>
    </row>
    <row r="2" spans="1:5" x14ac:dyDescent="0.25">
      <c r="A2" s="25">
        <v>1</v>
      </c>
      <c r="B2" t="s">
        <v>79</v>
      </c>
      <c r="C2" t="s">
        <v>223</v>
      </c>
      <c r="D2" t="s">
        <v>231</v>
      </c>
      <c r="E2" t="s">
        <v>245</v>
      </c>
    </row>
    <row r="3" spans="1:5" x14ac:dyDescent="0.25">
      <c r="A3" s="25">
        <v>2</v>
      </c>
      <c r="B3" t="s">
        <v>116</v>
      </c>
      <c r="C3" t="s">
        <v>224</v>
      </c>
      <c r="D3" t="s">
        <v>231</v>
      </c>
      <c r="E3" t="s">
        <v>245</v>
      </c>
    </row>
    <row r="4" spans="1:5" x14ac:dyDescent="0.25">
      <c r="A4" s="25">
        <v>4</v>
      </c>
      <c r="B4" t="s">
        <v>220</v>
      </c>
      <c r="C4" t="s">
        <v>226</v>
      </c>
      <c r="D4" t="s">
        <v>230</v>
      </c>
      <c r="E4" t="s">
        <v>115</v>
      </c>
    </row>
    <row r="5" spans="1:5" x14ac:dyDescent="0.25">
      <c r="C5" t="s">
        <v>227</v>
      </c>
      <c r="D5" t="s">
        <v>229</v>
      </c>
      <c r="E5" t="s">
        <v>115</v>
      </c>
    </row>
    <row r="6" spans="1:5" x14ac:dyDescent="0.25">
      <c r="A6" s="25">
        <v>1</v>
      </c>
      <c r="B6" t="s">
        <v>91</v>
      </c>
      <c r="C6" t="s">
        <v>228</v>
      </c>
      <c r="D6" t="s">
        <v>65</v>
      </c>
      <c r="E6" t="s">
        <v>245</v>
      </c>
    </row>
    <row r="7" spans="1:5" x14ac:dyDescent="0.25">
      <c r="A7" s="25">
        <v>2</v>
      </c>
      <c r="B7" t="s">
        <v>232</v>
      </c>
    </row>
    <row r="8" spans="1:5" x14ac:dyDescent="0.25">
      <c r="A8" s="25">
        <v>4</v>
      </c>
      <c r="B8" t="s">
        <v>233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36"/>
  <sheetViews>
    <sheetView workbookViewId="0">
      <selection activeCell="G33" sqref="G33"/>
    </sheetView>
  </sheetViews>
  <sheetFormatPr defaultColWidth="9" defaultRowHeight="15" x14ac:dyDescent="0.25"/>
  <cols>
    <col min="1" max="1" width="20.375" style="3" customWidth="1"/>
    <col min="2" max="3" width="14" style="3" customWidth="1"/>
    <col min="4" max="7" width="10.5" style="3" customWidth="1"/>
    <col min="8" max="8" width="16.375" style="3" customWidth="1"/>
    <col min="9" max="9" width="14" style="3" customWidth="1"/>
    <col min="10" max="10" width="5.5" style="3" customWidth="1"/>
    <col min="11" max="11" width="9" style="3" customWidth="1"/>
    <col min="12" max="12" width="6.125" style="3" customWidth="1"/>
    <col min="13" max="13" width="8" style="3" customWidth="1"/>
    <col min="14" max="14" width="12.25" style="3" customWidth="1"/>
    <col min="15" max="15" width="10.25" style="3" customWidth="1"/>
    <col min="16" max="16" width="10.375" style="3" customWidth="1"/>
    <col min="17" max="17" width="10.625" style="3" customWidth="1"/>
    <col min="18" max="18" width="12.25" style="3" customWidth="1"/>
    <col min="19" max="19" width="9" style="3"/>
    <col min="20" max="20" width="10" style="3" bestFit="1" customWidth="1"/>
    <col min="21" max="23" width="9" style="3"/>
    <col min="24" max="24" width="9.375" style="3" customWidth="1"/>
    <col min="25" max="16384" width="9" style="3"/>
  </cols>
  <sheetData>
    <row r="1" spans="1:26" x14ac:dyDescent="0.25">
      <c r="A1" s="1" t="s">
        <v>8</v>
      </c>
      <c r="B1" s="15">
        <v>44560</v>
      </c>
      <c r="C1" s="15"/>
      <c r="D1" s="23" t="s">
        <v>63</v>
      </c>
      <c r="E1" s="23" t="s">
        <v>48</v>
      </c>
      <c r="F1" s="23" t="s">
        <v>62</v>
      </c>
      <c r="G1" s="23" t="s">
        <v>64</v>
      </c>
    </row>
    <row r="2" spans="1:26" x14ac:dyDescent="0.25">
      <c r="A2" s="4" t="s">
        <v>9</v>
      </c>
      <c r="B2" s="3" t="b">
        <f>_xll.qlSettingsSetEvaluationDate(B1,B1)</f>
        <v>1</v>
      </c>
      <c r="D2" s="22">
        <f>E2-$B$1</f>
        <v>14</v>
      </c>
      <c r="E2" s="2">
        <f t="array" ref="E2:E31">_xll.qlPiecewiseYieldCurveDates(B24)</f>
        <v>44574</v>
      </c>
      <c r="F2" s="50">
        <f t="array" ref="F2:F31">_xll.qlYieldTSZeroRate(A42,$E$2:$E$31,A44,A45,A46,A47,A48)</f>
        <v>5.999995076189841E-4</v>
      </c>
      <c r="G2" s="51">
        <f t="array" ref="G2:G31">_xll.qlYieldTSDiscount(A42,E2:E31,TRUE,B4)</f>
        <v>1</v>
      </c>
      <c r="H2" s="68" t="s">
        <v>61</v>
      </c>
      <c r="I2" s="68" t="s">
        <v>20</v>
      </c>
      <c r="J2" s="68" t="s">
        <v>18</v>
      </c>
      <c r="K2" s="68" t="s">
        <v>19</v>
      </c>
      <c r="L2" s="68" t="s">
        <v>12</v>
      </c>
      <c r="M2" s="68" t="s">
        <v>21</v>
      </c>
      <c r="N2" s="68" t="s">
        <v>13</v>
      </c>
      <c r="O2" s="68" t="s">
        <v>14</v>
      </c>
      <c r="P2" s="68" t="s">
        <v>15</v>
      </c>
      <c r="Q2" s="68" t="s">
        <v>19</v>
      </c>
      <c r="R2" s="7" t="s">
        <v>118</v>
      </c>
      <c r="S2" s="68" t="s">
        <v>119</v>
      </c>
      <c r="T2" s="68" t="s">
        <v>120</v>
      </c>
      <c r="U2" s="68" t="s">
        <v>121</v>
      </c>
      <c r="V2" s="68" t="s">
        <v>122</v>
      </c>
      <c r="W2" s="68" t="s">
        <v>25</v>
      </c>
      <c r="X2" s="68" t="s">
        <v>14</v>
      </c>
    </row>
    <row r="3" spans="1:26" x14ac:dyDescent="0.25">
      <c r="A3" s="1" t="s">
        <v>67</v>
      </c>
      <c r="B3" s="15">
        <f>_xll.qlSettingsEvaluationDate(B1)</f>
        <v>44560</v>
      </c>
      <c r="C3" s="15"/>
      <c r="D3" s="22">
        <f t="shared" ref="D3:D31" si="0">E3-$B$1</f>
        <v>15</v>
      </c>
      <c r="E3" s="2">
        <v>44575</v>
      </c>
      <c r="F3" s="50">
        <v>5.9999950687820601E-4</v>
      </c>
      <c r="G3" s="51">
        <v>0.99999835616708577</v>
      </c>
      <c r="H3" s="52" t="str">
        <f>I33</f>
        <v>obj_0002b#0000</v>
      </c>
      <c r="I3" s="16" t="str">
        <f>_xll.qlSimpleQuote(,K3,M3,N3,O3,P3)</f>
        <v>obj_00013#0000</v>
      </c>
      <c r="K3" s="53">
        <f>Q3/100</f>
        <v>5.9999999999999995E-4</v>
      </c>
      <c r="L3" s="5" t="s">
        <v>123</v>
      </c>
      <c r="M3" s="3">
        <v>0.01</v>
      </c>
      <c r="N3" s="10" t="b">
        <v>0</v>
      </c>
      <c r="O3" s="30">
        <f>$B$4</f>
        <v>2</v>
      </c>
      <c r="P3" s="6" t="b">
        <v>1</v>
      </c>
      <c r="Q3" s="54">
        <v>0.06</v>
      </c>
      <c r="R3" s="24">
        <f>_xll.qlCalendarAdvance(S3,T3,U3,V3,W3,X3)</f>
        <v>44561</v>
      </c>
      <c r="S3" s="2" t="str">
        <f>$N$33</f>
        <v>Australia</v>
      </c>
      <c r="T3" s="2">
        <f>B1</f>
        <v>44560</v>
      </c>
      <c r="U3" s="5" t="s">
        <v>124</v>
      </c>
      <c r="V3" s="3" t="s">
        <v>125</v>
      </c>
      <c r="W3" s="3" t="b">
        <v>0</v>
      </c>
      <c r="X3" s="30">
        <f>$B$4</f>
        <v>2</v>
      </c>
      <c r="Y3" s="3" t="s">
        <v>123</v>
      </c>
      <c r="Z3" s="3">
        <v>1.4999999999999999E-2</v>
      </c>
    </row>
    <row r="4" spans="1:26" x14ac:dyDescent="0.25">
      <c r="A4" s="7" t="s">
        <v>14</v>
      </c>
      <c r="B4" s="3">
        <v>2</v>
      </c>
      <c r="D4" s="22">
        <f t="shared" si="0"/>
        <v>18</v>
      </c>
      <c r="E4" s="2">
        <v>44578</v>
      </c>
      <c r="F4" s="50">
        <v>1.6499875483191337E-3</v>
      </c>
      <c r="G4" s="51">
        <v>0.9999819181081554</v>
      </c>
      <c r="H4" s="52" t="str">
        <f t="shared" ref="H4:H19" si="1">I34</f>
        <v>obj_00023#0000</v>
      </c>
      <c r="I4" s="16" t="str">
        <f>_xll.qlSimpleQuote(,K4,M4,N4,O4,P4)</f>
        <v>obj_0000a#0000</v>
      </c>
      <c r="K4" s="53">
        <f t="shared" ref="K4:K31" si="2">Q4/100</f>
        <v>2E-3</v>
      </c>
      <c r="L4" s="5" t="s">
        <v>126</v>
      </c>
      <c r="M4" s="3">
        <f>$M$3</f>
        <v>0.01</v>
      </c>
      <c r="N4" s="10" t="b">
        <v>0</v>
      </c>
      <c r="O4" s="30">
        <f t="shared" ref="O4:O31" si="3">$B$4</f>
        <v>2</v>
      </c>
      <c r="P4" s="6" t="b">
        <v>1</v>
      </c>
      <c r="Q4" s="54">
        <v>0.2</v>
      </c>
      <c r="R4" s="24">
        <f>_xll.qlCalendarAdvance(S4,T4,U4,V4,W4,X4)</f>
        <v>44564</v>
      </c>
      <c r="S4" s="2" t="str">
        <f t="shared" ref="S4:S28" si="4">$N$33</f>
        <v>Australia</v>
      </c>
      <c r="T4" s="2">
        <f>R3</f>
        <v>44561</v>
      </c>
      <c r="U4" s="5" t="s">
        <v>124</v>
      </c>
      <c r="V4" s="3" t="s">
        <v>125</v>
      </c>
      <c r="W4" s="3" t="b">
        <v>0</v>
      </c>
      <c r="X4" s="30">
        <f t="shared" ref="X4:X28" si="5">$B$4</f>
        <v>2</v>
      </c>
      <c r="Y4" s="3" t="s">
        <v>126</v>
      </c>
      <c r="Z4" s="3">
        <v>1.4999999999999999E-2</v>
      </c>
    </row>
    <row r="5" spans="1:26" x14ac:dyDescent="0.25">
      <c r="D5" s="22">
        <f t="shared" si="0"/>
        <v>19</v>
      </c>
      <c r="E5" s="2">
        <v>44579</v>
      </c>
      <c r="F5" s="50">
        <v>1.3199900386553073E-3</v>
      </c>
      <c r="G5" s="51">
        <v>0.9999819181081554</v>
      </c>
      <c r="H5" s="52" t="str">
        <f t="shared" si="1"/>
        <v>obj_00031#0000</v>
      </c>
      <c r="I5" s="16" t="str">
        <f>_xll.qlSimpleQuote(,K5,M5,N5,O5,P5)</f>
        <v>obj_00018#0000</v>
      </c>
      <c r="K5" s="53">
        <f t="shared" si="2"/>
        <v>0</v>
      </c>
      <c r="L5" s="5" t="s">
        <v>127</v>
      </c>
      <c r="M5" s="3">
        <f t="shared" ref="M5:M31" si="6">$M$3</f>
        <v>0.01</v>
      </c>
      <c r="N5" s="10" t="b">
        <v>0</v>
      </c>
      <c r="O5" s="30">
        <f t="shared" si="3"/>
        <v>2</v>
      </c>
      <c r="P5" s="6" t="b">
        <v>1</v>
      </c>
      <c r="Q5" s="54">
        <v>0</v>
      </c>
      <c r="R5" s="24">
        <f>_xll.qlCalendarAdvance(S5,T5,U5,V5,W5,X5)</f>
        <v>44565</v>
      </c>
      <c r="S5" s="2" t="str">
        <f t="shared" si="4"/>
        <v>Australia</v>
      </c>
      <c r="T5" s="2">
        <f>R4</f>
        <v>44564</v>
      </c>
      <c r="U5" s="5" t="s">
        <v>124</v>
      </c>
      <c r="V5" s="3" t="s">
        <v>125</v>
      </c>
      <c r="W5" s="3" t="b">
        <v>0</v>
      </c>
      <c r="X5" s="30">
        <f t="shared" si="5"/>
        <v>2</v>
      </c>
      <c r="Y5" s="3" t="s">
        <v>127</v>
      </c>
      <c r="Z5" s="3">
        <v>1.4999999999999999E-2</v>
      </c>
    </row>
    <row r="6" spans="1:26" x14ac:dyDescent="0.25">
      <c r="A6" s="3" t="s">
        <v>284</v>
      </c>
      <c r="B6" s="17" t="str">
        <f>_xll.qlIborIndex(B7,B8,B9,B10,B11,B12,B13,B14,B15,B16,B17,B18,B19)</f>
        <v>AU#0000</v>
      </c>
      <c r="C6" s="17"/>
      <c r="D6" s="22">
        <f t="shared" si="0"/>
        <v>25</v>
      </c>
      <c r="E6" s="2">
        <v>44585</v>
      </c>
      <c r="F6" s="50">
        <v>1.2271931236840976E-4</v>
      </c>
      <c r="G6" s="51">
        <v>0.99999630161660336</v>
      </c>
      <c r="H6" s="52" t="str">
        <f t="shared" si="1"/>
        <v>obj_0001f#0000</v>
      </c>
      <c r="I6" s="16" t="str">
        <f>_xll.qlSimpleQuote(,K6,M6,N6,O6,P6)</f>
        <v>obj_00011#0000</v>
      </c>
      <c r="K6" s="53">
        <f t="shared" si="2"/>
        <v>-7.5000000000000002E-4</v>
      </c>
      <c r="L6" s="5" t="s">
        <v>128</v>
      </c>
      <c r="M6" s="3">
        <f t="shared" si="6"/>
        <v>0.01</v>
      </c>
      <c r="N6" s="10" t="b">
        <v>0</v>
      </c>
      <c r="O6" s="30">
        <f t="shared" si="3"/>
        <v>2</v>
      </c>
      <c r="P6" s="6" t="b">
        <v>1</v>
      </c>
      <c r="Q6" s="54">
        <v>-7.4999999999999997E-2</v>
      </c>
      <c r="R6" s="24">
        <f>_xll.qlCalendarAdvance(S6,T6,U6,V6,W6,X6)</f>
        <v>44571</v>
      </c>
      <c r="S6" s="2" t="str">
        <f t="shared" si="4"/>
        <v>Australia</v>
      </c>
      <c r="T6" s="2">
        <f>R4</f>
        <v>44564</v>
      </c>
      <c r="U6" s="5" t="s">
        <v>128</v>
      </c>
      <c r="V6" s="3" t="s">
        <v>125</v>
      </c>
      <c r="W6" s="3" t="b">
        <v>0</v>
      </c>
      <c r="X6" s="30">
        <f t="shared" si="5"/>
        <v>2</v>
      </c>
      <c r="Y6" s="3" t="s">
        <v>128</v>
      </c>
      <c r="Z6" s="3">
        <v>-0.03</v>
      </c>
    </row>
    <row r="7" spans="1:26" x14ac:dyDescent="0.25">
      <c r="A7" s="7" t="s">
        <v>10</v>
      </c>
      <c r="B7" s="8" t="s">
        <v>283</v>
      </c>
      <c r="C7" s="8"/>
      <c r="D7" s="22">
        <f t="shared" si="0"/>
        <v>32</v>
      </c>
      <c r="E7" s="2">
        <v>44592</v>
      </c>
      <c r="F7" s="50">
        <v>-8.7781873207693731E-4</v>
      </c>
      <c r="G7" s="51">
        <v>1.0000432906279091</v>
      </c>
      <c r="H7" s="52" t="str">
        <f t="shared" si="1"/>
        <v>obj_00024#0000</v>
      </c>
      <c r="I7" s="16" t="str">
        <f>_xll.qlSimpleQuote(,K7,M7,N7,O7,P7)</f>
        <v>obj_00009#0000</v>
      </c>
      <c r="K7" s="53">
        <f t="shared" si="2"/>
        <v>-1.6000000000000001E-3</v>
      </c>
      <c r="L7" s="5" t="s">
        <v>129</v>
      </c>
      <c r="M7" s="3">
        <f t="shared" si="6"/>
        <v>0.01</v>
      </c>
      <c r="N7" s="10" t="b">
        <v>0</v>
      </c>
      <c r="O7" s="30">
        <f t="shared" si="3"/>
        <v>2</v>
      </c>
      <c r="P7" s="6" t="b">
        <v>1</v>
      </c>
      <c r="Q7" s="54">
        <v>-0.16</v>
      </c>
      <c r="R7" s="24">
        <f>_xll.qlCalendarAdvance(S7,T7,U7,V7,W7,X7)</f>
        <v>44578</v>
      </c>
      <c r="S7" s="2" t="str">
        <f t="shared" si="4"/>
        <v>Australia</v>
      </c>
      <c r="T7" s="2">
        <f>$T$6</f>
        <v>44564</v>
      </c>
      <c r="U7" s="5" t="s">
        <v>129</v>
      </c>
      <c r="V7" s="3" t="s">
        <v>125</v>
      </c>
      <c r="W7" s="3" t="b">
        <v>0</v>
      </c>
      <c r="X7" s="30">
        <f t="shared" si="5"/>
        <v>2</v>
      </c>
      <c r="Y7" s="3" t="s">
        <v>129</v>
      </c>
      <c r="Z7" s="3">
        <v>4.4999999999999998E-2</v>
      </c>
    </row>
    <row r="8" spans="1:26" x14ac:dyDescent="0.25">
      <c r="A8" s="7" t="s">
        <v>26</v>
      </c>
      <c r="B8" s="8" t="s">
        <v>282</v>
      </c>
      <c r="C8" s="8"/>
      <c r="D8" s="22">
        <f t="shared" si="0"/>
        <v>39</v>
      </c>
      <c r="E8" s="2">
        <v>44599</v>
      </c>
      <c r="F8" s="50">
        <v>6.8399196674879723E-4</v>
      </c>
      <c r="G8" s="51">
        <v>0.99995315233254034</v>
      </c>
      <c r="H8" s="52" t="str">
        <f t="shared" si="1"/>
        <v>obj_00026#0000</v>
      </c>
      <c r="I8" s="16" t="str">
        <f>_xll.qlSimpleQuote(,K8,M8,N8,O8,P8)</f>
        <v>obj_0000e#0000</v>
      </c>
      <c r="K8" s="53">
        <f t="shared" si="2"/>
        <v>5.0000000000000001E-4</v>
      </c>
      <c r="L8" s="5" t="s">
        <v>130</v>
      </c>
      <c r="M8" s="3">
        <f t="shared" si="6"/>
        <v>0.01</v>
      </c>
      <c r="N8" s="10" t="b">
        <v>0</v>
      </c>
      <c r="O8" s="30">
        <f t="shared" si="3"/>
        <v>2</v>
      </c>
      <c r="P8" s="6" t="b">
        <v>1</v>
      </c>
      <c r="Q8" s="54">
        <v>0.05</v>
      </c>
      <c r="R8" s="24">
        <f>_xll.qlCalendarAdvance(S8,T8,U8,V8,W8,X8)</f>
        <v>44585</v>
      </c>
      <c r="S8" s="2" t="str">
        <f t="shared" si="4"/>
        <v>Australia</v>
      </c>
      <c r="T8" s="2">
        <f t="shared" ref="T8:T28" si="7">$T$6</f>
        <v>44564</v>
      </c>
      <c r="U8" s="5" t="s">
        <v>130</v>
      </c>
      <c r="V8" s="3" t="s">
        <v>125</v>
      </c>
      <c r="W8" s="3" t="b">
        <v>0</v>
      </c>
      <c r="X8" s="30">
        <f t="shared" si="5"/>
        <v>2</v>
      </c>
      <c r="Y8" s="3" t="s">
        <v>130</v>
      </c>
      <c r="Z8" s="3">
        <v>0.04</v>
      </c>
    </row>
    <row r="9" spans="1:26" x14ac:dyDescent="0.25">
      <c r="A9" s="7" t="s">
        <v>12</v>
      </c>
      <c r="B9" s="8" t="s">
        <v>30</v>
      </c>
      <c r="C9" s="8"/>
      <c r="D9" s="22">
        <f t="shared" si="0"/>
        <v>49</v>
      </c>
      <c r="E9" s="2">
        <v>44609</v>
      </c>
      <c r="F9" s="50">
        <v>6.3141774551426903E-4</v>
      </c>
      <c r="G9" s="51">
        <v>0.99993945492582292</v>
      </c>
      <c r="H9" s="52" t="str">
        <f t="shared" si="1"/>
        <v>obj_0002c#0000</v>
      </c>
      <c r="I9" s="16" t="str">
        <f>_xll.qlSimpleQuote(,K9,M9,N9,O9,P9)</f>
        <v>obj_00010#0000</v>
      </c>
      <c r="K9" s="53">
        <f t="shared" si="2"/>
        <v>5.0000000000000001E-4</v>
      </c>
      <c r="L9" s="5" t="s">
        <v>0</v>
      </c>
      <c r="M9" s="3">
        <f t="shared" si="6"/>
        <v>0.01</v>
      </c>
      <c r="N9" s="10" t="b">
        <v>0</v>
      </c>
      <c r="O9" s="30">
        <f t="shared" si="3"/>
        <v>2</v>
      </c>
      <c r="P9" s="6" t="b">
        <v>1</v>
      </c>
      <c r="Q9" s="54">
        <v>0.05</v>
      </c>
      <c r="R9" s="24">
        <f>_xll.qlCalendarAdvance(S9,T9,U9,V9,W9,X9)</f>
        <v>44595</v>
      </c>
      <c r="S9" s="2" t="str">
        <f t="shared" si="4"/>
        <v>Australia</v>
      </c>
      <c r="T9" s="2">
        <f t="shared" si="7"/>
        <v>44564</v>
      </c>
      <c r="U9" s="5" t="s">
        <v>0</v>
      </c>
      <c r="V9" s="3" t="s">
        <v>125</v>
      </c>
      <c r="W9" s="3" t="b">
        <v>0</v>
      </c>
      <c r="X9" s="30">
        <f t="shared" si="5"/>
        <v>2</v>
      </c>
      <c r="Y9" s="3" t="s">
        <v>0</v>
      </c>
      <c r="Z9" s="3">
        <v>0.22500000000000001</v>
      </c>
    </row>
    <row r="10" spans="1:26" x14ac:dyDescent="0.25">
      <c r="A10" s="7" t="s">
        <v>23</v>
      </c>
      <c r="B10" s="8">
        <v>2</v>
      </c>
      <c r="C10" s="8"/>
      <c r="D10" s="22">
        <f t="shared" si="0"/>
        <v>77</v>
      </c>
      <c r="E10" s="2">
        <v>44637</v>
      </c>
      <c r="F10" s="50">
        <v>6.6663862931190629E-4</v>
      </c>
      <c r="G10" s="51">
        <v>0.99988494296574182</v>
      </c>
      <c r="H10" s="52" t="str">
        <f t="shared" si="1"/>
        <v>obj_0002d#0000</v>
      </c>
      <c r="I10" s="16" t="str">
        <f>_xll.qlSimpleQuote(,K10,M10,N10,O10,P10)</f>
        <v>obj_00019#0000</v>
      </c>
      <c r="K10" s="53">
        <f t="shared" si="2"/>
        <v>5.9999999999999995E-4</v>
      </c>
      <c r="L10" s="5" t="s">
        <v>131</v>
      </c>
      <c r="M10" s="3">
        <f t="shared" si="6"/>
        <v>0.01</v>
      </c>
      <c r="N10" s="10" t="b">
        <v>0</v>
      </c>
      <c r="O10" s="30">
        <f t="shared" si="3"/>
        <v>2</v>
      </c>
      <c r="P10" s="6" t="b">
        <v>1</v>
      </c>
      <c r="Q10" s="54">
        <v>0.06</v>
      </c>
      <c r="R10" s="24">
        <f>_xll.qlCalendarAdvance(S10,T10,U10,V10,W10,X10)</f>
        <v>44623</v>
      </c>
      <c r="S10" s="2" t="str">
        <f t="shared" si="4"/>
        <v>Australia</v>
      </c>
      <c r="T10" s="2">
        <f t="shared" si="7"/>
        <v>44564</v>
      </c>
      <c r="U10" s="5" t="s">
        <v>131</v>
      </c>
      <c r="V10" s="3" t="s">
        <v>125</v>
      </c>
      <c r="W10" s="3" t="b">
        <v>0</v>
      </c>
      <c r="X10" s="30">
        <f t="shared" si="5"/>
        <v>2</v>
      </c>
      <c r="Y10" s="3" t="s">
        <v>131</v>
      </c>
      <c r="Z10" s="3">
        <v>0.22500000000000001</v>
      </c>
    </row>
    <row r="11" spans="1:26" x14ac:dyDescent="0.25">
      <c r="A11" s="7" t="s">
        <v>11</v>
      </c>
      <c r="B11" s="8" t="s">
        <v>276</v>
      </c>
      <c r="C11" s="8"/>
      <c r="D11" s="22">
        <f t="shared" si="0"/>
        <v>110</v>
      </c>
      <c r="E11" s="2">
        <v>44670</v>
      </c>
      <c r="F11" s="50">
        <v>1.2185755984268323E-3</v>
      </c>
      <c r="G11" s="51">
        <v>0.99967954928010072</v>
      </c>
      <c r="H11" s="52" t="str">
        <f t="shared" si="1"/>
        <v>obj_00033#0000</v>
      </c>
      <c r="I11" s="16" t="str">
        <f>_xll.qlSimpleQuote(,K11,M11,N11,O11,P11)</f>
        <v>obj_00017#0000</v>
      </c>
      <c r="K11" s="53">
        <f t="shared" si="2"/>
        <v>1.1999999999999999E-3</v>
      </c>
      <c r="L11" s="5" t="s">
        <v>1</v>
      </c>
      <c r="M11" s="3">
        <f t="shared" si="6"/>
        <v>0.01</v>
      </c>
      <c r="N11" s="10" t="b">
        <v>0</v>
      </c>
      <c r="O11" s="30">
        <f t="shared" si="3"/>
        <v>2</v>
      </c>
      <c r="P11" s="6" t="b">
        <v>1</v>
      </c>
      <c r="Q11" s="54">
        <v>0.12</v>
      </c>
      <c r="R11" s="24">
        <f>_xll.qlCalendarAdvance(S11,T11,U11,V11,W11,X11)</f>
        <v>44655</v>
      </c>
      <c r="S11" s="2" t="str">
        <f t="shared" si="4"/>
        <v>Australia</v>
      </c>
      <c r="T11" s="2">
        <f t="shared" si="7"/>
        <v>44564</v>
      </c>
      <c r="U11" s="5" t="s">
        <v>1</v>
      </c>
      <c r="V11" s="3" t="s">
        <v>125</v>
      </c>
      <c r="W11" s="3" t="b">
        <v>0</v>
      </c>
      <c r="X11" s="30">
        <f t="shared" si="5"/>
        <v>2</v>
      </c>
      <c r="Y11" s="3" t="s">
        <v>1</v>
      </c>
      <c r="Z11" s="3">
        <v>0.16</v>
      </c>
    </row>
    <row r="12" spans="1:26" x14ac:dyDescent="0.25">
      <c r="A12" s="7" t="s">
        <v>16</v>
      </c>
      <c r="B12" s="9" t="s">
        <v>230</v>
      </c>
      <c r="C12" s="9"/>
      <c r="D12" s="22">
        <f t="shared" si="0"/>
        <v>138</v>
      </c>
      <c r="E12" s="2">
        <v>44698</v>
      </c>
      <c r="F12" s="50">
        <v>1.0208082942606974E-3</v>
      </c>
      <c r="G12" s="51">
        <v>0.99965326497994278</v>
      </c>
      <c r="H12" s="52" t="str">
        <f t="shared" si="1"/>
        <v>obj_00039#0000</v>
      </c>
      <c r="I12" s="16" t="str">
        <f>_xll.qlSimpleQuote(,K12,M12,N12,O12,P12)</f>
        <v>obj_00007#0000</v>
      </c>
      <c r="K12" s="53">
        <f t="shared" si="2"/>
        <v>1E-3</v>
      </c>
      <c r="L12" s="5" t="s">
        <v>132</v>
      </c>
      <c r="M12" s="3">
        <f t="shared" si="6"/>
        <v>0.01</v>
      </c>
      <c r="N12" s="10" t="b">
        <v>0</v>
      </c>
      <c r="O12" s="30">
        <f t="shared" si="3"/>
        <v>2</v>
      </c>
      <c r="P12" s="6" t="b">
        <v>1</v>
      </c>
      <c r="Q12" s="54">
        <v>0.1</v>
      </c>
      <c r="R12" s="24">
        <f>_xll.qlCalendarAdvance(S12,T12,U12,V12,W12,X12)</f>
        <v>44684</v>
      </c>
      <c r="S12" s="2" t="str">
        <f t="shared" si="4"/>
        <v>Australia</v>
      </c>
      <c r="T12" s="2">
        <f t="shared" si="7"/>
        <v>44564</v>
      </c>
      <c r="U12" s="5" t="s">
        <v>132</v>
      </c>
      <c r="V12" s="3" t="s">
        <v>125</v>
      </c>
      <c r="W12" s="3" t="b">
        <v>0</v>
      </c>
      <c r="X12" s="30">
        <f t="shared" si="5"/>
        <v>2</v>
      </c>
      <c r="Y12" s="3" t="s">
        <v>132</v>
      </c>
      <c r="Z12" s="3">
        <v>0.16500000000000001</v>
      </c>
    </row>
    <row r="13" spans="1:26" x14ac:dyDescent="0.25">
      <c r="A13" s="7" t="s">
        <v>27</v>
      </c>
      <c r="B13" s="8" t="s">
        <v>31</v>
      </c>
      <c r="C13" s="9"/>
      <c r="D13" s="22">
        <f t="shared" si="0"/>
        <v>169</v>
      </c>
      <c r="E13" s="2">
        <v>44729</v>
      </c>
      <c r="F13" s="50">
        <v>1.2113225016359237E-3</v>
      </c>
      <c r="G13" s="51">
        <v>0.99948573505284888</v>
      </c>
      <c r="H13" s="52" t="str">
        <f t="shared" si="1"/>
        <v>obj_0002f#0000</v>
      </c>
      <c r="I13" s="16" t="str">
        <f>_xll.qlSimpleQuote(,K13,M13,N13,O13,P13)</f>
        <v>obj_0000c#0000</v>
      </c>
      <c r="K13" s="53">
        <f t="shared" si="2"/>
        <v>1.1999999999999999E-3</v>
      </c>
      <c r="L13" s="5" t="s">
        <v>133</v>
      </c>
      <c r="M13" s="3">
        <f t="shared" si="6"/>
        <v>0.01</v>
      </c>
      <c r="N13" s="10" t="b">
        <v>0</v>
      </c>
      <c r="O13" s="30">
        <f t="shared" si="3"/>
        <v>2</v>
      </c>
      <c r="P13" s="6" t="b">
        <v>1</v>
      </c>
      <c r="Q13" s="54">
        <v>0.12</v>
      </c>
      <c r="R13" s="24">
        <f>_xll.qlCalendarAdvance(S13,T13,U13,V13,W13,X13)</f>
        <v>44715</v>
      </c>
      <c r="S13" s="2" t="str">
        <f t="shared" si="4"/>
        <v>Australia</v>
      </c>
      <c r="T13" s="2">
        <f t="shared" si="7"/>
        <v>44564</v>
      </c>
      <c r="U13" s="5" t="s">
        <v>133</v>
      </c>
      <c r="V13" s="3" t="s">
        <v>125</v>
      </c>
      <c r="W13" s="3" t="b">
        <v>0</v>
      </c>
      <c r="X13" s="30">
        <f t="shared" si="5"/>
        <v>2</v>
      </c>
      <c r="Y13" s="3" t="s">
        <v>133</v>
      </c>
      <c r="Z13" s="3">
        <v>0.18</v>
      </c>
    </row>
    <row r="14" spans="1:26" x14ac:dyDescent="0.25">
      <c r="A14" s="7" t="s">
        <v>28</v>
      </c>
      <c r="B14" s="8" t="b">
        <v>0</v>
      </c>
      <c r="C14" s="9"/>
      <c r="D14" s="22">
        <f t="shared" si="0"/>
        <v>200</v>
      </c>
      <c r="E14" s="2">
        <v>44760</v>
      </c>
      <c r="F14" s="50">
        <v>1.4048981501112376E-3</v>
      </c>
      <c r="G14" s="51">
        <v>0.99928433550892681</v>
      </c>
      <c r="H14" s="52" t="str">
        <f t="shared" si="1"/>
        <v>obj_00034#0000</v>
      </c>
      <c r="I14" s="16" t="str">
        <f>_xll.qlSimpleQuote(,K14,M14,N14,O14,P14)</f>
        <v>obj_0000f#0000</v>
      </c>
      <c r="K14" s="53">
        <f t="shared" si="2"/>
        <v>1.4000000000000002E-3</v>
      </c>
      <c r="L14" s="5" t="s">
        <v>66</v>
      </c>
      <c r="M14" s="3">
        <f t="shared" si="6"/>
        <v>0.01</v>
      </c>
      <c r="N14" s="10" t="b">
        <v>0</v>
      </c>
      <c r="O14" s="30">
        <f t="shared" si="3"/>
        <v>2</v>
      </c>
      <c r="P14" s="6" t="b">
        <v>1</v>
      </c>
      <c r="Q14" s="54">
        <v>0.14000000000000001</v>
      </c>
      <c r="R14" s="24">
        <f>_xll.qlCalendarAdvance(S14,T14,U14,V14,W14,X14)</f>
        <v>44929</v>
      </c>
      <c r="S14" s="2" t="str">
        <f t="shared" si="4"/>
        <v>Australia</v>
      </c>
      <c r="T14" s="2">
        <f t="shared" si="7"/>
        <v>44564</v>
      </c>
      <c r="U14" s="5" t="s">
        <v>2</v>
      </c>
      <c r="V14" s="3" t="s">
        <v>125</v>
      </c>
      <c r="W14" s="3" t="b">
        <v>0</v>
      </c>
      <c r="X14" s="30">
        <f t="shared" si="5"/>
        <v>2</v>
      </c>
      <c r="Y14" s="3" t="s">
        <v>66</v>
      </c>
      <c r="Z14" s="3">
        <v>0.17499999999999999</v>
      </c>
    </row>
    <row r="15" spans="1:26" x14ac:dyDescent="0.25">
      <c r="A15" s="7" t="s">
        <v>17</v>
      </c>
      <c r="B15" s="8" t="s">
        <v>298</v>
      </c>
      <c r="C15" s="9"/>
      <c r="D15" s="22">
        <f t="shared" si="0"/>
        <v>230</v>
      </c>
      <c r="E15" s="2">
        <v>44790</v>
      </c>
      <c r="F15" s="50">
        <v>2.7764712344357928E-3</v>
      </c>
      <c r="G15" s="51">
        <v>0.99835828665894777</v>
      </c>
      <c r="H15" s="52" t="str">
        <f t="shared" si="1"/>
        <v>obj_0002a#0000</v>
      </c>
      <c r="I15" s="16" t="str">
        <f>_xll.qlSimpleQuote(,K15,M15,N15,O15,P15)</f>
        <v>obj_0001b#0000</v>
      </c>
      <c r="K15" s="53">
        <f t="shared" si="2"/>
        <v>2.8000000000000004E-3</v>
      </c>
      <c r="L15" s="5" t="s">
        <v>277</v>
      </c>
      <c r="M15" s="3">
        <f t="shared" si="6"/>
        <v>0.01</v>
      </c>
      <c r="N15" s="10" t="b">
        <v>0</v>
      </c>
      <c r="O15" s="30">
        <f t="shared" si="3"/>
        <v>2</v>
      </c>
      <c r="P15" s="6" t="b">
        <v>1</v>
      </c>
      <c r="Q15" s="54">
        <v>0.28000000000000003</v>
      </c>
      <c r="R15" s="24">
        <f>_xll.qlCalendarAdvance(S15,T15,U15,V15,W15,X15)</f>
        <v>45294</v>
      </c>
      <c r="S15" s="2" t="str">
        <f t="shared" si="4"/>
        <v>Australia</v>
      </c>
      <c r="T15" s="2">
        <f t="shared" si="7"/>
        <v>44564</v>
      </c>
      <c r="U15" s="5" t="s">
        <v>3</v>
      </c>
      <c r="V15" s="3" t="s">
        <v>125</v>
      </c>
      <c r="W15" s="3" t="b">
        <v>0</v>
      </c>
      <c r="X15" s="30">
        <f t="shared" si="5"/>
        <v>2</v>
      </c>
      <c r="Y15" s="3" t="s">
        <v>277</v>
      </c>
      <c r="Z15" s="3">
        <v>0.21</v>
      </c>
    </row>
    <row r="16" spans="1:26" x14ac:dyDescent="0.25">
      <c r="A16" s="7" t="s">
        <v>29</v>
      </c>
      <c r="B16" s="8"/>
      <c r="C16" s="9"/>
      <c r="D16" s="22">
        <f t="shared" si="0"/>
        <v>263</v>
      </c>
      <c r="E16" s="2">
        <v>44823</v>
      </c>
      <c r="F16" s="50">
        <v>2.9753450117466079E-3</v>
      </c>
      <c r="G16" s="51">
        <v>0.99797230264938031</v>
      </c>
      <c r="H16" s="52" t="str">
        <f t="shared" si="1"/>
        <v>obj_00027#0000</v>
      </c>
      <c r="I16" s="16" t="str">
        <f>_xll.qlSimpleQuote(,K16,M16,N16,O16,P16)</f>
        <v>obj_00006#0000</v>
      </c>
      <c r="K16" s="53">
        <f t="shared" si="2"/>
        <v>3.0000000000000001E-3</v>
      </c>
      <c r="L16" s="5" t="s">
        <v>278</v>
      </c>
      <c r="M16" s="3">
        <f t="shared" si="6"/>
        <v>0.01</v>
      </c>
      <c r="N16" s="10" t="b">
        <v>0</v>
      </c>
      <c r="O16" s="30">
        <f t="shared" si="3"/>
        <v>2</v>
      </c>
      <c r="P16" s="6" t="b">
        <v>1</v>
      </c>
      <c r="Q16" s="54">
        <v>0.3</v>
      </c>
      <c r="R16" s="24">
        <f>_xll.qlCalendarAdvance(S16,T16,U16,V16,W16,X16)</f>
        <v>45660</v>
      </c>
      <c r="S16" s="2" t="str">
        <f t="shared" si="4"/>
        <v>Australia</v>
      </c>
      <c r="T16" s="2">
        <f t="shared" si="7"/>
        <v>44564</v>
      </c>
      <c r="U16" s="5" t="s">
        <v>4</v>
      </c>
      <c r="V16" s="3" t="s">
        <v>125</v>
      </c>
      <c r="W16" s="3" t="b">
        <v>0</v>
      </c>
      <c r="X16" s="30">
        <f t="shared" si="5"/>
        <v>2</v>
      </c>
      <c r="Y16" s="3" t="s">
        <v>278</v>
      </c>
      <c r="Z16" s="3">
        <v>0.26500000000000001</v>
      </c>
    </row>
    <row r="17" spans="1:26" x14ac:dyDescent="0.25">
      <c r="A17" s="7" t="s">
        <v>13</v>
      </c>
      <c r="B17" s="10" t="b">
        <v>0</v>
      </c>
      <c r="C17" s="9"/>
      <c r="D17" s="22">
        <f t="shared" si="0"/>
        <v>291</v>
      </c>
      <c r="E17" s="2">
        <v>44851</v>
      </c>
      <c r="F17" s="50">
        <v>3.8619137390648829E-3</v>
      </c>
      <c r="G17" s="51">
        <v>0.99707346845920053</v>
      </c>
      <c r="H17" s="52" t="str">
        <f t="shared" si="1"/>
        <v>obj_00022#0000</v>
      </c>
      <c r="I17" s="16" t="str">
        <f>_xll.qlSimpleQuote(,K17,M17,N17,O17,P17)</f>
        <v>obj_00002#0000</v>
      </c>
      <c r="K17" s="53">
        <f t="shared" si="2"/>
        <v>3.9000000000000003E-3</v>
      </c>
      <c r="L17" s="5" t="s">
        <v>279</v>
      </c>
      <c r="M17" s="3">
        <f t="shared" si="6"/>
        <v>0.01</v>
      </c>
      <c r="N17" s="10" t="b">
        <v>0</v>
      </c>
      <c r="O17" s="30">
        <f t="shared" si="3"/>
        <v>2</v>
      </c>
      <c r="P17" s="6" t="b">
        <v>1</v>
      </c>
      <c r="Q17" s="54">
        <v>0.39</v>
      </c>
      <c r="R17" s="24">
        <f>_xll.qlCalendarAdvance(S17,T17,U17,V17,W17,X17)</f>
        <v>46027</v>
      </c>
      <c r="S17" s="2" t="str">
        <f t="shared" si="4"/>
        <v>Australia</v>
      </c>
      <c r="T17" s="2">
        <f t="shared" si="7"/>
        <v>44564</v>
      </c>
      <c r="U17" s="5" t="s">
        <v>92</v>
      </c>
      <c r="V17" s="3" t="s">
        <v>125</v>
      </c>
      <c r="W17" s="3" t="b">
        <v>0</v>
      </c>
      <c r="X17" s="30">
        <f t="shared" si="5"/>
        <v>2</v>
      </c>
      <c r="Y17" s="3" t="s">
        <v>279</v>
      </c>
      <c r="Z17" s="3">
        <v>0.35</v>
      </c>
    </row>
    <row r="18" spans="1:26" x14ac:dyDescent="0.25">
      <c r="A18" s="7" t="s">
        <v>14</v>
      </c>
      <c r="B18" s="30">
        <f>$B$4</f>
        <v>2</v>
      </c>
      <c r="C18" s="9"/>
      <c r="D18" s="22">
        <f t="shared" si="0"/>
        <v>322</v>
      </c>
      <c r="E18" s="2">
        <v>44882</v>
      </c>
      <c r="F18" s="50">
        <v>3.4709485098395744E-3</v>
      </c>
      <c r="G18" s="51">
        <v>0.99707537509684452</v>
      </c>
      <c r="H18" s="52" t="str">
        <f t="shared" si="1"/>
        <v>obj_00029#0000</v>
      </c>
      <c r="I18" s="16" t="str">
        <f>_xll.qlSimpleQuote(,K18,M18,N18,O18,P18)</f>
        <v>obj_00003#0000</v>
      </c>
      <c r="K18" s="53">
        <f t="shared" si="2"/>
        <v>3.4999999999999996E-3</v>
      </c>
      <c r="L18" s="5" t="s">
        <v>280</v>
      </c>
      <c r="M18" s="3">
        <f t="shared" si="6"/>
        <v>0.01</v>
      </c>
      <c r="N18" s="10" t="b">
        <v>0</v>
      </c>
      <c r="O18" s="30">
        <f t="shared" si="3"/>
        <v>2</v>
      </c>
      <c r="P18" s="6" t="b">
        <v>1</v>
      </c>
      <c r="Q18" s="54">
        <v>0.35</v>
      </c>
      <c r="R18" s="24">
        <f>_xll.qlCalendarAdvance(S18,T18,U18,V18,W18,X18)</f>
        <v>46391</v>
      </c>
      <c r="S18" s="2" t="str">
        <f t="shared" si="4"/>
        <v>Australia</v>
      </c>
      <c r="T18" s="2">
        <f t="shared" si="7"/>
        <v>44564</v>
      </c>
      <c r="U18" s="5" t="s">
        <v>5</v>
      </c>
      <c r="V18" s="3" t="s">
        <v>125</v>
      </c>
      <c r="W18" s="3" t="b">
        <v>0</v>
      </c>
      <c r="X18" s="30">
        <f t="shared" si="5"/>
        <v>2</v>
      </c>
      <c r="Y18" s="3" t="s">
        <v>280</v>
      </c>
      <c r="Z18" s="3">
        <v>0.39</v>
      </c>
    </row>
    <row r="19" spans="1:26" x14ac:dyDescent="0.25">
      <c r="A19" s="7" t="s">
        <v>15</v>
      </c>
      <c r="B19" s="10" t="b">
        <v>1</v>
      </c>
      <c r="C19" s="9"/>
      <c r="D19" s="22">
        <f t="shared" si="0"/>
        <v>354</v>
      </c>
      <c r="E19" s="2">
        <v>44914</v>
      </c>
      <c r="F19" s="50">
        <v>3.9158612496446267E-3</v>
      </c>
      <c r="G19" s="51">
        <v>0.99635899302447839</v>
      </c>
      <c r="H19" s="52" t="str">
        <f t="shared" si="1"/>
        <v>obj_00020#0000</v>
      </c>
      <c r="I19" s="16" t="str">
        <f>_xll.qlSimpleQuote(,K19,M19,N19,O19,P19)</f>
        <v>obj_00008#0000</v>
      </c>
      <c r="K19" s="53">
        <f t="shared" si="2"/>
        <v>3.9500000000000004E-3</v>
      </c>
      <c r="L19" s="5" t="s">
        <v>281</v>
      </c>
      <c r="M19" s="3">
        <f t="shared" si="6"/>
        <v>0.01</v>
      </c>
      <c r="N19" s="10" t="b">
        <v>0</v>
      </c>
      <c r="O19" s="30">
        <f t="shared" si="3"/>
        <v>2</v>
      </c>
      <c r="P19" s="6" t="b">
        <v>1</v>
      </c>
      <c r="Q19" s="54">
        <v>0.39500000000000002</v>
      </c>
      <c r="R19" s="24">
        <f>_xll.qlCalendarAdvance(S19,T19,U19,V19,W19,X19)</f>
        <v>46755</v>
      </c>
      <c r="S19" s="2" t="str">
        <f t="shared" si="4"/>
        <v>Australia</v>
      </c>
      <c r="T19" s="2">
        <f t="shared" si="7"/>
        <v>44564</v>
      </c>
      <c r="U19" s="5" t="s">
        <v>93</v>
      </c>
      <c r="V19" s="3" t="s">
        <v>125</v>
      </c>
      <c r="W19" s="3" t="b">
        <v>0</v>
      </c>
      <c r="X19" s="30">
        <f t="shared" si="5"/>
        <v>2</v>
      </c>
      <c r="Y19" s="3" t="s">
        <v>281</v>
      </c>
      <c r="Z19" s="3">
        <v>0.54</v>
      </c>
    </row>
    <row r="20" spans="1:26" x14ac:dyDescent="0.25">
      <c r="D20" s="22">
        <f t="shared" si="0"/>
        <v>383</v>
      </c>
      <c r="E20" s="2">
        <v>44943</v>
      </c>
      <c r="F20" s="50">
        <v>4.902148905165076E-3</v>
      </c>
      <c r="G20" s="51">
        <v>0.99505638898269111</v>
      </c>
      <c r="H20" s="52" t="str">
        <f>I54</f>
        <v>obj_00025#0000</v>
      </c>
      <c r="I20" s="16" t="str">
        <f>_xll.qlSimpleQuote(,K20,M20,N20,O20,P20)</f>
        <v>obj_00005#0000</v>
      </c>
      <c r="K20" s="53">
        <f t="shared" si="2"/>
        <v>4.9499999999999995E-3</v>
      </c>
      <c r="L20" s="5" t="s">
        <v>2</v>
      </c>
      <c r="M20" s="3">
        <f t="shared" si="6"/>
        <v>0.01</v>
      </c>
      <c r="N20" s="10" t="b">
        <v>0</v>
      </c>
      <c r="O20" s="30">
        <f t="shared" si="3"/>
        <v>2</v>
      </c>
      <c r="P20" s="6" t="b">
        <v>1</v>
      </c>
      <c r="Q20" s="54">
        <v>0.495</v>
      </c>
      <c r="R20" s="24">
        <f>_xll.qlCalendarAdvance(S20,T20,U20,V20,W20,X20)</f>
        <v>47121</v>
      </c>
      <c r="S20" s="2" t="str">
        <f t="shared" si="4"/>
        <v>Australia</v>
      </c>
      <c r="T20" s="2">
        <f t="shared" si="7"/>
        <v>44564</v>
      </c>
      <c r="U20" s="5" t="s">
        <v>6</v>
      </c>
      <c r="V20" s="3" t="s">
        <v>125</v>
      </c>
      <c r="W20" s="3" t="b">
        <v>0</v>
      </c>
      <c r="X20" s="30">
        <f t="shared" si="5"/>
        <v>2</v>
      </c>
      <c r="Y20" s="3" t="s">
        <v>2</v>
      </c>
      <c r="Z20" s="3">
        <v>0.59499999999999997</v>
      </c>
    </row>
    <row r="21" spans="1:26" x14ac:dyDescent="0.25">
      <c r="D21" s="22">
        <f t="shared" si="0"/>
        <v>748</v>
      </c>
      <c r="E21" s="2">
        <v>45308</v>
      </c>
      <c r="F21" s="50">
        <v>8.7643201319289894E-3</v>
      </c>
      <c r="G21" s="51">
        <v>0.98253075010664215</v>
      </c>
      <c r="H21" s="52" t="str">
        <f t="shared" ref="H21:H31" si="8">I55</f>
        <v>obj_00030#0000</v>
      </c>
      <c r="I21" s="16" t="str">
        <f>_xll.qlSimpleQuote(,K21,M21,N21,O21,P21)</f>
        <v>obj_00015#0000</v>
      </c>
      <c r="K21" s="53">
        <f t="shared" si="2"/>
        <v>8.8249999999999995E-3</v>
      </c>
      <c r="L21" s="5" t="s">
        <v>3</v>
      </c>
      <c r="M21" s="3">
        <f t="shared" si="6"/>
        <v>0.01</v>
      </c>
      <c r="N21" s="10" t="b">
        <v>0</v>
      </c>
      <c r="O21" s="30">
        <f t="shared" si="3"/>
        <v>2</v>
      </c>
      <c r="P21" s="6" t="b">
        <v>1</v>
      </c>
      <c r="Q21" s="54">
        <v>0.88249999999999995</v>
      </c>
      <c r="R21" s="24">
        <f>_xll.qlCalendarAdvance(S21,T21,U21,V21,W21,X21)</f>
        <v>47486</v>
      </c>
      <c r="S21" s="2" t="str">
        <f t="shared" si="4"/>
        <v>Australia</v>
      </c>
      <c r="T21" s="2">
        <f t="shared" si="7"/>
        <v>44564</v>
      </c>
      <c r="U21" s="5" t="s">
        <v>94</v>
      </c>
      <c r="V21" s="3" t="s">
        <v>125</v>
      </c>
      <c r="W21" s="3" t="b">
        <v>0</v>
      </c>
      <c r="X21" s="30">
        <f t="shared" si="5"/>
        <v>2</v>
      </c>
      <c r="Y21" s="3" t="s">
        <v>3</v>
      </c>
      <c r="Z21" s="3">
        <v>0.88</v>
      </c>
    </row>
    <row r="22" spans="1:26" x14ac:dyDescent="0.25">
      <c r="D22" s="22">
        <f t="shared" si="0"/>
        <v>1114</v>
      </c>
      <c r="E22" s="2">
        <v>45674</v>
      </c>
      <c r="F22" s="50">
        <v>1.2445050502089508E-2</v>
      </c>
      <c r="G22" s="51">
        <v>0.96322183484163559</v>
      </c>
      <c r="H22" s="52" t="str">
        <f t="shared" si="8"/>
        <v>obj_00032#0000</v>
      </c>
      <c r="I22" s="16" t="str">
        <f>_xll.qlSimpleQuote(,K22,M22,N22,O22,P22)</f>
        <v>obj_0001e#0000</v>
      </c>
      <c r="K22" s="53">
        <f t="shared" si="2"/>
        <v>1.2500000000000001E-2</v>
      </c>
      <c r="L22" s="5" t="s">
        <v>4</v>
      </c>
      <c r="M22" s="3">
        <f t="shared" si="6"/>
        <v>0.01</v>
      </c>
      <c r="N22" s="10" t="b">
        <v>0</v>
      </c>
      <c r="O22" s="30">
        <f t="shared" si="3"/>
        <v>2</v>
      </c>
      <c r="P22" s="6" t="b">
        <v>1</v>
      </c>
      <c r="Q22" s="54">
        <v>1.25</v>
      </c>
      <c r="R22" s="24">
        <f>_xll.qlCalendarAdvance(S22,T22,U22,V22,W22,X22)</f>
        <v>47851</v>
      </c>
      <c r="S22" s="2" t="str">
        <f t="shared" si="4"/>
        <v>Australia</v>
      </c>
      <c r="T22" s="2">
        <f t="shared" si="7"/>
        <v>44564</v>
      </c>
      <c r="U22" s="5" t="s">
        <v>95</v>
      </c>
      <c r="V22" s="3" t="s">
        <v>125</v>
      </c>
      <c r="W22" s="3" t="b">
        <v>0</v>
      </c>
      <c r="X22" s="30">
        <f t="shared" si="5"/>
        <v>2</v>
      </c>
      <c r="Y22" s="3" t="s">
        <v>4</v>
      </c>
      <c r="Z22" s="3">
        <v>1.26</v>
      </c>
    </row>
    <row r="23" spans="1:26" x14ac:dyDescent="0.25">
      <c r="D23" s="22">
        <f t="shared" si="0"/>
        <v>1481</v>
      </c>
      <c r="E23" s="2">
        <v>46041</v>
      </c>
      <c r="F23" s="50">
        <v>1.5065559009916038E-2</v>
      </c>
      <c r="G23" s="51">
        <v>0.94128446054965098</v>
      </c>
      <c r="H23" s="52" t="str">
        <f t="shared" si="8"/>
        <v>obj_00037#0000</v>
      </c>
      <c r="I23" s="16" t="str">
        <f>_xll.qlSimpleQuote(,K23,M23,N23,O23,P23)</f>
        <v>obj_0001d#0000</v>
      </c>
      <c r="K23" s="53">
        <f t="shared" si="2"/>
        <v>1.5100000000000001E-2</v>
      </c>
      <c r="L23" s="5" t="s">
        <v>92</v>
      </c>
      <c r="M23" s="3">
        <f t="shared" si="6"/>
        <v>0.01</v>
      </c>
      <c r="N23" s="10" t="b">
        <v>0</v>
      </c>
      <c r="O23" s="30">
        <f t="shared" si="3"/>
        <v>2</v>
      </c>
      <c r="P23" s="6" t="b">
        <v>1</v>
      </c>
      <c r="Q23" s="54">
        <v>1.51</v>
      </c>
      <c r="R23" s="24">
        <f>_xll.qlCalendarAdvance(S23,T23,U23,V23,W23,X23)</f>
        <v>48218</v>
      </c>
      <c r="S23" s="2" t="str">
        <f t="shared" si="4"/>
        <v>Australia</v>
      </c>
      <c r="T23" s="2">
        <f t="shared" si="7"/>
        <v>44564</v>
      </c>
      <c r="U23" s="5" t="s">
        <v>7</v>
      </c>
      <c r="V23" s="3" t="s">
        <v>125</v>
      </c>
      <c r="W23" s="3" t="b">
        <v>0</v>
      </c>
      <c r="X23" s="30">
        <f t="shared" si="5"/>
        <v>2</v>
      </c>
      <c r="Y23" s="3" t="s">
        <v>92</v>
      </c>
      <c r="Z23" s="3">
        <v>1.53</v>
      </c>
    </row>
    <row r="24" spans="1:26" x14ac:dyDescent="0.25">
      <c r="A24" s="7" t="s">
        <v>45</v>
      </c>
      <c r="B24" s="11" t="str">
        <f>_xll.qlPiecewiseYieldCurve(B25,B26,B27,$H$3:$H$31,B29,B30,B31,B32,B33,B34,B35,B36,B37)</f>
        <v>AUDZC#0000</v>
      </c>
      <c r="C24" s="11" t="str">
        <f>_xll.qlPiecewiseYieldCurve(C25,C26,C27,$H$3:$H$31,C29,C30,C31,C32,C33,C34,C35,C36,C37)</f>
        <v>AUDDF#0000</v>
      </c>
      <c r="D24" s="22">
        <f t="shared" si="0"/>
        <v>1845</v>
      </c>
      <c r="E24" s="2">
        <v>46405</v>
      </c>
      <c r="F24" s="50">
        <v>1.6212460996297126E-2</v>
      </c>
      <c r="G24" s="51">
        <v>0.9219314628536438</v>
      </c>
      <c r="H24" s="52" t="str">
        <f t="shared" si="8"/>
        <v>obj_0003b#0000</v>
      </c>
      <c r="I24" s="16" t="str">
        <f>_xll.qlSimpleQuote(,K24,M24,N24,O24,P24)</f>
        <v>obj_0000b#0000</v>
      </c>
      <c r="K24" s="53">
        <f t="shared" si="2"/>
        <v>1.6237999999999999E-2</v>
      </c>
      <c r="L24" s="5" t="s">
        <v>5</v>
      </c>
      <c r="M24" s="3">
        <f t="shared" si="6"/>
        <v>0.01</v>
      </c>
      <c r="N24" s="10" t="b">
        <v>0</v>
      </c>
      <c r="O24" s="30">
        <f t="shared" si="3"/>
        <v>2</v>
      </c>
      <c r="P24" s="6" t="b">
        <v>1</v>
      </c>
      <c r="Q24" s="54">
        <v>1.6237999999999999</v>
      </c>
      <c r="R24" s="24">
        <f>_xll.qlCalendarAdvance(S24,T24,U24,V24,W24,X24)</f>
        <v>48947</v>
      </c>
      <c r="S24" s="2" t="str">
        <f t="shared" si="4"/>
        <v>Australia</v>
      </c>
      <c r="T24" s="2">
        <f t="shared" si="7"/>
        <v>44564</v>
      </c>
      <c r="U24" s="5" t="s">
        <v>134</v>
      </c>
      <c r="V24" s="3" t="s">
        <v>125</v>
      </c>
      <c r="W24" s="3" t="b">
        <v>0</v>
      </c>
      <c r="X24" s="30">
        <f t="shared" si="5"/>
        <v>2</v>
      </c>
      <c r="Y24" s="3" t="s">
        <v>5</v>
      </c>
      <c r="Z24" s="3">
        <v>1.66</v>
      </c>
    </row>
    <row r="25" spans="1:26" x14ac:dyDescent="0.25">
      <c r="A25" s="3" t="s">
        <v>32</v>
      </c>
      <c r="B25" s="3" t="s">
        <v>285</v>
      </c>
      <c r="C25" s="3" t="s">
        <v>286</v>
      </c>
      <c r="D25" s="22">
        <f t="shared" si="0"/>
        <v>2575</v>
      </c>
      <c r="E25" s="2">
        <v>47135</v>
      </c>
      <c r="F25" s="50">
        <v>1.7954592887128321E-2</v>
      </c>
      <c r="G25" s="51">
        <v>0.88172160545692191</v>
      </c>
      <c r="H25" s="52" t="str">
        <f t="shared" si="8"/>
        <v>obj_00038#0000</v>
      </c>
      <c r="I25" s="16" t="str">
        <f>_xll.qlSimpleQuote(,K25,M25,N25,O25,P25)</f>
        <v>obj_0001a#0000</v>
      </c>
      <c r="K25" s="53">
        <f t="shared" si="2"/>
        <v>1.7950000000000001E-2</v>
      </c>
      <c r="L25" s="5" t="s">
        <v>6</v>
      </c>
      <c r="M25" s="3">
        <f t="shared" si="6"/>
        <v>0.01</v>
      </c>
      <c r="N25" s="10" t="b">
        <v>0</v>
      </c>
      <c r="O25" s="30">
        <f t="shared" si="3"/>
        <v>2</v>
      </c>
      <c r="P25" s="6" t="b">
        <v>1</v>
      </c>
      <c r="Q25" s="54">
        <v>1.7949999999999999</v>
      </c>
      <c r="R25" s="24">
        <f>_xll.qlCalendarAdvance(S25,T25,U25,V25,W25,X25)</f>
        <v>50045</v>
      </c>
      <c r="S25" s="2" t="str">
        <f t="shared" si="4"/>
        <v>Australia</v>
      </c>
      <c r="T25" s="2">
        <f t="shared" si="7"/>
        <v>44564</v>
      </c>
      <c r="U25" s="5" t="s">
        <v>135</v>
      </c>
      <c r="V25" s="3" t="s">
        <v>125</v>
      </c>
      <c r="W25" s="3" t="b">
        <v>0</v>
      </c>
      <c r="X25" s="30">
        <f t="shared" si="5"/>
        <v>2</v>
      </c>
      <c r="Y25" s="3" t="s">
        <v>6</v>
      </c>
      <c r="Z25" s="3">
        <v>1.855</v>
      </c>
    </row>
    <row r="26" spans="1:26" x14ac:dyDescent="0.25">
      <c r="A26" s="3" t="s">
        <v>33</v>
      </c>
      <c r="B26" s="3">
        <v>0</v>
      </c>
      <c r="C26" s="3">
        <v>0</v>
      </c>
      <c r="D26" s="22">
        <f t="shared" si="0"/>
        <v>3672</v>
      </c>
      <c r="E26" s="2">
        <v>48232</v>
      </c>
      <c r="F26" s="50">
        <v>1.9498312223099463E-2</v>
      </c>
      <c r="G26" s="51">
        <v>0.82258700957758668</v>
      </c>
      <c r="H26" s="52" t="str">
        <f t="shared" si="8"/>
        <v>obj_00036#0000</v>
      </c>
      <c r="I26" s="16" t="str">
        <f>_xll.qlSimpleQuote(,K26,M26,N26,O26,P26)</f>
        <v>obj_0001c#0000</v>
      </c>
      <c r="K26" s="53">
        <f t="shared" si="2"/>
        <v>1.9450000000000002E-2</v>
      </c>
      <c r="L26" s="5" t="s">
        <v>7</v>
      </c>
      <c r="M26" s="3">
        <f t="shared" si="6"/>
        <v>0.01</v>
      </c>
      <c r="N26" s="10" t="b">
        <v>0</v>
      </c>
      <c r="O26" s="30">
        <f t="shared" si="3"/>
        <v>2</v>
      </c>
      <c r="P26" s="6" t="b">
        <v>1</v>
      </c>
      <c r="Q26" s="54">
        <v>1.9450000000000001</v>
      </c>
      <c r="R26" s="24">
        <f>_xll.qlCalendarAdvance(S26,T26,U26,V26,W26,X26)</f>
        <v>51869</v>
      </c>
      <c r="S26" s="2" t="str">
        <f t="shared" si="4"/>
        <v>Australia</v>
      </c>
      <c r="T26" s="2">
        <f t="shared" si="7"/>
        <v>44564</v>
      </c>
      <c r="U26" s="5" t="s">
        <v>136</v>
      </c>
      <c r="V26" s="3" t="s">
        <v>125</v>
      </c>
      <c r="W26" s="3" t="b">
        <v>0</v>
      </c>
      <c r="X26" s="30">
        <f t="shared" si="5"/>
        <v>2</v>
      </c>
      <c r="Y26" s="3" t="s">
        <v>7</v>
      </c>
      <c r="Z26" s="3">
        <v>2.0249999999999999</v>
      </c>
    </row>
    <row r="27" spans="1:26" x14ac:dyDescent="0.25">
      <c r="A27" s="3" t="s">
        <v>34</v>
      </c>
      <c r="B27" s="2" t="str">
        <f>B12</f>
        <v>Australia</v>
      </c>
      <c r="C27" s="2" t="str">
        <f>B27</f>
        <v>Australia</v>
      </c>
      <c r="D27" s="22">
        <f t="shared" si="0"/>
        <v>4401</v>
      </c>
      <c r="E27" s="2">
        <v>48961</v>
      </c>
      <c r="F27" s="50">
        <v>2.0118826408279687E-2</v>
      </c>
      <c r="G27" s="51">
        <v>0.78533382470870616</v>
      </c>
      <c r="H27" s="52" t="str">
        <f t="shared" si="8"/>
        <v>obj_00028#0000</v>
      </c>
      <c r="I27" s="16" t="str">
        <f>_xll.qlSimpleQuote(,K27,M27,N27,O27,P27)</f>
        <v>obj_00004#0000</v>
      </c>
      <c r="K27" s="53">
        <f t="shared" si="2"/>
        <v>2.0049999999999998E-2</v>
      </c>
      <c r="L27" s="5" t="s">
        <v>134</v>
      </c>
      <c r="M27" s="3">
        <f t="shared" si="6"/>
        <v>0.01</v>
      </c>
      <c r="N27" s="10" t="b">
        <v>0</v>
      </c>
      <c r="O27" s="30">
        <f t="shared" si="3"/>
        <v>2</v>
      </c>
      <c r="P27" s="6" t="b">
        <v>1</v>
      </c>
      <c r="Q27" s="54">
        <v>2.0049999999999999</v>
      </c>
      <c r="R27" s="24">
        <f>_xll.qlCalendarAdvance(S27,T27,U27,V27,W27,X27)</f>
        <v>53695</v>
      </c>
      <c r="S27" s="2" t="str">
        <f t="shared" si="4"/>
        <v>Australia</v>
      </c>
      <c r="T27" s="2">
        <f t="shared" si="7"/>
        <v>44564</v>
      </c>
      <c r="U27" s="5" t="s">
        <v>137</v>
      </c>
      <c r="V27" s="3" t="s">
        <v>125</v>
      </c>
      <c r="W27" s="3" t="b">
        <v>0</v>
      </c>
      <c r="X27" s="30">
        <f t="shared" si="5"/>
        <v>2</v>
      </c>
      <c r="Y27" s="3" t="s">
        <v>134</v>
      </c>
      <c r="Z27" s="3">
        <v>2.0950000000000002</v>
      </c>
    </row>
    <row r="28" spans="1:26" x14ac:dyDescent="0.25">
      <c r="A28" s="3" t="s">
        <v>35</v>
      </c>
      <c r="D28" s="22">
        <f t="shared" si="0"/>
        <v>5499</v>
      </c>
      <c r="E28" s="2">
        <v>50059</v>
      </c>
      <c r="F28" s="50">
        <v>2.0798958130101766E-2</v>
      </c>
      <c r="G28" s="51">
        <v>0.73174274164458641</v>
      </c>
      <c r="H28" s="52" t="str">
        <f t="shared" si="8"/>
        <v>obj_0002e#0000</v>
      </c>
      <c r="I28" s="16" t="str">
        <f>_xll.qlSimpleQuote(,K28,M28,N28,O28,P28)</f>
        <v>obj_00016#0000</v>
      </c>
      <c r="K28" s="53">
        <f t="shared" si="2"/>
        <v>2.07E-2</v>
      </c>
      <c r="L28" s="5" t="s">
        <v>135</v>
      </c>
      <c r="M28" s="3">
        <f t="shared" si="6"/>
        <v>0.01</v>
      </c>
      <c r="N28" s="10" t="b">
        <v>0</v>
      </c>
      <c r="O28" s="30">
        <f t="shared" si="3"/>
        <v>2</v>
      </c>
      <c r="P28" s="6" t="b">
        <v>1</v>
      </c>
      <c r="Q28" s="54">
        <v>2.0699999999999998</v>
      </c>
      <c r="R28" s="24">
        <f>_xll.qlCalendarAdvance(S28,T28,U28,V28,W28,X28)</f>
        <v>55521</v>
      </c>
      <c r="S28" s="2" t="str">
        <f t="shared" si="4"/>
        <v>Australia</v>
      </c>
      <c r="T28" s="2">
        <f t="shared" si="7"/>
        <v>44564</v>
      </c>
      <c r="U28" s="5" t="s">
        <v>138</v>
      </c>
      <c r="V28" s="3" t="s">
        <v>125</v>
      </c>
      <c r="W28" s="3" t="b">
        <v>0</v>
      </c>
      <c r="X28" s="30">
        <f t="shared" si="5"/>
        <v>2</v>
      </c>
      <c r="Y28" s="3" t="s">
        <v>135</v>
      </c>
      <c r="Z28" s="3">
        <v>2.17</v>
      </c>
    </row>
    <row r="29" spans="1:26" x14ac:dyDescent="0.25">
      <c r="A29" s="3" t="s">
        <v>36</v>
      </c>
      <c r="B29" s="3" t="str">
        <f>B15</f>
        <v>A/365</v>
      </c>
      <c r="C29" s="3" t="str">
        <f>B29</f>
        <v>A/365</v>
      </c>
      <c r="D29" s="22">
        <f t="shared" si="0"/>
        <v>7323</v>
      </c>
      <c r="E29" s="2">
        <v>51883</v>
      </c>
      <c r="F29" s="50">
        <v>2.1014613934536772E-2</v>
      </c>
      <c r="G29" s="51">
        <v>0.65670355272736458</v>
      </c>
      <c r="H29" s="52" t="str">
        <f t="shared" si="8"/>
        <v>obj_00035#0000</v>
      </c>
      <c r="I29" s="16" t="str">
        <f>_xll.qlSimpleQuote(,K29,M29,N29,O29,P29)</f>
        <v>obj_00001#0000</v>
      </c>
      <c r="K29" s="53">
        <f t="shared" si="2"/>
        <v>2.0950000000000003E-2</v>
      </c>
      <c r="L29" s="5" t="s">
        <v>136</v>
      </c>
      <c r="M29" s="3">
        <f t="shared" si="6"/>
        <v>0.01</v>
      </c>
      <c r="N29" s="10" t="b">
        <v>0</v>
      </c>
      <c r="O29" s="30">
        <f t="shared" si="3"/>
        <v>2</v>
      </c>
      <c r="P29" s="6" t="b">
        <v>1</v>
      </c>
      <c r="Q29" s="54">
        <v>2.0950000000000002</v>
      </c>
      <c r="R29" s="24"/>
      <c r="S29" s="2"/>
      <c r="T29" s="2"/>
      <c r="U29" s="5"/>
      <c r="X29" s="30"/>
      <c r="Y29" s="3" t="s">
        <v>136</v>
      </c>
      <c r="Z29" s="3">
        <v>2.1800000000000002</v>
      </c>
    </row>
    <row r="30" spans="1:26" x14ac:dyDescent="0.25">
      <c r="A30" s="3" t="s">
        <v>37</v>
      </c>
      <c r="D30" s="22">
        <f t="shared" si="0"/>
        <v>9149</v>
      </c>
      <c r="E30" s="2">
        <v>53709</v>
      </c>
      <c r="F30" s="50">
        <v>2.0464974972273793E-2</v>
      </c>
      <c r="G30" s="51">
        <v>0.59938649932302979</v>
      </c>
      <c r="H30" s="52" t="str">
        <f t="shared" si="8"/>
        <v>obj_00021#0000</v>
      </c>
      <c r="I30" s="16" t="str">
        <f>_xll.qlSimpleQuote(,K30,M30,N30,O30,P30)</f>
        <v>obj_00012#0000</v>
      </c>
      <c r="K30" s="53">
        <f t="shared" si="2"/>
        <v>2.0550000000000002E-2</v>
      </c>
      <c r="L30" s="5" t="s">
        <v>137</v>
      </c>
      <c r="M30" s="3">
        <f t="shared" si="6"/>
        <v>0.01</v>
      </c>
      <c r="N30" s="10" t="b">
        <v>0</v>
      </c>
      <c r="O30" s="30">
        <f t="shared" si="3"/>
        <v>2</v>
      </c>
      <c r="P30" s="6" t="b">
        <v>1</v>
      </c>
      <c r="Q30" s="54">
        <v>2.0550000000000002</v>
      </c>
      <c r="R30" s="24"/>
      <c r="S30" s="2"/>
      <c r="T30" s="2"/>
      <c r="U30" s="5"/>
      <c r="X30" s="30"/>
      <c r="Y30" s="3" t="s">
        <v>137</v>
      </c>
      <c r="Z30" s="3">
        <v>2.125</v>
      </c>
    </row>
    <row r="31" spans="1:26" x14ac:dyDescent="0.25">
      <c r="A31" s="3" t="s">
        <v>38</v>
      </c>
      <c r="D31" s="22">
        <f t="shared" si="0"/>
        <v>10975</v>
      </c>
      <c r="E31" s="2">
        <v>55535</v>
      </c>
      <c r="F31" s="50">
        <v>1.9611452242358739E-2</v>
      </c>
      <c r="G31" s="51">
        <v>0.55512823468242067</v>
      </c>
      <c r="H31" s="52" t="str">
        <f t="shared" si="8"/>
        <v>obj_0003a#0000</v>
      </c>
      <c r="I31" s="16" t="str">
        <f>_xll.qlSimpleQuote(,K31,M31,N31,O31,P31)</f>
        <v>obj_0000d#0000</v>
      </c>
      <c r="K31" s="53">
        <f t="shared" si="2"/>
        <v>1.9900000000000001E-2</v>
      </c>
      <c r="L31" s="5" t="s">
        <v>138</v>
      </c>
      <c r="M31" s="3">
        <f t="shared" si="6"/>
        <v>0.01</v>
      </c>
      <c r="N31" s="10" t="b">
        <v>0</v>
      </c>
      <c r="O31" s="30">
        <f t="shared" si="3"/>
        <v>2</v>
      </c>
      <c r="P31" s="6" t="b">
        <v>1</v>
      </c>
      <c r="Q31" s="54">
        <v>1.99</v>
      </c>
      <c r="Y31" s="3" t="s">
        <v>138</v>
      </c>
      <c r="Z31" s="3">
        <v>2.0499999999999998</v>
      </c>
    </row>
    <row r="32" spans="1:26" x14ac:dyDescent="0.25">
      <c r="A32" s="3" t="s">
        <v>39</v>
      </c>
      <c r="D32" s="21"/>
      <c r="F32" s="21"/>
      <c r="G32" s="21"/>
      <c r="H32" s="52"/>
      <c r="I32" s="68" t="s">
        <v>139</v>
      </c>
      <c r="J32" s="68" t="s">
        <v>10</v>
      </c>
      <c r="K32" s="68" t="s">
        <v>22</v>
      </c>
      <c r="L32" s="68" t="s">
        <v>12</v>
      </c>
      <c r="M32" s="68" t="s">
        <v>23</v>
      </c>
      <c r="N32" s="68" t="s">
        <v>16</v>
      </c>
      <c r="O32" s="68" t="s">
        <v>24</v>
      </c>
      <c r="P32" s="68" t="s">
        <v>25</v>
      </c>
      <c r="Q32" s="68" t="s">
        <v>17</v>
      </c>
      <c r="R32" s="68" t="s">
        <v>13</v>
      </c>
      <c r="S32" s="68" t="s">
        <v>14</v>
      </c>
      <c r="T32" s="68" t="s">
        <v>15</v>
      </c>
    </row>
    <row r="33" spans="1:20" x14ac:dyDescent="0.25">
      <c r="A33" s="3" t="s">
        <v>40</v>
      </c>
      <c r="B33" s="56" t="s">
        <v>68</v>
      </c>
      <c r="C33" s="21" t="s">
        <v>141</v>
      </c>
      <c r="D33" s="21"/>
      <c r="F33" s="21"/>
      <c r="G33" s="21"/>
      <c r="H33" s="52"/>
      <c r="I33" s="12" t="str">
        <f>_xll.qlDepositRateHelper2(J33,K33,L33,M33,N33,O33,P33,Q33,R33,S33,T33)</f>
        <v>obj_0002b#0000</v>
      </c>
      <c r="K33" s="11" t="str">
        <f t="shared" ref="K33:K43" si="9">I3</f>
        <v>obj_00013#0000</v>
      </c>
      <c r="L33" s="55" t="s">
        <v>124</v>
      </c>
      <c r="M33" s="55">
        <v>0</v>
      </c>
      <c r="N33" s="36" t="str">
        <f>$B$12</f>
        <v>Australia</v>
      </c>
      <c r="O33" s="34" t="s">
        <v>140</v>
      </c>
      <c r="P33" s="34" t="b">
        <f>$B$14</f>
        <v>0</v>
      </c>
      <c r="Q33" s="3" t="str">
        <f>$B$15</f>
        <v>A/365</v>
      </c>
      <c r="R33" s="10" t="b">
        <v>0</v>
      </c>
      <c r="S33" s="30">
        <f>$B$4</f>
        <v>2</v>
      </c>
      <c r="T33" s="6" t="b">
        <v>1</v>
      </c>
    </row>
    <row r="34" spans="1:20" x14ac:dyDescent="0.25">
      <c r="A34" s="3" t="s">
        <v>41</v>
      </c>
      <c r="B34" s="3" t="s">
        <v>49</v>
      </c>
      <c r="C34" s="3" t="s">
        <v>49</v>
      </c>
      <c r="D34" s="21"/>
      <c r="F34" s="21"/>
      <c r="G34" s="21"/>
      <c r="I34" s="12" t="str">
        <f>_xll.qlDepositRateHelper2(J34,K34,L34,M34,N34,O34,P34,Q34,R34,S34,T34)</f>
        <v>obj_00023#0000</v>
      </c>
      <c r="K34" s="11" t="str">
        <f t="shared" si="9"/>
        <v>obj_0000a#0000</v>
      </c>
      <c r="L34" s="55" t="s">
        <v>124</v>
      </c>
      <c r="M34" s="55">
        <v>1</v>
      </c>
      <c r="N34" s="36" t="str">
        <f t="shared" ref="N34:N49" si="10">$B$12</f>
        <v>Australia</v>
      </c>
      <c r="O34" s="34" t="s">
        <v>140</v>
      </c>
      <c r="P34" s="34" t="b">
        <f t="shared" ref="P34:P49" si="11">$B$14</f>
        <v>0</v>
      </c>
      <c r="Q34" s="3" t="str">
        <f t="shared" ref="Q34:Q49" si="12">$B$15</f>
        <v>A/365</v>
      </c>
      <c r="R34" s="10" t="b">
        <v>0</v>
      </c>
      <c r="S34" s="30">
        <f t="shared" ref="S34:S49" si="13">$B$4</f>
        <v>2</v>
      </c>
      <c r="T34" s="6" t="b">
        <v>1</v>
      </c>
    </row>
    <row r="35" spans="1:20" x14ac:dyDescent="0.25">
      <c r="A35" s="3" t="s">
        <v>42</v>
      </c>
      <c r="B35" s="10" t="b">
        <v>0</v>
      </c>
      <c r="C35" s="10" t="b">
        <v>0</v>
      </c>
      <c r="D35" s="21"/>
      <c r="F35" s="21"/>
      <c r="G35" s="21"/>
      <c r="I35" s="12" t="str">
        <f>_xll.qlDepositRateHelper2(J35,K35,L35,M35,N35,O35,P35,Q35,R35,S35,T35)</f>
        <v>obj_00031#0000</v>
      </c>
      <c r="K35" s="11" t="str">
        <f t="shared" si="9"/>
        <v>obj_00018#0000</v>
      </c>
      <c r="L35" s="55" t="s">
        <v>124</v>
      </c>
      <c r="M35" s="55">
        <v>2</v>
      </c>
      <c r="N35" s="36" t="str">
        <f t="shared" si="10"/>
        <v>Australia</v>
      </c>
      <c r="O35" s="34" t="s">
        <v>140</v>
      </c>
      <c r="P35" s="34" t="b">
        <f t="shared" si="11"/>
        <v>0</v>
      </c>
      <c r="Q35" s="3" t="str">
        <f t="shared" si="12"/>
        <v>A/365</v>
      </c>
      <c r="R35" s="10" t="b">
        <v>0</v>
      </c>
      <c r="S35" s="30">
        <f t="shared" si="13"/>
        <v>2</v>
      </c>
      <c r="T35" s="6" t="b">
        <v>1</v>
      </c>
    </row>
    <row r="36" spans="1:20" x14ac:dyDescent="0.25">
      <c r="A36" s="3" t="s">
        <v>43</v>
      </c>
      <c r="B36" s="30">
        <f>$B$4</f>
        <v>2</v>
      </c>
      <c r="C36" s="30">
        <f>$B$4</f>
        <v>2</v>
      </c>
      <c r="D36" s="21"/>
      <c r="F36" s="21"/>
      <c r="G36" s="21"/>
      <c r="I36" s="12" t="str">
        <f>_xll.qlDepositRateHelper2(J36,K36,L36,M36,N36,O36,P36,Q36,R36,S36,T36)</f>
        <v>obj_0001f#0000</v>
      </c>
      <c r="K36" s="11" t="str">
        <f t="shared" si="9"/>
        <v>obj_00011#0000</v>
      </c>
      <c r="L36" s="55" t="s">
        <v>128</v>
      </c>
      <c r="M36" s="55">
        <v>2</v>
      </c>
      <c r="N36" s="36" t="str">
        <f t="shared" si="10"/>
        <v>Australia</v>
      </c>
      <c r="O36" s="34" t="s">
        <v>140</v>
      </c>
      <c r="P36" s="34" t="b">
        <f t="shared" si="11"/>
        <v>0</v>
      </c>
      <c r="Q36" s="3" t="str">
        <f t="shared" si="12"/>
        <v>A/365</v>
      </c>
      <c r="R36" s="10" t="b">
        <v>0</v>
      </c>
      <c r="S36" s="30">
        <f t="shared" si="13"/>
        <v>2</v>
      </c>
      <c r="T36" s="6" t="b">
        <v>1</v>
      </c>
    </row>
    <row r="37" spans="1:20" x14ac:dyDescent="0.25">
      <c r="A37" s="3" t="s">
        <v>44</v>
      </c>
      <c r="B37" s="10" t="b">
        <v>1</v>
      </c>
      <c r="C37" s="10" t="b">
        <v>1</v>
      </c>
      <c r="D37" s="21"/>
      <c r="F37" s="21"/>
      <c r="G37" s="21"/>
      <c r="I37" s="12" t="str">
        <f>_xll.qlDepositRateHelper2(J37,K37,L37,M37,N37,O37,P37,Q37,R37,S37,T37)</f>
        <v>obj_00024#0000</v>
      </c>
      <c r="K37" s="11" t="str">
        <f t="shared" si="9"/>
        <v>obj_00009#0000</v>
      </c>
      <c r="L37" s="55" t="s">
        <v>129</v>
      </c>
      <c r="M37" s="55">
        <f>M36</f>
        <v>2</v>
      </c>
      <c r="N37" s="36" t="str">
        <f t="shared" si="10"/>
        <v>Australia</v>
      </c>
      <c r="O37" s="34" t="s">
        <v>140</v>
      </c>
      <c r="P37" s="34" t="b">
        <f t="shared" si="11"/>
        <v>0</v>
      </c>
      <c r="Q37" s="3" t="str">
        <f t="shared" si="12"/>
        <v>A/365</v>
      </c>
      <c r="R37" s="10" t="b">
        <v>0</v>
      </c>
      <c r="S37" s="30">
        <f t="shared" si="13"/>
        <v>2</v>
      </c>
      <c r="T37" s="6" t="b">
        <v>1</v>
      </c>
    </row>
    <row r="38" spans="1:20" x14ac:dyDescent="0.25">
      <c r="D38" s="21"/>
      <c r="E38" s="3" t="str">
        <f>_xll.ohRangeRetrieveError(E36)</f>
        <v/>
      </c>
      <c r="F38" s="21"/>
      <c r="G38" s="21"/>
      <c r="I38" s="12" t="str">
        <f>_xll.qlDepositRateHelper2(J38,K38,L38,M38,N38,O38,P38,Q38,R38,S38,T38)</f>
        <v>obj_00026#0000</v>
      </c>
      <c r="K38" s="11" t="str">
        <f t="shared" si="9"/>
        <v>obj_0000e#0000</v>
      </c>
      <c r="L38" s="55" t="s">
        <v>130</v>
      </c>
      <c r="M38" s="55">
        <f t="shared" ref="M38:M49" si="14">M37</f>
        <v>2</v>
      </c>
      <c r="N38" s="36" t="str">
        <f t="shared" si="10"/>
        <v>Australia</v>
      </c>
      <c r="O38" s="34" t="s">
        <v>140</v>
      </c>
      <c r="P38" s="34" t="b">
        <f t="shared" si="11"/>
        <v>0</v>
      </c>
      <c r="Q38" s="3" t="str">
        <f t="shared" si="12"/>
        <v>A/365</v>
      </c>
      <c r="R38" s="10" t="b">
        <v>0</v>
      </c>
      <c r="S38" s="30">
        <f t="shared" si="13"/>
        <v>2</v>
      </c>
      <c r="T38" s="6" t="b">
        <v>1</v>
      </c>
    </row>
    <row r="39" spans="1:20" x14ac:dyDescent="0.25">
      <c r="D39" s="21"/>
      <c r="F39" s="21"/>
      <c r="G39" s="21"/>
      <c r="I39" s="12" t="str">
        <f>_xll.qlDepositRateHelper2(J39,K39,L39,M39,N39,O39,P39,Q39,R39,S39,T39)</f>
        <v>obj_0002c#0000</v>
      </c>
      <c r="K39" s="11" t="str">
        <f t="shared" si="9"/>
        <v>obj_00010#0000</v>
      </c>
      <c r="L39" s="55" t="s">
        <v>0</v>
      </c>
      <c r="M39" s="55">
        <f t="shared" si="14"/>
        <v>2</v>
      </c>
      <c r="N39" s="36" t="str">
        <f t="shared" si="10"/>
        <v>Australia</v>
      </c>
      <c r="O39" s="34" t="s">
        <v>140</v>
      </c>
      <c r="P39" s="34" t="b">
        <f t="shared" si="11"/>
        <v>0</v>
      </c>
      <c r="Q39" s="3" t="str">
        <f t="shared" si="12"/>
        <v>A/365</v>
      </c>
      <c r="R39" s="10" t="b">
        <v>0</v>
      </c>
      <c r="S39" s="30">
        <f t="shared" si="13"/>
        <v>2</v>
      </c>
      <c r="T39" s="6" t="b">
        <v>1</v>
      </c>
    </row>
    <row r="40" spans="1:20" x14ac:dyDescent="0.25">
      <c r="D40" s="21"/>
      <c r="F40" s="21"/>
      <c r="G40" s="21"/>
      <c r="I40" s="12" t="str">
        <f>_xll.qlDepositRateHelper2(J40,K40,L40,M40,N40,O40,P40,Q40,R40,S40,T40)</f>
        <v>obj_0002d#0000</v>
      </c>
      <c r="K40" s="11" t="str">
        <f t="shared" si="9"/>
        <v>obj_00019#0000</v>
      </c>
      <c r="L40" s="55" t="s">
        <v>131</v>
      </c>
      <c r="M40" s="55">
        <f t="shared" si="14"/>
        <v>2</v>
      </c>
      <c r="N40" s="36" t="str">
        <f t="shared" si="10"/>
        <v>Australia</v>
      </c>
      <c r="O40" s="34" t="s">
        <v>140</v>
      </c>
      <c r="P40" s="34" t="b">
        <f t="shared" si="11"/>
        <v>0</v>
      </c>
      <c r="Q40" s="3" t="str">
        <f t="shared" si="12"/>
        <v>A/365</v>
      </c>
      <c r="R40" s="10" t="b">
        <v>0</v>
      </c>
      <c r="S40" s="30">
        <f t="shared" si="13"/>
        <v>2</v>
      </c>
      <c r="T40" s="6" t="b">
        <v>1</v>
      </c>
    </row>
    <row r="41" spans="1:20" x14ac:dyDescent="0.25">
      <c r="A41" s="7" t="s">
        <v>47</v>
      </c>
      <c r="C41" s="3" t="s">
        <v>98</v>
      </c>
      <c r="D41" s="2" t="s">
        <v>89</v>
      </c>
      <c r="E41" s="3" t="s">
        <v>99</v>
      </c>
      <c r="F41" s="21" t="s">
        <v>42</v>
      </c>
      <c r="G41" s="21" t="s">
        <v>43</v>
      </c>
      <c r="H41" s="3" t="s">
        <v>44</v>
      </c>
      <c r="I41" s="12" t="str">
        <f>_xll.qlDepositRateHelper2(J41,K41,L41,M41,N41,O41,P41,Q41,R41,S41,T41)</f>
        <v>obj_00033#0000</v>
      </c>
      <c r="K41" s="11" t="str">
        <f t="shared" si="9"/>
        <v>obj_00017#0000</v>
      </c>
      <c r="L41" s="55" t="s">
        <v>1</v>
      </c>
      <c r="M41" s="55">
        <f t="shared" si="14"/>
        <v>2</v>
      </c>
      <c r="N41" s="36" t="str">
        <f t="shared" si="10"/>
        <v>Australia</v>
      </c>
      <c r="O41" s="34" t="s">
        <v>140</v>
      </c>
      <c r="P41" s="34" t="b">
        <f t="shared" si="11"/>
        <v>0</v>
      </c>
      <c r="Q41" s="3" t="str">
        <f t="shared" si="12"/>
        <v>A/365</v>
      </c>
      <c r="R41" s="10" t="b">
        <v>0</v>
      </c>
      <c r="S41" s="30">
        <f t="shared" si="13"/>
        <v>2</v>
      </c>
      <c r="T41" s="6" t="b">
        <v>1</v>
      </c>
    </row>
    <row r="42" spans="1:20" ht="15.75" x14ac:dyDescent="0.25">
      <c r="A42" s="13" t="str">
        <f>B24</f>
        <v>AUDZC#0000</v>
      </c>
      <c r="C42" s="29" t="str">
        <f>_xll.qlBondEngine(D42,E42,F42,G42,H42)</f>
        <v>Engg#0000</v>
      </c>
      <c r="D42" s="21" t="s">
        <v>296</v>
      </c>
      <c r="E42" s="3" t="str">
        <f>B64</f>
        <v>DF#0000</v>
      </c>
      <c r="F42" s="28" t="b">
        <v>0</v>
      </c>
      <c r="G42" s="28">
        <f>$B$4</f>
        <v>2</v>
      </c>
      <c r="H42" s="28" t="b">
        <v>1</v>
      </c>
      <c r="I42" s="12" t="str">
        <f>_xll.qlDepositRateHelper2(J42,K42,L42,M42,N42,O42,P42,Q42,R42,S42,T42)</f>
        <v>obj_00039#0000</v>
      </c>
      <c r="K42" s="11" t="str">
        <f t="shared" si="9"/>
        <v>obj_00007#0000</v>
      </c>
      <c r="L42" s="55" t="s">
        <v>132</v>
      </c>
      <c r="M42" s="55">
        <f t="shared" si="14"/>
        <v>2</v>
      </c>
      <c r="N42" s="36" t="str">
        <f t="shared" si="10"/>
        <v>Australia</v>
      </c>
      <c r="O42" s="34" t="s">
        <v>140</v>
      </c>
      <c r="P42" s="34" t="b">
        <f t="shared" si="11"/>
        <v>0</v>
      </c>
      <c r="Q42" s="3" t="str">
        <f t="shared" si="12"/>
        <v>A/365</v>
      </c>
      <c r="R42" s="10" t="b">
        <v>0</v>
      </c>
      <c r="S42" s="30">
        <f t="shared" si="13"/>
        <v>2</v>
      </c>
      <c r="T42" s="6" t="b">
        <v>1</v>
      </c>
    </row>
    <row r="43" spans="1:20" x14ac:dyDescent="0.25">
      <c r="A43" s="14"/>
      <c r="D43" s="21"/>
      <c r="F43" s="21"/>
      <c r="G43" s="21"/>
      <c r="I43" s="12" t="str">
        <f>_xll.qlDepositRateHelper2(J43,K43,L43,M43,N43,O43,P43,Q43,R43,S43,T43)</f>
        <v>obj_0002f#0000</v>
      </c>
      <c r="K43" s="11" t="str">
        <f t="shared" si="9"/>
        <v>obj_0000c#0000</v>
      </c>
      <c r="L43" s="55" t="s">
        <v>133</v>
      </c>
      <c r="M43" s="55">
        <f t="shared" si="14"/>
        <v>2</v>
      </c>
      <c r="N43" s="36" t="str">
        <f t="shared" si="10"/>
        <v>Australia</v>
      </c>
      <c r="O43" s="34" t="s">
        <v>140</v>
      </c>
      <c r="P43" s="34" t="b">
        <f t="shared" si="11"/>
        <v>0</v>
      </c>
      <c r="Q43" s="3" t="str">
        <f t="shared" si="12"/>
        <v>A/365</v>
      </c>
      <c r="R43" s="10" t="b">
        <v>0</v>
      </c>
      <c r="S43" s="30">
        <f t="shared" si="13"/>
        <v>2</v>
      </c>
      <c r="T43" s="6" t="b">
        <v>1</v>
      </c>
    </row>
    <row r="44" spans="1:20" x14ac:dyDescent="0.25">
      <c r="A44" s="14" t="str">
        <f>B29</f>
        <v>A/365</v>
      </c>
      <c r="D44" s="21"/>
      <c r="F44" s="21"/>
      <c r="G44" s="21"/>
      <c r="I44" s="12" t="str">
        <f>_xll.qlDepositRateHelper2(J44,K44,L44,M44,N44,O44,P44,Q44,R44,S44,T44)</f>
        <v>obj_00034#0000</v>
      </c>
      <c r="K44" s="11" t="str">
        <f t="shared" ref="K44:K49" si="15">I14</f>
        <v>obj_0000f#0000</v>
      </c>
      <c r="L44" s="5" t="s">
        <v>66</v>
      </c>
      <c r="M44" s="55">
        <f t="shared" si="14"/>
        <v>2</v>
      </c>
      <c r="N44" s="36" t="str">
        <f t="shared" si="10"/>
        <v>Australia</v>
      </c>
      <c r="O44" s="34" t="s">
        <v>140</v>
      </c>
      <c r="P44" s="34" t="b">
        <f t="shared" si="11"/>
        <v>0</v>
      </c>
      <c r="Q44" s="3" t="str">
        <f t="shared" si="12"/>
        <v>A/365</v>
      </c>
      <c r="R44" s="10" t="b">
        <v>0</v>
      </c>
      <c r="S44" s="30">
        <f t="shared" si="13"/>
        <v>2</v>
      </c>
      <c r="T44" s="6" t="b">
        <v>1</v>
      </c>
    </row>
    <row r="45" spans="1:20" x14ac:dyDescent="0.25">
      <c r="A45" s="14" t="s">
        <v>142</v>
      </c>
      <c r="D45" s="21"/>
      <c r="F45" s="21"/>
      <c r="G45" s="21"/>
      <c r="I45" s="12" t="str">
        <f>_xll.qlDepositRateHelper2(J45,K45,L45,M45,N45,O45,P45,Q45,R45,S45,T45)</f>
        <v>obj_0002a#0000</v>
      </c>
      <c r="K45" s="11" t="str">
        <f t="shared" si="15"/>
        <v>obj_0001b#0000</v>
      </c>
      <c r="L45" s="5" t="s">
        <v>277</v>
      </c>
      <c r="M45" s="55">
        <f t="shared" si="14"/>
        <v>2</v>
      </c>
      <c r="N45" s="36" t="str">
        <f t="shared" si="10"/>
        <v>Australia</v>
      </c>
      <c r="O45" s="34" t="s">
        <v>140</v>
      </c>
      <c r="P45" s="34" t="b">
        <f t="shared" si="11"/>
        <v>0</v>
      </c>
      <c r="Q45" s="3" t="str">
        <f t="shared" si="12"/>
        <v>A/365</v>
      </c>
      <c r="R45" s="10" t="b">
        <v>0</v>
      </c>
      <c r="S45" s="30">
        <f t="shared" si="13"/>
        <v>2</v>
      </c>
      <c r="T45" s="6" t="b">
        <v>1</v>
      </c>
    </row>
    <row r="46" spans="1:20" x14ac:dyDescent="0.25">
      <c r="A46" s="14" t="s">
        <v>90</v>
      </c>
      <c r="D46" s="21"/>
      <c r="F46" s="21"/>
      <c r="G46" s="21"/>
      <c r="I46" s="12" t="str">
        <f>_xll.qlDepositRateHelper2(J46,K46,L46,M46,N46,O46,P46,Q46,R46,S46,T46)</f>
        <v>obj_00027#0000</v>
      </c>
      <c r="K46" s="11" t="str">
        <f t="shared" si="15"/>
        <v>obj_00006#0000</v>
      </c>
      <c r="L46" s="5" t="s">
        <v>278</v>
      </c>
      <c r="M46" s="55">
        <f t="shared" si="14"/>
        <v>2</v>
      </c>
      <c r="N46" s="36" t="str">
        <f t="shared" si="10"/>
        <v>Australia</v>
      </c>
      <c r="O46" s="34" t="s">
        <v>140</v>
      </c>
      <c r="P46" s="34" t="b">
        <f t="shared" si="11"/>
        <v>0</v>
      </c>
      <c r="Q46" s="3" t="str">
        <f t="shared" si="12"/>
        <v>A/365</v>
      </c>
      <c r="R46" s="10" t="b">
        <v>0</v>
      </c>
      <c r="S46" s="30">
        <f t="shared" si="13"/>
        <v>2</v>
      </c>
      <c r="T46" s="6" t="b">
        <v>1</v>
      </c>
    </row>
    <row r="47" spans="1:20" x14ac:dyDescent="0.25">
      <c r="A47" s="14" t="b">
        <v>1</v>
      </c>
      <c r="D47" s="21"/>
      <c r="F47" s="21"/>
      <c r="G47" s="21"/>
      <c r="H47" s="18"/>
      <c r="I47" s="12" t="str">
        <f>_xll.qlDepositRateHelper2(J47,K47,L47,M47,N47,O47,P47,Q47,R47,S47,T47)</f>
        <v>obj_00022#0000</v>
      </c>
      <c r="K47" s="11" t="str">
        <f t="shared" si="15"/>
        <v>obj_00002#0000</v>
      </c>
      <c r="L47" s="5" t="s">
        <v>279</v>
      </c>
      <c r="M47" s="55">
        <f t="shared" si="14"/>
        <v>2</v>
      </c>
      <c r="N47" s="36" t="str">
        <f t="shared" si="10"/>
        <v>Australia</v>
      </c>
      <c r="O47" s="34" t="s">
        <v>140</v>
      </c>
      <c r="P47" s="34" t="b">
        <f t="shared" si="11"/>
        <v>0</v>
      </c>
      <c r="Q47" s="3" t="str">
        <f t="shared" si="12"/>
        <v>A/365</v>
      </c>
      <c r="R47" s="10" t="b">
        <v>0</v>
      </c>
      <c r="S47" s="30">
        <f t="shared" si="13"/>
        <v>2</v>
      </c>
      <c r="T47" s="6" t="b">
        <v>1</v>
      </c>
    </row>
    <row r="48" spans="1:20" x14ac:dyDescent="0.25">
      <c r="A48" s="14">
        <f>B4</f>
        <v>2</v>
      </c>
      <c r="D48" s="21"/>
      <c r="F48" s="21"/>
      <c r="G48" s="21"/>
      <c r="H48" s="18"/>
      <c r="I48" s="12" t="str">
        <f>_xll.qlDepositRateHelper2(J48,K48,L48,M48,N48,O48,P48,Q48,R48,S48,T48)</f>
        <v>obj_00029#0000</v>
      </c>
      <c r="K48" s="11" t="str">
        <f t="shared" si="15"/>
        <v>obj_00003#0000</v>
      </c>
      <c r="L48" s="5" t="s">
        <v>280</v>
      </c>
      <c r="M48" s="55">
        <f t="shared" si="14"/>
        <v>2</v>
      </c>
      <c r="N48" s="36" t="str">
        <f t="shared" si="10"/>
        <v>Australia</v>
      </c>
      <c r="O48" s="34" t="s">
        <v>140</v>
      </c>
      <c r="P48" s="34" t="b">
        <f t="shared" si="11"/>
        <v>0</v>
      </c>
      <c r="Q48" s="3" t="str">
        <f t="shared" si="12"/>
        <v>A/365</v>
      </c>
      <c r="R48" s="10" t="b">
        <v>0</v>
      </c>
      <c r="S48" s="30">
        <f t="shared" si="13"/>
        <v>2</v>
      </c>
      <c r="T48" s="6" t="b">
        <v>1</v>
      </c>
    </row>
    <row r="49" spans="1:26" x14ac:dyDescent="0.25">
      <c r="D49" s="21"/>
      <c r="F49" s="21"/>
      <c r="G49" s="21"/>
      <c r="H49" s="18"/>
      <c r="I49" s="12" t="str">
        <f>_xll.qlDepositRateHelper2(J49,K49,L49,M49,N49,O49,P49,Q49,R49,S49,T49)</f>
        <v>obj_00020#0000</v>
      </c>
      <c r="K49" s="11" t="str">
        <f t="shared" si="15"/>
        <v>obj_00008#0000</v>
      </c>
      <c r="L49" s="5" t="s">
        <v>281</v>
      </c>
      <c r="M49" s="55">
        <f t="shared" si="14"/>
        <v>2</v>
      </c>
      <c r="N49" s="36" t="str">
        <f t="shared" si="10"/>
        <v>Australia</v>
      </c>
      <c r="O49" s="34" t="s">
        <v>140</v>
      </c>
      <c r="P49" s="34" t="b">
        <f t="shared" si="11"/>
        <v>0</v>
      </c>
      <c r="Q49" s="3" t="str">
        <f t="shared" si="12"/>
        <v>A/365</v>
      </c>
      <c r="R49" s="10" t="b">
        <v>0</v>
      </c>
      <c r="S49" s="30">
        <f t="shared" si="13"/>
        <v>2</v>
      </c>
      <c r="T49" s="6" t="b">
        <v>1</v>
      </c>
    </row>
    <row r="50" spans="1:26" x14ac:dyDescent="0.25">
      <c r="D50" s="21"/>
      <c r="F50" s="21"/>
      <c r="G50" s="21"/>
      <c r="H50" s="18"/>
      <c r="I50" s="12"/>
      <c r="K50" s="11"/>
      <c r="L50" s="5"/>
      <c r="M50" s="5"/>
      <c r="O50" s="5"/>
      <c r="P50" s="5"/>
    </row>
    <row r="51" spans="1:26" x14ac:dyDescent="0.25">
      <c r="B51" s="3" t="str">
        <f>_xll.ohRangeRetrieveError(B52)</f>
        <v/>
      </c>
      <c r="D51" s="21"/>
      <c r="F51" s="21"/>
      <c r="G51" s="21"/>
      <c r="H51" s="18"/>
      <c r="I51" s="12"/>
      <c r="K51" s="11"/>
      <c r="L51" s="5"/>
      <c r="M51" s="5"/>
      <c r="O51" s="5"/>
      <c r="P51" s="5"/>
    </row>
    <row r="52" spans="1:26" ht="15.75" x14ac:dyDescent="0.25">
      <c r="A52" s="7" t="s">
        <v>145</v>
      </c>
      <c r="B52" s="67" t="str">
        <f>_xll.qlLibor(B53,B54,B55,B56,B57,B58,B59)</f>
        <v>AULIBOR3M#0000</v>
      </c>
      <c r="D52" s="21"/>
      <c r="F52" s="21"/>
      <c r="G52" s="21"/>
      <c r="H52" s="18"/>
      <c r="J52" s="68"/>
      <c r="K52" s="11"/>
      <c r="L52" s="5"/>
      <c r="M52" s="68"/>
      <c r="N52" s="68"/>
      <c r="O52" s="68"/>
      <c r="P52" s="68"/>
    </row>
    <row r="53" spans="1:26" x14ac:dyDescent="0.25">
      <c r="A53" s="3" t="s">
        <v>32</v>
      </c>
      <c r="B53" s="3" t="s">
        <v>287</v>
      </c>
      <c r="F53" s="21"/>
      <c r="G53" s="21"/>
      <c r="H53" s="18"/>
      <c r="I53" s="11"/>
      <c r="J53" s="68" t="s">
        <v>10</v>
      </c>
      <c r="K53" s="68" t="s">
        <v>22</v>
      </c>
      <c r="L53" s="68" t="s">
        <v>50</v>
      </c>
      <c r="M53" s="68" t="s">
        <v>12</v>
      </c>
      <c r="N53" s="68" t="s">
        <v>16</v>
      </c>
      <c r="O53" s="68" t="s">
        <v>51</v>
      </c>
      <c r="P53" s="68" t="s">
        <v>52</v>
      </c>
      <c r="Q53" s="68" t="s">
        <v>53</v>
      </c>
      <c r="R53" s="68" t="s">
        <v>54</v>
      </c>
      <c r="S53" s="68" t="s">
        <v>55</v>
      </c>
      <c r="T53" s="68" t="s">
        <v>56</v>
      </c>
      <c r="U53" s="19" t="s">
        <v>57</v>
      </c>
      <c r="V53" s="68" t="s">
        <v>58</v>
      </c>
      <c r="W53" s="68" t="s">
        <v>59</v>
      </c>
      <c r="X53" s="68" t="s">
        <v>13</v>
      </c>
      <c r="Y53" s="68" t="s">
        <v>14</v>
      </c>
      <c r="Z53" s="68" t="s">
        <v>15</v>
      </c>
    </row>
    <row r="54" spans="1:26" x14ac:dyDescent="0.25">
      <c r="A54" s="3" t="s">
        <v>143</v>
      </c>
      <c r="B54" s="3" t="s">
        <v>227</v>
      </c>
      <c r="C54" s="3" t="b">
        <f>_xll.qlIndexAddFixings(B74,D54:D60,E54:E60,TRUE)</f>
        <v>1</v>
      </c>
      <c r="D54" s="2">
        <v>44532</v>
      </c>
      <c r="E54" s="69">
        <v>5.5000000000000003E-4</v>
      </c>
      <c r="F54" s="21"/>
      <c r="G54" s="21"/>
      <c r="H54" s="18"/>
      <c r="I54" s="11" t="str">
        <f>_xll.qlSwapRateHelper2(J54,K54,L54,M54,N54,O54,P54,Q54,R54,S54,T54,U54,V54,W54,X54,Y54,Z54)</f>
        <v>obj_00025#0000</v>
      </c>
      <c r="K54" s="5" t="str">
        <f>I20</f>
        <v>obj_00005#0000</v>
      </c>
      <c r="L54" s="5">
        <v>2</v>
      </c>
      <c r="M54" s="5" t="s">
        <v>2</v>
      </c>
      <c r="N54" s="2" t="str">
        <f>$B$27</f>
        <v>Australia</v>
      </c>
      <c r="O54" s="3" t="s">
        <v>90</v>
      </c>
      <c r="P54" s="3" t="str">
        <f>$O$43</f>
        <v>F</v>
      </c>
      <c r="Q54" s="3" t="str">
        <f>$Q$43</f>
        <v>A/365</v>
      </c>
      <c r="R54" s="3" t="str">
        <f>$B$6</f>
        <v>AU#0000</v>
      </c>
      <c r="S54" s="3">
        <v>0</v>
      </c>
      <c r="T54" s="3" t="s">
        <v>60</v>
      </c>
      <c r="X54" s="10" t="b">
        <v>0</v>
      </c>
      <c r="Y54" s="30">
        <f t="shared" ref="Y54:Y65" si="16">$B$4</f>
        <v>2</v>
      </c>
      <c r="Z54" s="6" t="b">
        <v>1</v>
      </c>
    </row>
    <row r="55" spans="1:26" x14ac:dyDescent="0.25">
      <c r="A55" s="3" t="s">
        <v>144</v>
      </c>
      <c r="B55" s="3" t="s">
        <v>1</v>
      </c>
      <c r="D55" s="2">
        <v>43985</v>
      </c>
      <c r="E55" s="69">
        <v>1E-3</v>
      </c>
      <c r="F55" s="21"/>
      <c r="G55" s="21"/>
      <c r="I55" s="11" t="str">
        <f>_xll.qlSwapRateHelper2(J55,K55,L55,M55,N55,O55,P55,Q55,R55,S55,T55,U55,V55,W55,X55,Y55,Z55)</f>
        <v>obj_00030#0000</v>
      </c>
      <c r="K55" s="5" t="str">
        <f t="shared" ref="K55:K65" si="17">I21</f>
        <v>obj_00015#0000</v>
      </c>
      <c r="L55" s="5">
        <v>2</v>
      </c>
      <c r="M55" s="5" t="s">
        <v>3</v>
      </c>
      <c r="N55" s="2" t="str">
        <f t="shared" ref="N55:N65" si="18">$B$27</f>
        <v>Australia</v>
      </c>
      <c r="O55" s="3" t="s">
        <v>90</v>
      </c>
      <c r="P55" s="3" t="str">
        <f t="shared" ref="P55:P65" si="19">$O$43</f>
        <v>F</v>
      </c>
      <c r="Q55" s="3" t="str">
        <f t="shared" ref="Q55:Q65" si="20">$Q$43</f>
        <v>A/365</v>
      </c>
      <c r="R55" s="3" t="str">
        <f t="shared" ref="R55:R65" si="21">$B$6</f>
        <v>AU#0000</v>
      </c>
      <c r="S55" s="3">
        <v>0</v>
      </c>
      <c r="T55" s="3" t="s">
        <v>60</v>
      </c>
      <c r="X55" s="10" t="b">
        <v>0</v>
      </c>
      <c r="Y55" s="30">
        <f t="shared" si="16"/>
        <v>2</v>
      </c>
      <c r="Z55" s="6" t="b">
        <v>1</v>
      </c>
    </row>
    <row r="56" spans="1:26" x14ac:dyDescent="0.25">
      <c r="A56" s="3" t="s">
        <v>99</v>
      </c>
      <c r="B56" s="52" t="str">
        <f>B24</f>
        <v>AUDZC#0000</v>
      </c>
      <c r="D56" s="2">
        <v>44077</v>
      </c>
      <c r="E56" s="69">
        <v>8.9999999999999998E-4</v>
      </c>
      <c r="F56" s="21"/>
      <c r="G56" s="21"/>
      <c r="I56" s="11" t="str">
        <f>_xll.qlSwapRateHelper2(J56,K56,L56,M56,N56,O56,P56,Q56,R56,S56,T56,U56,V56,W56,X56,Y56,Z56)</f>
        <v>obj_00032#0000</v>
      </c>
      <c r="K56" s="5" t="str">
        <f t="shared" si="17"/>
        <v>obj_0001e#0000</v>
      </c>
      <c r="L56" s="5">
        <v>2</v>
      </c>
      <c r="M56" s="5" t="s">
        <v>4</v>
      </c>
      <c r="N56" s="2" t="str">
        <f t="shared" si="18"/>
        <v>Australia</v>
      </c>
      <c r="O56" s="3" t="s">
        <v>90</v>
      </c>
      <c r="P56" s="3" t="str">
        <f t="shared" si="19"/>
        <v>F</v>
      </c>
      <c r="Q56" s="3" t="str">
        <f t="shared" si="20"/>
        <v>A/365</v>
      </c>
      <c r="R56" s="3" t="str">
        <f t="shared" si="21"/>
        <v>AU#0000</v>
      </c>
      <c r="S56" s="3">
        <v>0</v>
      </c>
      <c r="T56" s="3" t="s">
        <v>60</v>
      </c>
      <c r="X56" s="10" t="b">
        <v>0</v>
      </c>
      <c r="Y56" s="30">
        <f t="shared" si="16"/>
        <v>2</v>
      </c>
      <c r="Z56" s="6" t="b">
        <v>1</v>
      </c>
    </row>
    <row r="57" spans="1:26" x14ac:dyDescent="0.25">
      <c r="A57" s="3" t="s">
        <v>42</v>
      </c>
      <c r="B57" s="10" t="b">
        <v>0</v>
      </c>
      <c r="D57" s="2">
        <v>44168</v>
      </c>
      <c r="E57" s="69">
        <v>1.9100000000000001E-4</v>
      </c>
      <c r="F57" s="21"/>
      <c r="G57" s="21"/>
      <c r="I57" s="11" t="str">
        <f>_xll.qlSwapRateHelper2(J57,K57,L57,M57,N57,O57,P57,Q57,R57,S57,T57,U57,V57,W57,X57,Y57,Z57)</f>
        <v>obj_00037#0000</v>
      </c>
      <c r="K57" s="5" t="str">
        <f t="shared" si="17"/>
        <v>obj_0001d#0000</v>
      </c>
      <c r="L57" s="5">
        <v>2</v>
      </c>
      <c r="M57" s="5" t="s">
        <v>92</v>
      </c>
      <c r="N57" s="2" t="str">
        <f t="shared" si="18"/>
        <v>Australia</v>
      </c>
      <c r="O57" s="3" t="s">
        <v>90</v>
      </c>
      <c r="P57" s="3" t="str">
        <f t="shared" si="19"/>
        <v>F</v>
      </c>
      <c r="Q57" s="3" t="str">
        <f t="shared" si="20"/>
        <v>A/365</v>
      </c>
      <c r="R57" s="3" t="str">
        <f t="shared" si="21"/>
        <v>AU#0000</v>
      </c>
      <c r="S57" s="3">
        <v>0</v>
      </c>
      <c r="T57" s="3" t="s">
        <v>60</v>
      </c>
      <c r="X57" s="10" t="b">
        <v>0</v>
      </c>
      <c r="Y57" s="30">
        <f t="shared" si="16"/>
        <v>2</v>
      </c>
      <c r="Z57" s="6" t="b">
        <v>1</v>
      </c>
    </row>
    <row r="58" spans="1:26" x14ac:dyDescent="0.25">
      <c r="A58" s="3" t="s">
        <v>43</v>
      </c>
      <c r="B58" s="30">
        <f>$B$4</f>
        <v>2</v>
      </c>
      <c r="D58" s="2">
        <v>44258</v>
      </c>
      <c r="E58" s="69">
        <v>3.77E-4</v>
      </c>
      <c r="F58" s="21"/>
      <c r="G58" s="21"/>
      <c r="I58" s="11" t="str">
        <f>_xll.qlSwapRateHelper2(J58,K58,L58,M58,N58,O58,P58,Q58,R58,S58,T58,U58,V58,W58,X58,Y58,Z58)</f>
        <v>obj_0003b#0000</v>
      </c>
      <c r="K58" s="5" t="str">
        <f t="shared" si="17"/>
        <v>obj_0000b#0000</v>
      </c>
      <c r="L58" s="5">
        <v>2</v>
      </c>
      <c r="M58" s="5" t="s">
        <v>5</v>
      </c>
      <c r="N58" s="2" t="str">
        <f t="shared" si="18"/>
        <v>Australia</v>
      </c>
      <c r="O58" s="3" t="s">
        <v>90</v>
      </c>
      <c r="P58" s="3" t="str">
        <f t="shared" si="19"/>
        <v>F</v>
      </c>
      <c r="Q58" s="3" t="str">
        <f t="shared" si="20"/>
        <v>A/365</v>
      </c>
      <c r="R58" s="3" t="str">
        <f t="shared" si="21"/>
        <v>AU#0000</v>
      </c>
      <c r="S58" s="3">
        <v>0</v>
      </c>
      <c r="T58" s="3" t="s">
        <v>60</v>
      </c>
      <c r="X58" s="10" t="b">
        <v>0</v>
      </c>
      <c r="Y58" s="30">
        <f t="shared" si="16"/>
        <v>2</v>
      </c>
      <c r="Z58" s="6" t="b">
        <v>1</v>
      </c>
    </row>
    <row r="59" spans="1:26" x14ac:dyDescent="0.25">
      <c r="A59" s="3" t="s">
        <v>44</v>
      </c>
      <c r="B59" s="10" t="b">
        <v>1</v>
      </c>
      <c r="D59" s="2">
        <v>44350</v>
      </c>
      <c r="E59" s="69">
        <v>2.5000000000000001E-4</v>
      </c>
      <c r="F59" s="21"/>
      <c r="G59" s="21"/>
      <c r="I59" s="11" t="str">
        <f>_xll.qlSwapRateHelper2(J59,K59,L59,M59,N59,O59,P59,Q59,R59,S59,T59,U59,V59,W59,X59,Y59,Z59)</f>
        <v>obj_00038#0000</v>
      </c>
      <c r="K59" s="5" t="str">
        <f t="shared" si="17"/>
        <v>obj_0001a#0000</v>
      </c>
      <c r="L59" s="5">
        <v>2</v>
      </c>
      <c r="M59" s="5" t="s">
        <v>6</v>
      </c>
      <c r="N59" s="2" t="str">
        <f t="shared" si="18"/>
        <v>Australia</v>
      </c>
      <c r="O59" s="3" t="s">
        <v>90</v>
      </c>
      <c r="P59" s="3" t="str">
        <f t="shared" si="19"/>
        <v>F</v>
      </c>
      <c r="Q59" s="3" t="str">
        <f t="shared" si="20"/>
        <v>A/365</v>
      </c>
      <c r="R59" s="3" t="str">
        <f t="shared" si="21"/>
        <v>AU#0000</v>
      </c>
      <c r="S59" s="3">
        <v>0</v>
      </c>
      <c r="T59" s="3" t="s">
        <v>60</v>
      </c>
      <c r="X59" s="10" t="b">
        <v>0</v>
      </c>
      <c r="Y59" s="30">
        <f t="shared" si="16"/>
        <v>2</v>
      </c>
      <c r="Z59" s="6" t="b">
        <v>1</v>
      </c>
    </row>
    <row r="60" spans="1:26" x14ac:dyDescent="0.25">
      <c r="D60" s="2">
        <v>44441</v>
      </c>
      <c r="E60" s="69">
        <v>1.2E-4</v>
      </c>
      <c r="F60" s="21"/>
      <c r="G60" s="21"/>
      <c r="I60" s="11" t="str">
        <f>_xll.qlSwapRateHelper2(J60,K60,L60,M60,N60,O60,P60,Q60,R60,S60,T60,U60,V60,W60,X60,Y60,Z60)</f>
        <v>obj_00036#0000</v>
      </c>
      <c r="K60" s="5" t="str">
        <f t="shared" si="17"/>
        <v>obj_0001c#0000</v>
      </c>
      <c r="L60" s="5">
        <v>2</v>
      </c>
      <c r="M60" s="5" t="s">
        <v>7</v>
      </c>
      <c r="N60" s="2" t="str">
        <f t="shared" si="18"/>
        <v>Australia</v>
      </c>
      <c r="O60" s="3" t="s">
        <v>90</v>
      </c>
      <c r="P60" s="3" t="str">
        <f t="shared" si="19"/>
        <v>F</v>
      </c>
      <c r="Q60" s="3" t="str">
        <f t="shared" si="20"/>
        <v>A/365</v>
      </c>
      <c r="R60" s="3" t="str">
        <f t="shared" si="21"/>
        <v>AU#0000</v>
      </c>
      <c r="S60" s="3">
        <v>0</v>
      </c>
      <c r="T60" s="3" t="s">
        <v>60</v>
      </c>
      <c r="X60" s="10" t="b">
        <v>0</v>
      </c>
      <c r="Y60" s="30">
        <f t="shared" si="16"/>
        <v>2</v>
      </c>
      <c r="Z60" s="6" t="b">
        <v>1</v>
      </c>
    </row>
    <row r="61" spans="1:26" x14ac:dyDescent="0.25">
      <c r="D61" s="2"/>
      <c r="F61" s="21"/>
      <c r="G61" s="21"/>
      <c r="I61" s="11" t="str">
        <f>_xll.qlSwapRateHelper2(J61,K61,L61,M61,N61,O61,P61,Q61,R61,S61,T61,U61,V61,W61,X61,Y61,Z61)</f>
        <v>obj_00028#0000</v>
      </c>
      <c r="K61" s="5" t="str">
        <f t="shared" si="17"/>
        <v>obj_00004#0000</v>
      </c>
      <c r="L61" s="5">
        <v>2</v>
      </c>
      <c r="M61" s="5" t="s">
        <v>134</v>
      </c>
      <c r="N61" s="2" t="str">
        <f t="shared" si="18"/>
        <v>Australia</v>
      </c>
      <c r="O61" s="3" t="s">
        <v>90</v>
      </c>
      <c r="P61" s="3" t="str">
        <f t="shared" si="19"/>
        <v>F</v>
      </c>
      <c r="Q61" s="3" t="str">
        <f t="shared" si="20"/>
        <v>A/365</v>
      </c>
      <c r="R61" s="3" t="str">
        <f t="shared" si="21"/>
        <v>AU#0000</v>
      </c>
      <c r="S61" s="3">
        <v>0</v>
      </c>
      <c r="T61" s="3" t="s">
        <v>60</v>
      </c>
      <c r="X61" s="10" t="b">
        <v>0</v>
      </c>
      <c r="Y61" s="30">
        <f t="shared" si="16"/>
        <v>2</v>
      </c>
      <c r="Z61" s="6" t="b">
        <v>1</v>
      </c>
    </row>
    <row r="62" spans="1:26" x14ac:dyDescent="0.25">
      <c r="D62" s="2"/>
      <c r="F62" s="51"/>
      <c r="G62" s="51"/>
      <c r="I62" s="11" t="str">
        <f>_xll.qlSwapRateHelper2(J62,K62,L62,M62,N62,O62,P62,Q62,R62,S62,T62,U62,V62,W62,X62,Y62,Z62)</f>
        <v>obj_0002e#0000</v>
      </c>
      <c r="K62" s="5" t="str">
        <f t="shared" si="17"/>
        <v>obj_00016#0000</v>
      </c>
      <c r="L62" s="5">
        <v>2</v>
      </c>
      <c r="M62" s="5" t="s">
        <v>135</v>
      </c>
      <c r="N62" s="2" t="str">
        <f t="shared" si="18"/>
        <v>Australia</v>
      </c>
      <c r="O62" s="3" t="s">
        <v>90</v>
      </c>
      <c r="P62" s="3" t="str">
        <f t="shared" si="19"/>
        <v>F</v>
      </c>
      <c r="Q62" s="3" t="str">
        <f t="shared" si="20"/>
        <v>A/365</v>
      </c>
      <c r="R62" s="3" t="str">
        <f t="shared" si="21"/>
        <v>AU#0000</v>
      </c>
      <c r="S62" s="3">
        <v>0</v>
      </c>
      <c r="T62" s="3" t="s">
        <v>60</v>
      </c>
      <c r="X62" s="10" t="b">
        <v>0</v>
      </c>
      <c r="Y62" s="30">
        <f t="shared" si="16"/>
        <v>2</v>
      </c>
      <c r="Z62" s="6" t="b">
        <v>1</v>
      </c>
    </row>
    <row r="63" spans="1:26" x14ac:dyDescent="0.25">
      <c r="D63" s="2"/>
      <c r="G63" s="21"/>
      <c r="I63" s="11" t="str">
        <f>_xll.qlSwapRateHelper2(J63,K63,L63,M63,N63,O63,P63,Q63,R63,S63,T63,U63,V63,W63,X63,Y63,Z63)</f>
        <v>obj_00035#0000</v>
      </c>
      <c r="K63" s="5" t="str">
        <f t="shared" si="17"/>
        <v>obj_00001#0000</v>
      </c>
      <c r="L63" s="5">
        <v>2</v>
      </c>
      <c r="M63" s="5" t="s">
        <v>136</v>
      </c>
      <c r="N63" s="2" t="str">
        <f t="shared" si="18"/>
        <v>Australia</v>
      </c>
      <c r="O63" s="3" t="s">
        <v>90</v>
      </c>
      <c r="P63" s="3" t="str">
        <f t="shared" si="19"/>
        <v>F</v>
      </c>
      <c r="Q63" s="3" t="str">
        <f t="shared" si="20"/>
        <v>A/365</v>
      </c>
      <c r="R63" s="3" t="str">
        <f t="shared" si="21"/>
        <v>AU#0000</v>
      </c>
      <c r="S63" s="3">
        <v>0</v>
      </c>
      <c r="T63" s="3" t="s">
        <v>60</v>
      </c>
      <c r="X63" s="10" t="b">
        <v>0</v>
      </c>
      <c r="Y63" s="30">
        <f t="shared" si="16"/>
        <v>2</v>
      </c>
      <c r="Z63" s="6" t="b">
        <v>1</v>
      </c>
    </row>
    <row r="64" spans="1:26" ht="15.75" x14ac:dyDescent="0.25">
      <c r="A64" s="3" t="s">
        <v>100</v>
      </c>
      <c r="B64" s="27" t="str">
        <f>_xll.qlDiscountCurve(B65,E2:E31,G2:G31,B68,B69,B70,B71)</f>
        <v>DF#0000</v>
      </c>
      <c r="D64" s="2"/>
      <c r="G64" s="21"/>
      <c r="I64" s="11" t="str">
        <f>_xll.qlSwapRateHelper2(J64,K64,L64,M64,N64,O64,P64,Q64,R64,S64,T64,U64,V64,W64,X64,Y64,Z64)</f>
        <v>obj_00021#0000</v>
      </c>
      <c r="K64" s="5" t="str">
        <f t="shared" si="17"/>
        <v>obj_00012#0000</v>
      </c>
      <c r="L64" s="5">
        <v>2</v>
      </c>
      <c r="M64" s="5" t="s">
        <v>137</v>
      </c>
      <c r="N64" s="2" t="str">
        <f t="shared" si="18"/>
        <v>Australia</v>
      </c>
      <c r="O64" s="3" t="s">
        <v>90</v>
      </c>
      <c r="P64" s="3" t="str">
        <f t="shared" si="19"/>
        <v>F</v>
      </c>
      <c r="Q64" s="3" t="str">
        <f t="shared" si="20"/>
        <v>A/365</v>
      </c>
      <c r="R64" s="3" t="str">
        <f t="shared" si="21"/>
        <v>AU#0000</v>
      </c>
      <c r="S64" s="3">
        <v>0</v>
      </c>
      <c r="T64" s="3" t="s">
        <v>60</v>
      </c>
      <c r="X64" s="10" t="b">
        <v>0</v>
      </c>
      <c r="Y64" s="30">
        <f t="shared" si="16"/>
        <v>2</v>
      </c>
      <c r="Z64" s="6" t="b">
        <v>1</v>
      </c>
    </row>
    <row r="65" spans="1:26" x14ac:dyDescent="0.25">
      <c r="A65" s="3" t="s">
        <v>32</v>
      </c>
      <c r="B65" s="3" t="s">
        <v>288</v>
      </c>
      <c r="D65" s="2"/>
      <c r="G65" s="21"/>
      <c r="I65" s="11" t="str">
        <f>_xll.qlSwapRateHelper2(J65,K65,L65,M65,N65,O65,P65,Q65,R65,S65,T65,U65,V65,W65,X65,Y65,Z65)</f>
        <v>obj_0003a#0000</v>
      </c>
      <c r="K65" s="5" t="str">
        <f t="shared" si="17"/>
        <v>obj_0000d#0000</v>
      </c>
      <c r="L65" s="5">
        <v>2</v>
      </c>
      <c r="M65" s="5" t="s">
        <v>138</v>
      </c>
      <c r="N65" s="2" t="str">
        <f t="shared" si="18"/>
        <v>Australia</v>
      </c>
      <c r="O65" s="3" t="s">
        <v>90</v>
      </c>
      <c r="P65" s="3" t="str">
        <f t="shared" si="19"/>
        <v>F</v>
      </c>
      <c r="Q65" s="3" t="str">
        <f t="shared" si="20"/>
        <v>A/365</v>
      </c>
      <c r="R65" s="3" t="str">
        <f t="shared" si="21"/>
        <v>AU#0000</v>
      </c>
      <c r="S65" s="3">
        <v>0</v>
      </c>
      <c r="T65" s="3" t="s">
        <v>60</v>
      </c>
      <c r="X65" s="10" t="b">
        <v>0</v>
      </c>
      <c r="Y65" s="30">
        <f t="shared" si="16"/>
        <v>2</v>
      </c>
      <c r="Z65" s="6" t="b">
        <v>1</v>
      </c>
    </row>
    <row r="66" spans="1:26" x14ac:dyDescent="0.25">
      <c r="A66" s="3" t="s">
        <v>101</v>
      </c>
      <c r="D66" s="2"/>
      <c r="G66" s="21"/>
      <c r="I66" s="12"/>
      <c r="K66" s="5"/>
      <c r="L66" s="5"/>
      <c r="M66" s="5"/>
      <c r="N66" s="2"/>
      <c r="X66" s="10"/>
      <c r="Y66" s="30"/>
      <c r="Z66" s="6"/>
    </row>
    <row r="67" spans="1:26" x14ac:dyDescent="0.25">
      <c r="A67" s="3" t="s">
        <v>102</v>
      </c>
      <c r="D67" s="2"/>
      <c r="G67" s="21"/>
      <c r="I67" s="12"/>
      <c r="K67" s="5"/>
      <c r="L67" s="5"/>
      <c r="M67" s="5"/>
      <c r="N67" s="2"/>
      <c r="X67" s="10"/>
      <c r="Y67" s="30"/>
      <c r="Z67" s="6"/>
    </row>
    <row r="68" spans="1:26" x14ac:dyDescent="0.25">
      <c r="A68" s="3" t="s">
        <v>36</v>
      </c>
      <c r="B68" s="3" t="str">
        <f>B15</f>
        <v>A/365</v>
      </c>
      <c r="D68" s="2"/>
      <c r="G68" s="21"/>
      <c r="I68" s="12"/>
      <c r="K68" s="5"/>
      <c r="L68" s="5"/>
      <c r="M68" s="5"/>
      <c r="N68" s="2"/>
      <c r="X68" s="10"/>
      <c r="Y68" s="30"/>
      <c r="Z68" s="6"/>
    </row>
    <row r="69" spans="1:26" x14ac:dyDescent="0.25">
      <c r="A69" s="3" t="s">
        <v>42</v>
      </c>
      <c r="B69" s="3" t="b">
        <v>0</v>
      </c>
      <c r="D69" s="2"/>
      <c r="G69" s="21"/>
    </row>
    <row r="70" spans="1:26" x14ac:dyDescent="0.25">
      <c r="A70" s="3" t="s">
        <v>43</v>
      </c>
      <c r="B70" s="30">
        <f>$B$4</f>
        <v>2</v>
      </c>
      <c r="D70" s="2"/>
      <c r="G70" s="21"/>
    </row>
    <row r="71" spans="1:26" x14ac:dyDescent="0.25">
      <c r="A71" s="3" t="s">
        <v>44</v>
      </c>
      <c r="B71" s="3" t="b">
        <v>1</v>
      </c>
      <c r="D71" s="2"/>
      <c r="G71" s="21"/>
    </row>
    <row r="72" spans="1:26" x14ac:dyDescent="0.25">
      <c r="D72" s="2"/>
      <c r="G72" s="21"/>
    </row>
    <row r="73" spans="1:26" x14ac:dyDescent="0.25">
      <c r="D73" s="2"/>
      <c r="G73" s="21"/>
    </row>
    <row r="74" spans="1:26" x14ac:dyDescent="0.25">
      <c r="A74" s="3" t="s">
        <v>289</v>
      </c>
      <c r="B74" s="52" t="str">
        <f>_xll.qlIborIndex(B75,B76,B77,B78,B79,B80,B81,B82,B83,B84,B85,B86,B87)</f>
        <v>AUDIndex#0000</v>
      </c>
      <c r="D74" s="2"/>
      <c r="G74" s="21"/>
    </row>
    <row r="75" spans="1:26" x14ac:dyDescent="0.25">
      <c r="A75" s="3" t="s">
        <v>32</v>
      </c>
      <c r="B75" s="3" t="s">
        <v>295</v>
      </c>
      <c r="D75" s="2"/>
      <c r="G75" s="21"/>
    </row>
    <row r="76" spans="1:26" x14ac:dyDescent="0.25">
      <c r="A76" s="3" t="s">
        <v>290</v>
      </c>
      <c r="B76" s="3" t="s">
        <v>297</v>
      </c>
      <c r="D76" s="2"/>
      <c r="G76" s="21"/>
    </row>
    <row r="77" spans="1:26" x14ac:dyDescent="0.25">
      <c r="A77" s="3" t="s">
        <v>144</v>
      </c>
      <c r="B77" s="3" t="s">
        <v>1</v>
      </c>
      <c r="D77" s="2"/>
      <c r="G77" s="21"/>
    </row>
    <row r="78" spans="1:26" x14ac:dyDescent="0.25">
      <c r="A78" s="3" t="s">
        <v>267</v>
      </c>
      <c r="B78" s="3">
        <v>2</v>
      </c>
      <c r="D78" s="2"/>
      <c r="G78" s="21"/>
    </row>
    <row r="79" spans="1:26" x14ac:dyDescent="0.25">
      <c r="A79" s="3" t="s">
        <v>143</v>
      </c>
      <c r="B79" s="3" t="s">
        <v>294</v>
      </c>
      <c r="D79" s="2"/>
      <c r="G79" s="21"/>
    </row>
    <row r="80" spans="1:26" x14ac:dyDescent="0.25">
      <c r="A80" s="3" t="s">
        <v>34</v>
      </c>
      <c r="B80" s="2" t="str">
        <f>B27</f>
        <v>Australia</v>
      </c>
      <c r="D80" s="2"/>
    </row>
    <row r="81" spans="1:4" x14ac:dyDescent="0.25">
      <c r="A81" s="3" t="s">
        <v>291</v>
      </c>
      <c r="B81" s="3" t="s">
        <v>96</v>
      </c>
      <c r="D81" s="2"/>
    </row>
    <row r="82" spans="1:4" x14ac:dyDescent="0.25">
      <c r="A82" s="3" t="s">
        <v>292</v>
      </c>
      <c r="B82" s="3" t="b">
        <v>0</v>
      </c>
      <c r="D82" s="2"/>
    </row>
    <row r="83" spans="1:4" x14ac:dyDescent="0.25">
      <c r="A83" s="3" t="s">
        <v>36</v>
      </c>
      <c r="B83" s="3" t="str">
        <f>B29</f>
        <v>A/365</v>
      </c>
      <c r="D83" s="2"/>
    </row>
    <row r="84" spans="1:4" x14ac:dyDescent="0.25">
      <c r="A84" s="3" t="s">
        <v>293</v>
      </c>
      <c r="B84" s="3" t="str">
        <f>B24</f>
        <v>AUDZC#0000</v>
      </c>
      <c r="D84" s="2"/>
    </row>
    <row r="85" spans="1:4" x14ac:dyDescent="0.25">
      <c r="A85" s="3" t="s">
        <v>42</v>
      </c>
      <c r="B85" s="3" t="b">
        <v>0</v>
      </c>
      <c r="D85" s="2"/>
    </row>
    <row r="86" spans="1:4" x14ac:dyDescent="0.25">
      <c r="A86" s="3" t="s">
        <v>43</v>
      </c>
      <c r="B86" s="30">
        <f>$B$4</f>
        <v>2</v>
      </c>
      <c r="D86" s="2"/>
    </row>
    <row r="87" spans="1:4" x14ac:dyDescent="0.25">
      <c r="A87" s="3" t="s">
        <v>44</v>
      </c>
      <c r="B87" s="3" t="b">
        <v>1</v>
      </c>
      <c r="D87" s="2"/>
    </row>
    <row r="88" spans="1:4" x14ac:dyDescent="0.25">
      <c r="D88" s="2"/>
    </row>
    <row r="89" spans="1:4" x14ac:dyDescent="0.25">
      <c r="D89" s="2"/>
    </row>
    <row r="90" spans="1:4" x14ac:dyDescent="0.25">
      <c r="D90" s="2"/>
    </row>
    <row r="91" spans="1:4" x14ac:dyDescent="0.25">
      <c r="D91" s="2"/>
    </row>
    <row r="92" spans="1:4" x14ac:dyDescent="0.25">
      <c r="D92" s="2"/>
    </row>
    <row r="93" spans="1:4" x14ac:dyDescent="0.25">
      <c r="D93" s="2"/>
    </row>
    <row r="94" spans="1:4" x14ac:dyDescent="0.25">
      <c r="D94" s="2"/>
    </row>
    <row r="95" spans="1:4" x14ac:dyDescent="0.25">
      <c r="D95" s="2"/>
    </row>
    <row r="96" spans="1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AD106"/>
  <sheetViews>
    <sheetView workbookViewId="0">
      <selection activeCell="N3" sqref="N3"/>
    </sheetView>
  </sheetViews>
  <sheetFormatPr defaultRowHeight="16.5" x14ac:dyDescent="0.25"/>
  <cols>
    <col min="1" max="1" width="18.875" customWidth="1"/>
    <col min="2" max="5" width="11" customWidth="1"/>
    <col min="6" max="6" width="11" style="60" customWidth="1"/>
    <col min="7" max="10" width="11" customWidth="1"/>
    <col min="11" max="11" width="9.75" customWidth="1"/>
    <col min="12" max="12" width="8.625" customWidth="1"/>
    <col min="13" max="15" width="11" customWidth="1"/>
    <col min="17" max="17" width="13.75" customWidth="1"/>
    <col min="19" max="20" width="10.75" customWidth="1"/>
    <col min="24" max="24" width="9" style="25"/>
    <col min="25" max="25" width="10.375" style="25" customWidth="1"/>
    <col min="26" max="26" width="11.125" customWidth="1"/>
  </cols>
  <sheetData>
    <row r="1" spans="1:30" ht="26.25" x14ac:dyDescent="0.25">
      <c r="A1" s="31" t="s">
        <v>88</v>
      </c>
      <c r="B1" s="37" t="s">
        <v>10</v>
      </c>
      <c r="C1" s="20" t="s">
        <v>70</v>
      </c>
      <c r="D1" s="20" t="s">
        <v>71</v>
      </c>
      <c r="E1" s="37" t="s">
        <v>12</v>
      </c>
      <c r="F1" s="7" t="s">
        <v>16</v>
      </c>
      <c r="G1" s="37" t="s">
        <v>24</v>
      </c>
      <c r="H1" s="37" t="s">
        <v>72</v>
      </c>
      <c r="I1" s="37" t="s">
        <v>73</v>
      </c>
      <c r="J1" s="37" t="s">
        <v>25</v>
      </c>
      <c r="K1" s="37" t="s">
        <v>74</v>
      </c>
      <c r="L1" s="37" t="s">
        <v>75</v>
      </c>
      <c r="M1" s="37" t="s">
        <v>13</v>
      </c>
      <c r="N1" s="37" t="s">
        <v>14</v>
      </c>
      <c r="O1" s="37" t="s">
        <v>15</v>
      </c>
      <c r="Q1" s="57" t="s">
        <v>234</v>
      </c>
      <c r="R1" s="57" t="s">
        <v>235</v>
      </c>
      <c r="S1" s="58" t="s">
        <v>236</v>
      </c>
      <c r="T1" s="58" t="s">
        <v>237</v>
      </c>
      <c r="U1" s="59" t="s">
        <v>238</v>
      </c>
      <c r="V1" s="57" t="s">
        <v>239</v>
      </c>
      <c r="W1" s="57" t="s">
        <v>218</v>
      </c>
      <c r="X1" s="57" t="s">
        <v>240</v>
      </c>
      <c r="Y1" s="57" t="s">
        <v>241</v>
      </c>
    </row>
    <row r="2" spans="1:30" hidden="1" x14ac:dyDescent="0.25">
      <c r="A2" s="27" t="e">
        <f>_xll.qlSchedule(B2,C2,D2,E2,F2,G2,H2,I2,J2,K2,L2,M2,N2,O2)</f>
        <v>#NUM!</v>
      </c>
      <c r="B2" s="35" t="str">
        <f>Q2&amp;"Sch"</f>
        <v>AU3CB0278232Sch</v>
      </c>
      <c r="C2" s="36">
        <v>44259</v>
      </c>
      <c r="D2" s="36">
        <v>46085</v>
      </c>
      <c r="E2" s="34" t="str">
        <f>VLOOKUP(W2,Reference!$A$6:$B$8,2,FALSE)</f>
        <v>6M</v>
      </c>
      <c r="F2" s="35" t="str">
        <f>VLOOKUP(U2,Reference!$C$2:$D$6,2,FALSE)</f>
        <v>Australia</v>
      </c>
      <c r="G2" s="34" t="s">
        <v>96</v>
      </c>
      <c r="H2" s="34" t="s">
        <v>69</v>
      </c>
      <c r="I2" s="34" t="s">
        <v>97</v>
      </c>
      <c r="J2" s="34" t="b">
        <v>0</v>
      </c>
      <c r="K2" s="34"/>
      <c r="L2" s="34"/>
      <c r="M2" s="34" t="b">
        <v>0</v>
      </c>
      <c r="N2" s="34" t="e">
        <f>#REF!</f>
        <v>#REF!</v>
      </c>
      <c r="O2" s="34" t="b">
        <v>1</v>
      </c>
      <c r="Q2" s="25" t="s">
        <v>146</v>
      </c>
      <c r="R2" s="25" t="s">
        <v>242</v>
      </c>
      <c r="S2" s="26">
        <v>44259</v>
      </c>
      <c r="T2" s="26">
        <v>46085</v>
      </c>
      <c r="U2" s="28" t="s">
        <v>225</v>
      </c>
      <c r="V2" s="25">
        <v>17000000</v>
      </c>
      <c r="W2" s="25">
        <v>2</v>
      </c>
      <c r="X2" s="25">
        <v>1.2</v>
      </c>
      <c r="Y2" s="25" t="s">
        <v>243</v>
      </c>
      <c r="Z2" t="e">
        <f>A2</f>
        <v>#NUM!</v>
      </c>
      <c r="AA2" t="e">
        <f>VLOOKUP(Q2,$AC:$AD,2,FALSE)</f>
        <v>#N/A</v>
      </c>
      <c r="AB2">
        <v>96.374000549316406</v>
      </c>
      <c r="AC2" t="s">
        <v>204</v>
      </c>
      <c r="AD2" t="s">
        <v>246</v>
      </c>
    </row>
    <row r="3" spans="1:30" x14ac:dyDescent="0.25">
      <c r="A3" s="27" t="str">
        <f>_xll.qlSchedule(B3,C3,D3,E3,F3,G3,H3,I3,J3,K3,L3,M3,N3,O3)</f>
        <v>AU3FN0054425Sch#0001</v>
      </c>
      <c r="B3" s="35" t="str">
        <f>Q3&amp;"Sch"</f>
        <v>AU3FN0054425Sch</v>
      </c>
      <c r="C3" s="36">
        <v>43987</v>
      </c>
      <c r="D3" s="36">
        <v>45813</v>
      </c>
      <c r="E3" s="34" t="str">
        <f>VLOOKUP(W3,Reference!$A$6:$B$8,2,FALSE)</f>
        <v>3M</v>
      </c>
      <c r="F3" s="35" t="str">
        <f>VLOOKUP(U3,Reference!$C$2:$D$6,2,FALSE)</f>
        <v>Australia</v>
      </c>
      <c r="G3" s="34" t="s">
        <v>96</v>
      </c>
      <c r="H3" s="34" t="s">
        <v>69</v>
      </c>
      <c r="I3" s="34" t="s">
        <v>97</v>
      </c>
      <c r="J3" s="34" t="b">
        <v>0</v>
      </c>
      <c r="K3" s="34"/>
      <c r="L3" s="34"/>
      <c r="M3" s="34" t="b">
        <v>0</v>
      </c>
      <c r="N3" s="34">
        <f>Pricing!$A$1</f>
        <v>1</v>
      </c>
      <c r="O3" s="34" t="b">
        <v>1</v>
      </c>
      <c r="Q3" s="70" t="s">
        <v>147</v>
      </c>
      <c r="R3" s="25" t="s">
        <v>244</v>
      </c>
      <c r="S3" s="26">
        <v>43987</v>
      </c>
      <c r="T3" s="26">
        <v>45813</v>
      </c>
      <c r="U3" s="28" t="s">
        <v>225</v>
      </c>
      <c r="V3" s="25">
        <v>15000000</v>
      </c>
      <c r="W3" s="25">
        <v>4</v>
      </c>
      <c r="X3" s="25">
        <v>1.2050000000000001</v>
      </c>
      <c r="Y3" s="25">
        <v>1.1499999999999999</v>
      </c>
      <c r="Z3" t="str">
        <f>A3</f>
        <v>AU3FN0054425Sch#0001</v>
      </c>
      <c r="AA3" t="e">
        <f>VLOOKUP(Q3,$AC:$AD,2,FALSE)</f>
        <v>#N/A</v>
      </c>
      <c r="AB3">
        <v>102.0849990844727</v>
      </c>
      <c r="AC3" t="s">
        <v>152</v>
      </c>
      <c r="AD3" t="s">
        <v>249</v>
      </c>
    </row>
    <row r="4" spans="1:30" x14ac:dyDescent="0.25">
      <c r="A4" s="27"/>
      <c r="B4" s="35"/>
      <c r="C4" s="36"/>
      <c r="D4" s="36"/>
      <c r="E4" s="34"/>
      <c r="F4" s="35"/>
      <c r="G4" s="34"/>
      <c r="H4" s="34"/>
      <c r="I4" s="34"/>
      <c r="J4" s="34"/>
      <c r="K4" s="34"/>
      <c r="L4" s="34"/>
      <c r="M4" s="34"/>
      <c r="N4" s="34"/>
      <c r="O4" s="34"/>
      <c r="Q4" s="25"/>
      <c r="R4" s="25"/>
      <c r="S4" s="26"/>
      <c r="T4" s="26"/>
      <c r="U4" s="28"/>
      <c r="V4" s="25"/>
      <c r="W4" s="25"/>
    </row>
    <row r="5" spans="1:30" x14ac:dyDescent="0.25">
      <c r="A5" s="27"/>
      <c r="B5" s="35"/>
      <c r="C5" s="36"/>
      <c r="D5" s="36"/>
      <c r="E5" s="34"/>
      <c r="F5" s="35"/>
      <c r="G5" s="34"/>
      <c r="H5" s="34"/>
      <c r="I5" s="34"/>
      <c r="J5" s="34"/>
      <c r="K5" s="34"/>
      <c r="L5" s="34"/>
      <c r="M5" s="34"/>
      <c r="N5" s="34"/>
      <c r="O5" s="34"/>
      <c r="Q5" s="25"/>
      <c r="R5" s="25"/>
      <c r="S5" s="26"/>
      <c r="T5" s="26"/>
      <c r="U5" s="28"/>
      <c r="V5" s="25"/>
      <c r="W5" s="25"/>
    </row>
    <row r="6" spans="1:30" hidden="1" x14ac:dyDescent="0.25">
      <c r="A6" s="27" t="e">
        <f>_xll.qlSchedule(B6,C6,D6,E6,F6,G6,H6,I6,J6,K6,L6,M6,N6,O6)</f>
        <v>#NUM!</v>
      </c>
      <c r="B6" s="35" t="str">
        <f>Q6&amp;"Sch"</f>
        <v>XS2289799889Sch</v>
      </c>
      <c r="C6" s="36">
        <v>44218</v>
      </c>
      <c r="D6" s="36">
        <v>45313</v>
      </c>
      <c r="E6" s="34" t="str">
        <f>VLOOKUP(W6,Reference!$A$6:$B$8,2,FALSE)</f>
        <v>1Y</v>
      </c>
      <c r="F6" s="35" t="str">
        <f>VLOOKUP(U6,Reference!$C$2:$D$6,2,FALSE)</f>
        <v>Australia</v>
      </c>
      <c r="G6" s="34" t="s">
        <v>96</v>
      </c>
      <c r="H6" s="34" t="s">
        <v>69</v>
      </c>
      <c r="I6" s="34" t="s">
        <v>97</v>
      </c>
      <c r="J6" s="34" t="b">
        <v>0</v>
      </c>
      <c r="K6" s="34"/>
      <c r="L6" s="34"/>
      <c r="M6" s="34" t="b">
        <v>0</v>
      </c>
      <c r="N6" s="34" t="e">
        <f>#REF!</f>
        <v>#REF!</v>
      </c>
      <c r="O6" s="34" t="b">
        <v>1</v>
      </c>
      <c r="Q6" s="25" t="s">
        <v>150</v>
      </c>
      <c r="R6" s="25" t="s">
        <v>242</v>
      </c>
      <c r="S6" s="26">
        <v>44218</v>
      </c>
      <c r="T6" s="26">
        <v>45313</v>
      </c>
      <c r="U6" s="28" t="s">
        <v>225</v>
      </c>
      <c r="V6" s="25">
        <v>4000000</v>
      </c>
      <c r="W6" s="25">
        <v>1</v>
      </c>
      <c r="X6" s="25">
        <v>0.75</v>
      </c>
      <c r="Y6" s="25" t="s">
        <v>243</v>
      </c>
      <c r="Z6" t="e">
        <f>A6</f>
        <v>#NUM!</v>
      </c>
      <c r="AA6" t="str">
        <f>VLOOKUP(Q6,$AC:$AD,2,FALSE)</f>
        <v>A-(Fitch)</v>
      </c>
      <c r="AB6">
        <v>98.351398134557755</v>
      </c>
      <c r="AC6" t="s">
        <v>148</v>
      </c>
      <c r="AD6" t="s">
        <v>249</v>
      </c>
    </row>
    <row r="7" spans="1:30" hidden="1" x14ac:dyDescent="0.25">
      <c r="A7" s="27" t="e">
        <f>_xll.qlSchedule(B7,C7,D7,E7,F7,G7,H7,I7,J7,K7,L7,M7,N7,O7)</f>
        <v>#NUM!</v>
      </c>
      <c r="B7" s="35" t="str">
        <f>Q7&amp;"Sch"</f>
        <v>AU3CB0268134Sch</v>
      </c>
      <c r="C7" s="36">
        <v>43775</v>
      </c>
      <c r="D7" s="36">
        <v>47428</v>
      </c>
      <c r="E7" s="34" t="str">
        <f>VLOOKUP(W7,Reference!$A$6:$B$8,2,FALSE)</f>
        <v>6M</v>
      </c>
      <c r="F7" s="35" t="str">
        <f>VLOOKUP(U7,Reference!$C$2:$D$6,2,FALSE)</f>
        <v>Australia</v>
      </c>
      <c r="G7" s="34" t="s">
        <v>96</v>
      </c>
      <c r="H7" s="34" t="s">
        <v>69</v>
      </c>
      <c r="I7" s="34" t="s">
        <v>97</v>
      </c>
      <c r="J7" s="34" t="b">
        <v>0</v>
      </c>
      <c r="K7" s="34"/>
      <c r="L7" s="34"/>
      <c r="M7" s="34" t="b">
        <v>0</v>
      </c>
      <c r="N7" s="34" t="e">
        <f>#REF!</f>
        <v>#REF!</v>
      </c>
      <c r="O7" s="34" t="b">
        <v>1</v>
      </c>
      <c r="Q7" s="25" t="s">
        <v>151</v>
      </c>
      <c r="R7" s="25" t="s">
        <v>242</v>
      </c>
      <c r="S7" s="26">
        <v>43775</v>
      </c>
      <c r="T7" s="26">
        <v>47428</v>
      </c>
      <c r="U7" s="28" t="s">
        <v>225</v>
      </c>
      <c r="V7" s="25">
        <v>3000000</v>
      </c>
      <c r="W7" s="25">
        <v>2</v>
      </c>
      <c r="X7" s="25">
        <v>2.65</v>
      </c>
      <c r="Y7" s="25" t="s">
        <v>243</v>
      </c>
      <c r="Z7" t="e">
        <f>A7</f>
        <v>#NUM!</v>
      </c>
      <c r="AA7" t="e">
        <f>VLOOKUP(Q7,$AC:$AD,2,FALSE)</f>
        <v>#N/A</v>
      </c>
      <c r="AB7">
        <v>98.12</v>
      </c>
      <c r="AC7" t="s">
        <v>153</v>
      </c>
      <c r="AD7" t="s">
        <v>103</v>
      </c>
    </row>
    <row r="8" spans="1:30" x14ac:dyDescent="0.25">
      <c r="A8" s="27"/>
      <c r="B8" s="35"/>
      <c r="C8" s="36"/>
      <c r="D8" s="36"/>
      <c r="E8" s="34"/>
      <c r="F8" s="35"/>
      <c r="G8" s="34"/>
      <c r="H8" s="34"/>
      <c r="I8" s="34"/>
      <c r="J8" s="34"/>
      <c r="K8" s="34"/>
      <c r="L8" s="34"/>
      <c r="M8" s="34"/>
      <c r="N8" s="34"/>
      <c r="O8" s="34"/>
      <c r="Q8" s="25"/>
      <c r="R8" s="25"/>
      <c r="S8" s="26"/>
      <c r="T8" s="26"/>
      <c r="U8" s="28"/>
      <c r="V8" s="25"/>
      <c r="W8" s="25"/>
    </row>
    <row r="9" spans="1:30" x14ac:dyDescent="0.25">
      <c r="A9" s="27"/>
      <c r="B9" s="35"/>
      <c r="C9" s="36"/>
      <c r="D9" s="36"/>
      <c r="E9" s="34"/>
      <c r="F9" s="35"/>
      <c r="G9" s="34"/>
      <c r="H9" s="34"/>
      <c r="I9" s="34"/>
      <c r="J9" s="34"/>
      <c r="K9" s="34"/>
      <c r="L9" s="34"/>
      <c r="M9" s="34"/>
      <c r="N9" s="34"/>
      <c r="O9" s="34"/>
      <c r="Q9" s="25"/>
      <c r="R9" s="25"/>
      <c r="S9" s="26"/>
      <c r="T9" s="26"/>
      <c r="U9" s="28"/>
      <c r="V9" s="25"/>
      <c r="W9" s="25"/>
    </row>
    <row r="10" spans="1:30" x14ac:dyDescent="0.25">
      <c r="A10" s="27"/>
      <c r="B10" s="35"/>
      <c r="C10" s="36"/>
      <c r="D10" s="36"/>
      <c r="E10" s="34"/>
      <c r="F10" s="35"/>
      <c r="G10" s="34"/>
      <c r="H10" s="34"/>
      <c r="I10" s="34"/>
      <c r="J10" s="34"/>
      <c r="K10" s="34"/>
      <c r="L10" s="34"/>
      <c r="M10" s="34"/>
      <c r="N10" s="34"/>
      <c r="O10" s="34"/>
      <c r="Q10" s="25"/>
      <c r="R10" s="25"/>
      <c r="S10" s="26"/>
      <c r="T10" s="26"/>
      <c r="U10" s="28"/>
      <c r="V10" s="25"/>
      <c r="W10" s="25"/>
    </row>
    <row r="11" spans="1:30" x14ac:dyDescent="0.25">
      <c r="A11" s="27"/>
      <c r="B11" s="35"/>
      <c r="C11" s="36"/>
      <c r="D11" s="36"/>
      <c r="E11" s="34"/>
      <c r="F11" s="35"/>
      <c r="G11" s="34"/>
      <c r="H11" s="34"/>
      <c r="I11" s="34"/>
      <c r="J11" s="34"/>
      <c r="K11" s="34"/>
      <c r="L11" s="34"/>
      <c r="M11" s="34"/>
      <c r="N11" s="34"/>
      <c r="O11" s="34"/>
      <c r="Q11" s="25"/>
      <c r="R11" s="25"/>
      <c r="S11" s="26"/>
      <c r="T11" s="26"/>
      <c r="U11" s="28"/>
      <c r="V11" s="25"/>
      <c r="W11" s="25"/>
    </row>
    <row r="12" spans="1:30" x14ac:dyDescent="0.25">
      <c r="A12" s="27"/>
      <c r="B12" s="35"/>
      <c r="C12" s="36"/>
      <c r="D12" s="36"/>
      <c r="E12" s="34"/>
      <c r="F12" s="35"/>
      <c r="G12" s="34"/>
      <c r="H12" s="34"/>
      <c r="I12" s="34"/>
      <c r="J12" s="34"/>
      <c r="K12" s="34"/>
      <c r="L12" s="34"/>
      <c r="M12" s="34"/>
      <c r="N12" s="34"/>
      <c r="O12" s="34"/>
      <c r="Q12" s="25"/>
      <c r="R12" s="25"/>
      <c r="S12" s="26"/>
      <c r="T12" s="26"/>
      <c r="U12" s="28"/>
      <c r="V12" s="25"/>
      <c r="W12" s="25"/>
    </row>
    <row r="13" spans="1:30" x14ac:dyDescent="0.25">
      <c r="A13" s="27"/>
      <c r="B13" s="35"/>
      <c r="C13" s="36"/>
      <c r="D13" s="36"/>
      <c r="E13" s="34"/>
      <c r="F13" s="35"/>
      <c r="G13" s="34"/>
      <c r="H13" s="34"/>
      <c r="I13" s="34"/>
      <c r="J13" s="34"/>
      <c r="K13" s="34"/>
      <c r="L13" s="34"/>
      <c r="M13" s="34"/>
      <c r="N13" s="34"/>
      <c r="O13" s="34"/>
      <c r="Q13" s="25"/>
      <c r="R13" s="25"/>
      <c r="S13" s="26"/>
      <c r="T13" s="26"/>
      <c r="U13" s="28"/>
      <c r="V13" s="25"/>
      <c r="W13" s="25"/>
    </row>
    <row r="14" spans="1:30" x14ac:dyDescent="0.25">
      <c r="A14" s="27"/>
      <c r="B14" s="35"/>
      <c r="C14" s="36"/>
      <c r="D14" s="36"/>
      <c r="E14" s="34"/>
      <c r="F14" s="35"/>
      <c r="G14" s="34"/>
      <c r="H14" s="34"/>
      <c r="I14" s="34"/>
      <c r="J14" s="34"/>
      <c r="K14" s="34"/>
      <c r="L14" s="34"/>
      <c r="M14" s="34"/>
      <c r="N14" s="34"/>
      <c r="O14" s="34"/>
      <c r="Q14" s="25"/>
      <c r="R14" s="25"/>
      <c r="S14" s="26"/>
      <c r="T14" s="26"/>
      <c r="U14" s="28"/>
      <c r="V14" s="25"/>
      <c r="W14" s="25"/>
    </row>
    <row r="15" spans="1:30" x14ac:dyDescent="0.25">
      <c r="A15" s="27"/>
      <c r="B15" s="35"/>
      <c r="C15" s="36"/>
      <c r="D15" s="36"/>
      <c r="E15" s="34"/>
      <c r="F15" s="35"/>
      <c r="G15" s="34"/>
      <c r="H15" s="34"/>
      <c r="I15" s="34"/>
      <c r="J15" s="34"/>
      <c r="K15" s="34"/>
      <c r="L15" s="34"/>
      <c r="M15" s="34"/>
      <c r="N15" s="34"/>
      <c r="O15" s="34"/>
      <c r="Q15" s="25"/>
      <c r="R15" s="25"/>
      <c r="S15" s="26"/>
      <c r="T15" s="26"/>
      <c r="U15" s="28"/>
      <c r="V15" s="25"/>
      <c r="W15" s="25"/>
    </row>
    <row r="16" spans="1:30" x14ac:dyDescent="0.25">
      <c r="A16" s="27"/>
      <c r="B16" s="35"/>
      <c r="C16" s="36"/>
      <c r="D16" s="36"/>
      <c r="E16" s="34"/>
      <c r="F16" s="35"/>
      <c r="G16" s="34"/>
      <c r="H16" s="34"/>
      <c r="I16" s="34"/>
      <c r="J16" s="34"/>
      <c r="K16" s="34"/>
      <c r="L16" s="34"/>
      <c r="M16" s="34"/>
      <c r="N16" s="34"/>
      <c r="O16" s="34"/>
      <c r="Q16" s="25"/>
      <c r="R16" s="25"/>
      <c r="S16" s="26"/>
      <c r="T16" s="26"/>
      <c r="U16" s="28"/>
      <c r="V16" s="25"/>
      <c r="W16" s="25"/>
    </row>
    <row r="17" spans="1:30" x14ac:dyDescent="0.25">
      <c r="A17" s="27"/>
      <c r="B17" s="35"/>
      <c r="C17" s="36"/>
      <c r="D17" s="36"/>
      <c r="E17" s="34"/>
      <c r="F17" s="35"/>
      <c r="G17" s="34"/>
      <c r="H17" s="34"/>
      <c r="I17" s="34"/>
      <c r="J17" s="34"/>
      <c r="K17" s="34"/>
      <c r="L17" s="34"/>
      <c r="M17" s="34"/>
      <c r="N17" s="34"/>
      <c r="O17" s="34"/>
      <c r="Q17" s="25"/>
      <c r="R17" s="25"/>
      <c r="S17" s="26"/>
      <c r="T17" s="26"/>
      <c r="U17" s="28"/>
      <c r="V17" s="25"/>
      <c r="W17" s="25"/>
    </row>
    <row r="18" spans="1:30" hidden="1" x14ac:dyDescent="0.25">
      <c r="A18" s="27" t="e">
        <f>_xll.qlSchedule(B18,C18,D18,E18,F18,G18,H18,I18,J18,K18,L18,M18,N18,O18)</f>
        <v>#NUM!</v>
      </c>
      <c r="B18" s="35" t="str">
        <f>Q18&amp;"Sch"</f>
        <v>XS2213043495Sch</v>
      </c>
      <c r="C18" s="36">
        <v>44061</v>
      </c>
      <c r="D18" s="36">
        <v>45887</v>
      </c>
      <c r="E18" s="34" t="str">
        <f>VLOOKUP(W18,Reference!$A$6:$B$8,2,FALSE)</f>
        <v>1Y</v>
      </c>
      <c r="F18" s="35" t="str">
        <f>VLOOKUP(U18,Reference!$C$2:$D$6,2,FALSE)</f>
        <v>China</v>
      </c>
      <c r="G18" s="34" t="s">
        <v>96</v>
      </c>
      <c r="H18" s="34" t="s">
        <v>69</v>
      </c>
      <c r="I18" s="34" t="s">
        <v>97</v>
      </c>
      <c r="J18" s="34" t="b">
        <v>0</v>
      </c>
      <c r="K18" s="34"/>
      <c r="L18" s="34"/>
      <c r="M18" s="34" t="b">
        <v>0</v>
      </c>
      <c r="N18" s="34" t="e">
        <f>#REF!</f>
        <v>#REF!</v>
      </c>
      <c r="O18" s="34" t="b">
        <v>1</v>
      </c>
      <c r="Q18" s="25" t="s">
        <v>154</v>
      </c>
      <c r="R18" s="25" t="s">
        <v>242</v>
      </c>
      <c r="S18" s="26">
        <v>44061</v>
      </c>
      <c r="T18" s="26">
        <v>45887</v>
      </c>
      <c r="U18" s="28" t="s">
        <v>222</v>
      </c>
      <c r="V18" s="25">
        <v>30000000</v>
      </c>
      <c r="W18" s="25">
        <v>1</v>
      </c>
      <c r="X18" s="25">
        <v>3.4</v>
      </c>
      <c r="Y18" s="25" t="s">
        <v>243</v>
      </c>
      <c r="Z18" t="e">
        <f>A18</f>
        <v>#NUM!</v>
      </c>
      <c r="AA18" t="e">
        <f>VLOOKUP(Q18,$AC:$AD,2,FALSE)</f>
        <v>#N/A</v>
      </c>
      <c r="AB18">
        <v>100.1460037231445</v>
      </c>
      <c r="AC18" t="s">
        <v>164</v>
      </c>
      <c r="AD18" t="s">
        <v>252</v>
      </c>
    </row>
    <row r="19" spans="1:30" hidden="1" x14ac:dyDescent="0.25">
      <c r="A19" s="27" t="e">
        <f>_xll.qlSchedule(B19,C19,D19,E19,F19,G19,H19,I19,J19,K19,L19,M19,N19,O19)</f>
        <v>#NUM!</v>
      </c>
      <c r="B19" s="35" t="str">
        <f>Q19&amp;"Sch"</f>
        <v>XS2227817876Sch</v>
      </c>
      <c r="C19" s="36">
        <v>44089</v>
      </c>
      <c r="D19" s="36">
        <v>45915</v>
      </c>
      <c r="E19" s="34" t="str">
        <f>VLOOKUP(W19,Reference!$A$6:$B$8,2,FALSE)</f>
        <v>1Y</v>
      </c>
      <c r="F19" s="35" t="str">
        <f>VLOOKUP(U19,Reference!$C$2:$D$6,2,FALSE)</f>
        <v>China</v>
      </c>
      <c r="G19" s="34" t="s">
        <v>96</v>
      </c>
      <c r="H19" s="34" t="s">
        <v>69</v>
      </c>
      <c r="I19" s="34" t="s">
        <v>97</v>
      </c>
      <c r="J19" s="34" t="b">
        <v>0</v>
      </c>
      <c r="K19" s="34"/>
      <c r="L19" s="34"/>
      <c r="M19" s="34" t="b">
        <v>0</v>
      </c>
      <c r="N19" s="34" t="e">
        <f>#REF!</f>
        <v>#REF!</v>
      </c>
      <c r="O19" s="34" t="b">
        <v>1</v>
      </c>
      <c r="Q19" s="25" t="s">
        <v>155</v>
      </c>
      <c r="R19" s="25" t="s">
        <v>242</v>
      </c>
      <c r="S19" s="26">
        <v>44089</v>
      </c>
      <c r="T19" s="26">
        <v>45915</v>
      </c>
      <c r="U19" s="28" t="s">
        <v>222</v>
      </c>
      <c r="V19" s="25">
        <v>50000000</v>
      </c>
      <c r="W19" s="25">
        <v>1</v>
      </c>
      <c r="X19" s="25">
        <v>3.8</v>
      </c>
      <c r="Y19" s="25" t="s">
        <v>243</v>
      </c>
      <c r="Z19" t="e">
        <f>A19</f>
        <v>#NUM!</v>
      </c>
      <c r="AA19" t="e">
        <f>VLOOKUP(Q19,$AC:$AD,2,FALSE)</f>
        <v>#N/A</v>
      </c>
      <c r="AB19">
        <v>100.900260925293</v>
      </c>
      <c r="AC19" t="s">
        <v>199</v>
      </c>
      <c r="AD19" t="s">
        <v>103</v>
      </c>
    </row>
    <row r="20" spans="1:30" x14ac:dyDescent="0.25">
      <c r="A20" s="27"/>
      <c r="B20" s="35"/>
      <c r="C20" s="36"/>
      <c r="D20" s="36"/>
      <c r="E20" s="34"/>
      <c r="F20" s="35"/>
      <c r="G20" s="34"/>
      <c r="H20" s="34"/>
      <c r="I20" s="34"/>
      <c r="J20" s="34"/>
      <c r="K20" s="34"/>
      <c r="L20" s="34"/>
      <c r="M20" s="34"/>
      <c r="N20" s="34"/>
      <c r="O20" s="34"/>
      <c r="Q20" s="25"/>
      <c r="R20" s="25"/>
      <c r="S20" s="26"/>
      <c r="T20" s="26"/>
      <c r="U20" s="28"/>
      <c r="V20" s="25"/>
      <c r="W20" s="25"/>
    </row>
    <row r="21" spans="1:30" x14ac:dyDescent="0.25">
      <c r="A21" s="27"/>
      <c r="B21" s="35"/>
      <c r="C21" s="36"/>
      <c r="D21" s="36"/>
      <c r="E21" s="34"/>
      <c r="F21" s="35"/>
      <c r="G21" s="34"/>
      <c r="H21" s="34"/>
      <c r="I21" s="34"/>
      <c r="J21" s="34"/>
      <c r="K21" s="34"/>
      <c r="L21" s="34"/>
      <c r="M21" s="34"/>
      <c r="N21" s="34"/>
      <c r="O21" s="34"/>
      <c r="Q21" s="25"/>
      <c r="R21" s="25"/>
      <c r="S21" s="26"/>
      <c r="T21" s="26"/>
      <c r="U21" s="28"/>
      <c r="V21" s="25"/>
      <c r="W21" s="25"/>
    </row>
    <row r="22" spans="1:30" hidden="1" x14ac:dyDescent="0.25">
      <c r="A22" s="27" t="e">
        <f>_xll.qlSchedule(B22,C22,D22,E22,F22,G22,H22,I22,J22,K22,L22,M22,N22,O22)</f>
        <v>#NUM!</v>
      </c>
      <c r="B22" s="35" t="str">
        <f>Q22&amp;"Sch"</f>
        <v>US023135BY17Sch</v>
      </c>
      <c r="C22" s="36">
        <v>44328</v>
      </c>
      <c r="D22" s="36">
        <v>46885</v>
      </c>
      <c r="E22" s="34" t="str">
        <f>VLOOKUP(W22,Reference!$A$6:$B$8,2,FALSE)</f>
        <v>6M</v>
      </c>
      <c r="F22" s="35" t="str">
        <f>VLOOKUP(U22,Reference!$C$2:$D$6,2,FALSE)</f>
        <v>UnitedStates::Settlement</v>
      </c>
      <c r="G22" s="34" t="s">
        <v>96</v>
      </c>
      <c r="H22" s="34" t="s">
        <v>69</v>
      </c>
      <c r="I22" s="34" t="s">
        <v>97</v>
      </c>
      <c r="J22" s="34" t="b">
        <v>0</v>
      </c>
      <c r="K22" s="34"/>
      <c r="L22" s="34"/>
      <c r="M22" s="34" t="b">
        <v>0</v>
      </c>
      <c r="N22" s="34" t="e">
        <f>#REF!</f>
        <v>#REF!</v>
      </c>
      <c r="O22" s="34" t="b">
        <v>1</v>
      </c>
      <c r="Q22" s="25" t="s">
        <v>158</v>
      </c>
      <c r="R22" s="25" t="s">
        <v>242</v>
      </c>
      <c r="S22" s="26">
        <v>44328</v>
      </c>
      <c r="T22" s="26">
        <v>46885</v>
      </c>
      <c r="U22" s="28" t="s">
        <v>117</v>
      </c>
      <c r="V22" s="25">
        <v>3000000</v>
      </c>
      <c r="W22" s="25">
        <v>2</v>
      </c>
      <c r="X22" s="25">
        <v>1.65</v>
      </c>
      <c r="Y22" s="25" t="s">
        <v>243</v>
      </c>
      <c r="Z22" t="e">
        <f>A22</f>
        <v>#NUM!</v>
      </c>
      <c r="AA22" t="str">
        <f>VLOOKUP(Q22,$AC:$AD,2,FALSE)</f>
        <v>AA-(Fitch)</v>
      </c>
      <c r="AB22">
        <v>99.363998413085938</v>
      </c>
      <c r="AC22" t="s">
        <v>200</v>
      </c>
      <c r="AD22" t="s">
        <v>252</v>
      </c>
    </row>
    <row r="23" spans="1:30" hidden="1" x14ac:dyDescent="0.25">
      <c r="A23" s="27" t="e">
        <f>_xll.qlSchedule(B23,C23,D23,E23,F23,G23,H23,I23,J23,K23,L23,M23,N23,O23)</f>
        <v>#NUM!</v>
      </c>
      <c r="B23" s="35" t="str">
        <f>Q23&amp;"Sch"</f>
        <v>US037833DY36Sch</v>
      </c>
      <c r="C23" s="36">
        <v>44063</v>
      </c>
      <c r="D23" s="36">
        <v>47715</v>
      </c>
      <c r="E23" s="34" t="str">
        <f>VLOOKUP(W23,Reference!$A$6:$B$8,2,FALSE)</f>
        <v>6M</v>
      </c>
      <c r="F23" s="35" t="str">
        <f>VLOOKUP(U23,Reference!$C$2:$D$6,2,FALSE)</f>
        <v>UnitedStates::Settlement</v>
      </c>
      <c r="G23" s="34" t="s">
        <v>96</v>
      </c>
      <c r="H23" s="34" t="s">
        <v>69</v>
      </c>
      <c r="I23" s="34" t="s">
        <v>97</v>
      </c>
      <c r="J23" s="34" t="b">
        <v>0</v>
      </c>
      <c r="K23" s="34"/>
      <c r="L23" s="34"/>
      <c r="M23" s="34" t="b">
        <v>0</v>
      </c>
      <c r="N23" s="34" t="e">
        <f>#REF!</f>
        <v>#REF!</v>
      </c>
      <c r="O23" s="34" t="b">
        <v>1</v>
      </c>
      <c r="Q23" s="25" t="s">
        <v>159</v>
      </c>
      <c r="R23" s="25" t="s">
        <v>242</v>
      </c>
      <c r="S23" s="26">
        <v>44063</v>
      </c>
      <c r="T23" s="26">
        <v>47715</v>
      </c>
      <c r="U23" s="28" t="s">
        <v>117</v>
      </c>
      <c r="V23" s="25">
        <v>5000000</v>
      </c>
      <c r="W23" s="25">
        <v>2</v>
      </c>
      <c r="X23" s="25">
        <v>1.25</v>
      </c>
      <c r="Y23" s="25" t="s">
        <v>243</v>
      </c>
      <c r="Z23" t="e">
        <f>A23</f>
        <v>#NUM!</v>
      </c>
      <c r="AA23" t="str">
        <f>VLOOKUP(Q23,$AC:$AD,2,FALSE)</f>
        <v>Aa1(Moody's)</v>
      </c>
      <c r="AB23">
        <v>94.061996459960938</v>
      </c>
      <c r="AC23" t="s">
        <v>201</v>
      </c>
      <c r="AD23" t="s">
        <v>103</v>
      </c>
    </row>
    <row r="24" spans="1:30" hidden="1" x14ac:dyDescent="0.25">
      <c r="A24" s="27" t="e">
        <f>_xll.qlSchedule(B24,C24,D24,E24,F24,G24,H24,I24,J24,K24,L24,M24,N24,O24)</f>
        <v>#NUM!</v>
      </c>
      <c r="B24" s="35" t="str">
        <f>Q24&amp;"Sch"</f>
        <v>US037833ED89Sch</v>
      </c>
      <c r="C24" s="36">
        <v>44235</v>
      </c>
      <c r="D24" s="36">
        <v>47887</v>
      </c>
      <c r="E24" s="34" t="str">
        <f>VLOOKUP(W24,Reference!$A$6:$B$8,2,FALSE)</f>
        <v>6M</v>
      </c>
      <c r="F24" s="35" t="str">
        <f>VLOOKUP(U24,Reference!$C$2:$D$6,2,FALSE)</f>
        <v>UnitedStates::Settlement</v>
      </c>
      <c r="G24" s="34" t="s">
        <v>96</v>
      </c>
      <c r="H24" s="34" t="s">
        <v>69</v>
      </c>
      <c r="I24" s="34" t="s">
        <v>97</v>
      </c>
      <c r="J24" s="34" t="b">
        <v>0</v>
      </c>
      <c r="K24" s="34"/>
      <c r="L24" s="34"/>
      <c r="M24" s="34" t="b">
        <v>0</v>
      </c>
      <c r="N24" s="34" t="e">
        <f>#REF!</f>
        <v>#REF!</v>
      </c>
      <c r="O24" s="34" t="b">
        <v>1</v>
      </c>
      <c r="Q24" s="25" t="s">
        <v>160</v>
      </c>
      <c r="R24" s="25" t="s">
        <v>242</v>
      </c>
      <c r="S24" s="26">
        <v>44235</v>
      </c>
      <c r="T24" s="26">
        <v>47887</v>
      </c>
      <c r="U24" s="28" t="s">
        <v>117</v>
      </c>
      <c r="V24" s="25">
        <v>5000000</v>
      </c>
      <c r="W24" s="25">
        <v>2</v>
      </c>
      <c r="X24" s="25">
        <v>1.65</v>
      </c>
      <c r="Y24" s="25" t="s">
        <v>243</v>
      </c>
      <c r="Z24" t="e">
        <f>A24</f>
        <v>#NUM!</v>
      </c>
      <c r="AA24" t="str">
        <f>VLOOKUP(Q24,$AC:$AD,2,FALSE)</f>
        <v>Aa1(Moody's)</v>
      </c>
      <c r="AB24">
        <v>96.692001342773438</v>
      </c>
      <c r="AC24" t="s">
        <v>202</v>
      </c>
      <c r="AD24" t="s">
        <v>253</v>
      </c>
    </row>
    <row r="25" spans="1:30" x14ac:dyDescent="0.25">
      <c r="A25" s="27"/>
      <c r="B25" s="35"/>
      <c r="C25" s="36"/>
      <c r="D25" s="36"/>
      <c r="E25" s="34"/>
      <c r="F25" s="35"/>
      <c r="G25" s="34"/>
      <c r="H25" s="34"/>
      <c r="I25" s="34"/>
      <c r="J25" s="34"/>
      <c r="K25" s="34"/>
      <c r="L25" s="34"/>
      <c r="M25" s="34"/>
      <c r="N25" s="34"/>
      <c r="O25" s="34"/>
      <c r="Q25" s="25"/>
      <c r="R25" s="25"/>
      <c r="S25" s="26"/>
      <c r="T25" s="26"/>
      <c r="U25" s="28"/>
      <c r="V25" s="25"/>
      <c r="W25" s="25"/>
    </row>
    <row r="26" spans="1:30" hidden="1" x14ac:dyDescent="0.25">
      <c r="A26" s="27" t="e">
        <f>_xll.qlSchedule(B26,C26,D26,E26,F26,G26,H26,I26,J26,K26,L26,M26,N26,O26)</f>
        <v>#NUM!</v>
      </c>
      <c r="B26" s="35" t="str">
        <f>Q26&amp;"Sch"</f>
        <v>US06407F2C54Sch</v>
      </c>
      <c r="C26" s="36">
        <v>44258</v>
      </c>
      <c r="D26" s="36">
        <v>46084</v>
      </c>
      <c r="E26" s="34" t="str">
        <f>VLOOKUP(W26,Reference!$A$6:$B$8,2,FALSE)</f>
        <v>6M</v>
      </c>
      <c r="F26" s="35" t="str">
        <f>VLOOKUP(U26,Reference!$C$2:$D$6,2,FALSE)</f>
        <v>UnitedStates::Settlement</v>
      </c>
      <c r="G26" s="34" t="s">
        <v>96</v>
      </c>
      <c r="H26" s="34" t="s">
        <v>69</v>
      </c>
      <c r="I26" s="34" t="s">
        <v>97</v>
      </c>
      <c r="J26" s="34" t="b">
        <v>0</v>
      </c>
      <c r="K26" s="34"/>
      <c r="L26" s="34"/>
      <c r="M26" s="34" t="b">
        <v>0</v>
      </c>
      <c r="N26" s="34" t="e">
        <f>#REF!</f>
        <v>#REF!</v>
      </c>
      <c r="O26" s="34" t="b">
        <v>1</v>
      </c>
      <c r="Q26" s="25" t="s">
        <v>162</v>
      </c>
      <c r="R26" s="25" t="s">
        <v>242</v>
      </c>
      <c r="S26" s="26">
        <v>44258</v>
      </c>
      <c r="T26" s="26">
        <v>46084</v>
      </c>
      <c r="U26" s="28" t="s">
        <v>117</v>
      </c>
      <c r="V26" s="25">
        <v>3000000</v>
      </c>
      <c r="W26" s="25">
        <v>2</v>
      </c>
      <c r="X26" s="25">
        <v>1</v>
      </c>
      <c r="Y26" s="25" t="s">
        <v>243</v>
      </c>
      <c r="Z26" t="e">
        <f>A26</f>
        <v>#NUM!</v>
      </c>
      <c r="AA26" t="str">
        <f>VLOOKUP(Q26,$AC:$AD,2,FALSE)</f>
        <v>A1(Moody's)</v>
      </c>
      <c r="AB26">
        <v>97.255996704101563</v>
      </c>
      <c r="AC26" t="s">
        <v>180</v>
      </c>
      <c r="AD26" t="s">
        <v>253</v>
      </c>
    </row>
    <row r="27" spans="1:30" x14ac:dyDescent="0.25">
      <c r="A27" s="27"/>
      <c r="B27" s="35"/>
      <c r="C27" s="36"/>
      <c r="D27" s="36"/>
      <c r="E27" s="34"/>
      <c r="F27" s="35"/>
      <c r="G27" s="34"/>
      <c r="H27" s="34"/>
      <c r="I27" s="34"/>
      <c r="J27" s="34"/>
      <c r="K27" s="34"/>
      <c r="L27" s="34"/>
      <c r="M27" s="34"/>
      <c r="N27" s="34"/>
      <c r="O27" s="34"/>
      <c r="Q27" s="25"/>
      <c r="R27" s="25"/>
      <c r="S27" s="26"/>
      <c r="T27" s="26"/>
      <c r="U27" s="28"/>
      <c r="V27" s="25"/>
      <c r="W27" s="25"/>
    </row>
    <row r="28" spans="1:30" x14ac:dyDescent="0.25">
      <c r="A28" s="27"/>
      <c r="B28" s="35"/>
      <c r="C28" s="36"/>
      <c r="D28" s="36"/>
      <c r="E28" s="34"/>
      <c r="F28" s="35"/>
      <c r="G28" s="34"/>
      <c r="H28" s="34"/>
      <c r="I28" s="34"/>
      <c r="J28" s="34"/>
      <c r="K28" s="34"/>
      <c r="L28" s="34"/>
      <c r="M28" s="34"/>
      <c r="N28" s="34"/>
      <c r="O28" s="34"/>
      <c r="Q28" s="25"/>
      <c r="R28" s="25"/>
      <c r="S28" s="26"/>
      <c r="T28" s="26"/>
      <c r="U28" s="28"/>
      <c r="V28" s="25"/>
      <c r="W28" s="25"/>
    </row>
    <row r="29" spans="1:30" hidden="1" x14ac:dyDescent="0.25">
      <c r="A29" s="27" t="e">
        <f>_xll.qlSchedule(B29,C29,D29,E29,F29,G29,H29,I29,J29,K29,L29,M29,N29,O29)</f>
        <v>#NUM!</v>
      </c>
      <c r="B29" s="35" t="str">
        <f>Q29&amp;"Sch"</f>
        <v>US15238RAG74Sch</v>
      </c>
      <c r="C29" s="36">
        <v>44236</v>
      </c>
      <c r="D29" s="36">
        <v>46062</v>
      </c>
      <c r="E29" s="34" t="str">
        <f>VLOOKUP(W29,Reference!$A$6:$B$8,2,FALSE)</f>
        <v>6M</v>
      </c>
      <c r="F29" s="35" t="str">
        <f>VLOOKUP(U29,Reference!$C$2:$D$6,2,FALSE)</f>
        <v>UnitedStates::Settlement</v>
      </c>
      <c r="G29" s="34" t="s">
        <v>96</v>
      </c>
      <c r="H29" s="34" t="s">
        <v>69</v>
      </c>
      <c r="I29" s="34" t="s">
        <v>97</v>
      </c>
      <c r="J29" s="34" t="b">
        <v>0</v>
      </c>
      <c r="K29" s="34"/>
      <c r="L29" s="34"/>
      <c r="M29" s="34" t="b">
        <v>0</v>
      </c>
      <c r="N29" s="34" t="e">
        <f>#REF!</f>
        <v>#REF!</v>
      </c>
      <c r="O29" s="34" t="b">
        <v>1</v>
      </c>
      <c r="Q29" s="25" t="s">
        <v>165</v>
      </c>
      <c r="R29" s="25" t="s">
        <v>242</v>
      </c>
      <c r="S29" s="26">
        <v>44236</v>
      </c>
      <c r="T29" s="26">
        <v>46062</v>
      </c>
      <c r="U29" s="28" t="s">
        <v>117</v>
      </c>
      <c r="V29" s="25">
        <v>5000000</v>
      </c>
      <c r="W29" s="25">
        <v>2</v>
      </c>
      <c r="X29" s="25">
        <v>1.1399999999999999</v>
      </c>
      <c r="Y29" s="25" t="s">
        <v>243</v>
      </c>
      <c r="Z29" t="e">
        <f>A29</f>
        <v>#NUM!</v>
      </c>
      <c r="AA29" t="str">
        <f>VLOOKUP(Q29,$AC:$AD,2,FALSE)</f>
        <v>Aa3(Moody's)</v>
      </c>
      <c r="AB29">
        <v>98.521003723144531</v>
      </c>
      <c r="AC29" t="s">
        <v>205</v>
      </c>
      <c r="AD29" t="s">
        <v>248</v>
      </c>
    </row>
    <row r="30" spans="1:30" hidden="1" x14ac:dyDescent="0.25">
      <c r="A30" s="27" t="e">
        <f>_xll.qlSchedule(B30,C30,D30,E30,F30,G30,H30,I30,J30,K30,L30,M30,N30,O30)</f>
        <v>#NUM!</v>
      </c>
      <c r="B30" s="35" t="str">
        <f>Q30&amp;"Sch"</f>
        <v>US191216DD90Sch</v>
      </c>
      <c r="C30" s="36">
        <v>44092</v>
      </c>
      <c r="D30" s="36">
        <v>46827</v>
      </c>
      <c r="E30" s="34" t="str">
        <f>VLOOKUP(W30,Reference!$A$6:$B$8,2,FALSE)</f>
        <v>6M</v>
      </c>
      <c r="F30" s="35" t="str">
        <f>VLOOKUP(U30,Reference!$C$2:$D$6,2,FALSE)</f>
        <v>UnitedStates::Settlement</v>
      </c>
      <c r="G30" s="34" t="s">
        <v>96</v>
      </c>
      <c r="H30" s="34" t="s">
        <v>69</v>
      </c>
      <c r="I30" s="34" t="s">
        <v>97</v>
      </c>
      <c r="J30" s="34" t="b">
        <v>0</v>
      </c>
      <c r="K30" s="34"/>
      <c r="L30" s="34"/>
      <c r="M30" s="34" t="b">
        <v>0</v>
      </c>
      <c r="N30" s="34" t="e">
        <f>#REF!</f>
        <v>#REF!</v>
      </c>
      <c r="O30" s="34" t="b">
        <v>1</v>
      </c>
      <c r="Q30" s="25" t="s">
        <v>166</v>
      </c>
      <c r="R30" s="25" t="s">
        <v>242</v>
      </c>
      <c r="S30" s="26">
        <v>44092</v>
      </c>
      <c r="T30" s="26">
        <v>46827</v>
      </c>
      <c r="U30" s="28" t="s">
        <v>117</v>
      </c>
      <c r="V30" s="25">
        <v>5000000</v>
      </c>
      <c r="W30" s="25">
        <v>2</v>
      </c>
      <c r="X30" s="25">
        <v>1</v>
      </c>
      <c r="Y30" s="25" t="s">
        <v>243</v>
      </c>
      <c r="Z30" t="e">
        <f>A30</f>
        <v>#NUM!</v>
      </c>
      <c r="AA30" t="e">
        <f>VLOOKUP(Q30,$AC:$AD,2,FALSE)</f>
        <v>#N/A</v>
      </c>
      <c r="AB30">
        <v>95.317001342773438</v>
      </c>
      <c r="AC30" t="s">
        <v>206</v>
      </c>
      <c r="AD30" t="s">
        <v>249</v>
      </c>
    </row>
    <row r="31" spans="1:30" x14ac:dyDescent="0.25">
      <c r="A31" s="27"/>
      <c r="B31" s="35"/>
      <c r="C31" s="36"/>
      <c r="D31" s="36"/>
      <c r="E31" s="34"/>
      <c r="F31" s="35"/>
      <c r="G31" s="34"/>
      <c r="H31" s="34"/>
      <c r="I31" s="34"/>
      <c r="J31" s="34"/>
      <c r="K31" s="34"/>
      <c r="L31" s="34"/>
      <c r="M31" s="34"/>
      <c r="N31" s="34"/>
      <c r="O31" s="34"/>
      <c r="Q31" s="25"/>
      <c r="R31" s="25"/>
      <c r="S31" s="26"/>
      <c r="T31" s="26"/>
      <c r="U31" s="28"/>
      <c r="V31" s="25"/>
      <c r="W31" s="25"/>
    </row>
    <row r="32" spans="1:30" hidden="1" x14ac:dyDescent="0.25">
      <c r="A32" s="27" t="e">
        <f>_xll.qlSchedule(B32,C32,D32,E32,F32,G32,H32,I32,J32,K32,L32,M32,N32,O32)</f>
        <v>#NUM!</v>
      </c>
      <c r="B32" s="35" t="str">
        <f>Q32&amp;"Sch"</f>
        <v>US742718FM66Sch</v>
      </c>
      <c r="C32" s="36">
        <v>44133</v>
      </c>
      <c r="D32" s="36">
        <v>47785</v>
      </c>
      <c r="E32" s="34" t="str">
        <f>VLOOKUP(W32,Reference!$A$6:$B$8,2,FALSE)</f>
        <v>6M</v>
      </c>
      <c r="F32" s="35" t="str">
        <f>VLOOKUP(U32,Reference!$C$2:$D$6,2,FALSE)</f>
        <v>UnitedStates::Settlement</v>
      </c>
      <c r="G32" s="34" t="s">
        <v>96</v>
      </c>
      <c r="H32" s="34" t="s">
        <v>69</v>
      </c>
      <c r="I32" s="34" t="s">
        <v>97</v>
      </c>
      <c r="J32" s="34" t="b">
        <v>0</v>
      </c>
      <c r="K32" s="34"/>
      <c r="L32" s="34"/>
      <c r="M32" s="34" t="b">
        <v>0</v>
      </c>
      <c r="N32" s="34" t="e">
        <f>#REF!</f>
        <v>#REF!</v>
      </c>
      <c r="O32" s="34" t="b">
        <v>1</v>
      </c>
      <c r="Q32" s="25" t="s">
        <v>168</v>
      </c>
      <c r="R32" s="25" t="s">
        <v>242</v>
      </c>
      <c r="S32" s="26">
        <v>44133</v>
      </c>
      <c r="T32" s="26">
        <v>47785</v>
      </c>
      <c r="U32" s="28" t="s">
        <v>117</v>
      </c>
      <c r="V32" s="25">
        <v>5000000</v>
      </c>
      <c r="W32" s="25">
        <v>2</v>
      </c>
      <c r="X32" s="25">
        <v>1.2</v>
      </c>
      <c r="Y32" s="25" t="s">
        <v>243</v>
      </c>
      <c r="Z32" t="e">
        <f>A32</f>
        <v>#NUM!</v>
      </c>
      <c r="AA32" t="str">
        <f>VLOOKUP(Q32,$AC:$AD,2,FALSE)</f>
        <v>Aa3(Moody's)</v>
      </c>
      <c r="AB32">
        <v>94.516998291015625</v>
      </c>
      <c r="AC32" t="s">
        <v>207</v>
      </c>
      <c r="AD32" t="s">
        <v>103</v>
      </c>
    </row>
    <row r="33" spans="1:30" hidden="1" x14ac:dyDescent="0.25">
      <c r="A33" s="27" t="e">
        <f>_xll.qlSchedule(B33,C33,D33,E33,F33,G33,H33,I33,J33,K33,L33,M33,N33,O33)</f>
        <v>#NUM!</v>
      </c>
      <c r="B33" s="35" t="str">
        <f>Q33&amp;"Sch"</f>
        <v>US892331AD13Sch</v>
      </c>
      <c r="C33" s="36">
        <v>43301</v>
      </c>
      <c r="D33" s="36">
        <v>46954</v>
      </c>
      <c r="E33" s="34" t="str">
        <f>VLOOKUP(W33,Reference!$A$6:$B$8,2,FALSE)</f>
        <v>6M</v>
      </c>
      <c r="F33" s="35" t="str">
        <f>VLOOKUP(U33,Reference!$C$2:$D$6,2,FALSE)</f>
        <v>UnitedStates::Settlement</v>
      </c>
      <c r="G33" s="34" t="s">
        <v>96</v>
      </c>
      <c r="H33" s="34" t="s">
        <v>69</v>
      </c>
      <c r="I33" s="34" t="s">
        <v>97</v>
      </c>
      <c r="J33" s="34" t="b">
        <v>0</v>
      </c>
      <c r="K33" s="34"/>
      <c r="L33" s="34"/>
      <c r="M33" s="34" t="b">
        <v>0</v>
      </c>
      <c r="N33" s="34" t="e">
        <f>#REF!</f>
        <v>#REF!</v>
      </c>
      <c r="O33" s="34" t="b">
        <v>1</v>
      </c>
      <c r="Q33" s="25" t="s">
        <v>169</v>
      </c>
      <c r="R33" s="25" t="s">
        <v>242</v>
      </c>
      <c r="S33" s="26">
        <v>43301</v>
      </c>
      <c r="T33" s="26">
        <v>46954</v>
      </c>
      <c r="U33" s="28" t="s">
        <v>117</v>
      </c>
      <c r="V33" s="25">
        <v>3000000</v>
      </c>
      <c r="W33" s="25">
        <v>2</v>
      </c>
      <c r="X33" s="25">
        <v>3.669</v>
      </c>
      <c r="Y33" s="25" t="s">
        <v>243</v>
      </c>
      <c r="Z33" t="e">
        <f>A33</f>
        <v>#NUM!</v>
      </c>
      <c r="AA33" t="s">
        <v>250</v>
      </c>
      <c r="AB33" t="e">
        <v>#N/A</v>
      </c>
      <c r="AC33" t="s">
        <v>208</v>
      </c>
      <c r="AD33" t="s">
        <v>253</v>
      </c>
    </row>
    <row r="34" spans="1:30" hidden="1" x14ac:dyDescent="0.25">
      <c r="A34" s="27" t="e">
        <f>_xll.qlSchedule(B34,C34,D34,E34,F34,G34,H34,I34,J34,K34,L34,M34,N34,O34)</f>
        <v>#NUM!</v>
      </c>
      <c r="B34" s="35" t="str">
        <f>Q34&amp;"Sch"</f>
        <v>US892331AM12Sch</v>
      </c>
      <c r="C34" s="36">
        <v>44280</v>
      </c>
      <c r="D34" s="36">
        <v>46106</v>
      </c>
      <c r="E34" s="34" t="str">
        <f>VLOOKUP(W34,Reference!$A$6:$B$8,2,FALSE)</f>
        <v>6M</v>
      </c>
      <c r="F34" s="35" t="str">
        <f>VLOOKUP(U34,Reference!$C$2:$D$6,2,FALSE)</f>
        <v>UnitedStates::Settlement</v>
      </c>
      <c r="G34" s="34" t="s">
        <v>96</v>
      </c>
      <c r="H34" s="34" t="s">
        <v>69</v>
      </c>
      <c r="I34" s="34" t="s">
        <v>97</v>
      </c>
      <c r="J34" s="34" t="b">
        <v>0</v>
      </c>
      <c r="K34" s="34"/>
      <c r="L34" s="34"/>
      <c r="M34" s="34" t="b">
        <v>0</v>
      </c>
      <c r="N34" s="34" t="e">
        <f>#REF!</f>
        <v>#REF!</v>
      </c>
      <c r="O34" s="34" t="b">
        <v>1</v>
      </c>
      <c r="Q34" s="25" t="s">
        <v>170</v>
      </c>
      <c r="R34" s="25" t="s">
        <v>242</v>
      </c>
      <c r="S34" s="26">
        <v>44280</v>
      </c>
      <c r="T34" s="26">
        <v>46106</v>
      </c>
      <c r="U34" s="28" t="s">
        <v>117</v>
      </c>
      <c r="V34" s="25">
        <v>5000000</v>
      </c>
      <c r="W34" s="25">
        <v>2</v>
      </c>
      <c r="X34" s="25">
        <v>1.339</v>
      </c>
      <c r="Y34" s="25" t="s">
        <v>243</v>
      </c>
      <c r="Z34" t="e">
        <f>A34</f>
        <v>#NUM!</v>
      </c>
      <c r="AA34" t="e">
        <f>VLOOKUP(Q34,$AC:$AD,2,FALSE)</f>
        <v>#N/A</v>
      </c>
      <c r="AB34">
        <v>99.258003234863281</v>
      </c>
      <c r="AC34" t="s">
        <v>181</v>
      </c>
      <c r="AD34" t="s">
        <v>249</v>
      </c>
    </row>
    <row r="35" spans="1:30" hidden="1" x14ac:dyDescent="0.25">
      <c r="A35" s="27" t="e">
        <f>_xll.qlSchedule(B35,C35,D35,E35,F35,G35,H35,I35,J35,K35,L35,M35,N35,O35)</f>
        <v>#NUM!</v>
      </c>
      <c r="B35" s="35" t="str">
        <f>Q35&amp;"Sch"</f>
        <v>US91282CAV37Sch</v>
      </c>
      <c r="C35" s="36">
        <v>44151</v>
      </c>
      <c r="D35" s="36">
        <v>47802</v>
      </c>
      <c r="E35" s="34" t="str">
        <f>VLOOKUP(W35,Reference!$A$6:$B$8,2,FALSE)</f>
        <v>6M</v>
      </c>
      <c r="F35" s="35" t="str">
        <f>VLOOKUP(U35,Reference!$C$2:$D$6,2,FALSE)</f>
        <v>UnitedStates::Settlement</v>
      </c>
      <c r="G35" s="34" t="s">
        <v>96</v>
      </c>
      <c r="H35" s="34" t="s">
        <v>69</v>
      </c>
      <c r="I35" s="34" t="s">
        <v>97</v>
      </c>
      <c r="J35" s="34" t="b">
        <v>0</v>
      </c>
      <c r="K35" s="34"/>
      <c r="L35" s="34"/>
      <c r="M35" s="34" t="b">
        <v>0</v>
      </c>
      <c r="N35" s="34" t="e">
        <f>#REF!</f>
        <v>#REF!</v>
      </c>
      <c r="O35" s="34" t="b">
        <v>1</v>
      </c>
      <c r="Q35" s="25" t="s">
        <v>171</v>
      </c>
      <c r="R35" s="25" t="s">
        <v>242</v>
      </c>
      <c r="S35" s="26">
        <v>44151</v>
      </c>
      <c r="T35" s="26">
        <v>47802</v>
      </c>
      <c r="U35" s="28" t="s">
        <v>117</v>
      </c>
      <c r="V35" s="25">
        <v>15000000</v>
      </c>
      <c r="W35" s="25">
        <v>2</v>
      </c>
      <c r="X35" s="25">
        <v>0.875</v>
      </c>
      <c r="Y35" s="25" t="s">
        <v>243</v>
      </c>
      <c r="Z35" t="e">
        <f>A35</f>
        <v>#NUM!</v>
      </c>
      <c r="AA35" t="e">
        <f>VLOOKUP(Q35,$AC:$AD,2,FALSE)</f>
        <v>#N/A</v>
      </c>
      <c r="AB35">
        <v>95.156255000000002</v>
      </c>
      <c r="AC35" t="s">
        <v>209</v>
      </c>
      <c r="AD35" t="s">
        <v>251</v>
      </c>
    </row>
    <row r="36" spans="1:30" hidden="1" x14ac:dyDescent="0.25">
      <c r="A36" s="27" t="e">
        <f>_xll.qlSchedule(B36,C36,D36,E36,F36,G36,H36,I36,J36,K36,L36,M36,N36,O36)</f>
        <v>#NUM!</v>
      </c>
      <c r="B36" s="35" t="str">
        <f>Q36&amp;"Sch"</f>
        <v>US92343VFL36Sch</v>
      </c>
      <c r="C36" s="36">
        <v>44092</v>
      </c>
      <c r="D36" s="36">
        <v>47744</v>
      </c>
      <c r="E36" s="34" t="str">
        <f>VLOOKUP(W36,Reference!$A$6:$B$8,2,FALSE)</f>
        <v>6M</v>
      </c>
      <c r="F36" s="35" t="str">
        <f>VLOOKUP(U36,Reference!$C$2:$D$6,2,FALSE)</f>
        <v>UnitedStates::Settlement</v>
      </c>
      <c r="G36" s="34" t="s">
        <v>96</v>
      </c>
      <c r="H36" s="34" t="s">
        <v>69</v>
      </c>
      <c r="I36" s="34" t="s">
        <v>97</v>
      </c>
      <c r="J36" s="34" t="b">
        <v>0</v>
      </c>
      <c r="K36" s="34"/>
      <c r="L36" s="34"/>
      <c r="M36" s="34" t="b">
        <v>0</v>
      </c>
      <c r="N36" s="34" t="e">
        <f>#REF!</f>
        <v>#REF!</v>
      </c>
      <c r="O36" s="34" t="b">
        <v>1</v>
      </c>
      <c r="Q36" s="25" t="s">
        <v>172</v>
      </c>
      <c r="R36" s="25" t="s">
        <v>242</v>
      </c>
      <c r="S36" s="26">
        <v>44092</v>
      </c>
      <c r="T36" s="26">
        <v>47744</v>
      </c>
      <c r="U36" s="28" t="s">
        <v>117</v>
      </c>
      <c r="V36" s="25">
        <v>5000000</v>
      </c>
      <c r="W36" s="25">
        <v>2</v>
      </c>
      <c r="X36" s="25">
        <v>1.5</v>
      </c>
      <c r="Y36" s="25" t="s">
        <v>243</v>
      </c>
      <c r="Z36" t="e">
        <f>A36</f>
        <v>#NUM!</v>
      </c>
      <c r="AA36" t="str">
        <f>VLOOKUP(Q36,$AC:$AD,2,FALSE)</f>
        <v>BBB+(S &amp; P)</v>
      </c>
      <c r="AB36">
        <v>93.485000610351563</v>
      </c>
      <c r="AC36" t="s">
        <v>210</v>
      </c>
      <c r="AD36" t="s">
        <v>249</v>
      </c>
    </row>
    <row r="37" spans="1:30" x14ac:dyDescent="0.25">
      <c r="A37" s="27"/>
      <c r="B37" s="35"/>
      <c r="C37" s="36"/>
      <c r="D37" s="36"/>
      <c r="E37" s="34"/>
      <c r="F37" s="35"/>
      <c r="G37" s="34"/>
      <c r="H37" s="34"/>
      <c r="I37" s="34"/>
      <c r="J37" s="34"/>
      <c r="K37" s="34"/>
      <c r="L37" s="34"/>
      <c r="M37" s="34"/>
      <c r="N37" s="34"/>
      <c r="O37" s="34"/>
      <c r="Q37" s="25"/>
      <c r="R37" s="25"/>
      <c r="S37" s="26"/>
      <c r="T37" s="26"/>
      <c r="U37" s="28"/>
      <c r="V37" s="25"/>
      <c r="W37" s="25"/>
    </row>
    <row r="38" spans="1:30" hidden="1" x14ac:dyDescent="0.25">
      <c r="A38" s="27" t="e">
        <f>_xll.qlSchedule(B38,C38,D38,E38,F38,G38,H38,I38,J38,K38,L38,M38,N38,O38)</f>
        <v>#NUM!</v>
      </c>
      <c r="B38" s="35" t="str">
        <f>Q38&amp;"Sch"</f>
        <v>USG91139AD00Sch</v>
      </c>
      <c r="C38" s="36">
        <v>44102</v>
      </c>
      <c r="D38" s="36">
        <v>46658</v>
      </c>
      <c r="E38" s="34" t="str">
        <f>VLOOKUP(W38,Reference!$A$6:$B$8,2,FALSE)</f>
        <v>6M</v>
      </c>
      <c r="F38" s="35" t="str">
        <f>VLOOKUP(U38,Reference!$C$2:$D$6,2,FALSE)</f>
        <v>UnitedStates::Settlement</v>
      </c>
      <c r="G38" s="34" t="s">
        <v>96</v>
      </c>
      <c r="H38" s="34" t="s">
        <v>69</v>
      </c>
      <c r="I38" s="34" t="s">
        <v>97</v>
      </c>
      <c r="J38" s="34" t="b">
        <v>0</v>
      </c>
      <c r="K38" s="34"/>
      <c r="L38" s="34"/>
      <c r="M38" s="34" t="b">
        <v>0</v>
      </c>
      <c r="N38" s="34" t="e">
        <f>#REF!</f>
        <v>#REF!</v>
      </c>
      <c r="O38" s="34" t="b">
        <v>1</v>
      </c>
      <c r="Q38" s="25" t="s">
        <v>173</v>
      </c>
      <c r="R38" s="25" t="s">
        <v>242</v>
      </c>
      <c r="S38" s="26">
        <v>44102</v>
      </c>
      <c r="T38" s="26">
        <v>46658</v>
      </c>
      <c r="U38" s="28" t="s">
        <v>117</v>
      </c>
      <c r="V38" s="25">
        <v>3000000</v>
      </c>
      <c r="W38" s="25">
        <v>2</v>
      </c>
      <c r="X38" s="25">
        <v>1</v>
      </c>
      <c r="Y38" s="25" t="s">
        <v>243</v>
      </c>
      <c r="Z38" t="e">
        <f>A38</f>
        <v>#NUM!</v>
      </c>
      <c r="AA38" t="e">
        <f>VLOOKUP(Q38,$AC:$AD,2,FALSE)</f>
        <v>#N/A</v>
      </c>
      <c r="AB38">
        <v>95.388999938964844</v>
      </c>
      <c r="AC38" t="s">
        <v>211</v>
      </c>
      <c r="AD38" t="s">
        <v>254</v>
      </c>
    </row>
    <row r="39" spans="1:30" hidden="1" x14ac:dyDescent="0.25">
      <c r="A39" s="27" t="e">
        <f>_xll.qlSchedule(B39,C39,D39,E39,F39,G39,H39,I39,J39,K39,L39,M39,N39,O39)</f>
        <v>#NUM!</v>
      </c>
      <c r="B39" s="35" t="str">
        <f>Q39&amp;"Sch"</f>
        <v>USG91139AE82Sch</v>
      </c>
      <c r="C39" s="36">
        <v>44102</v>
      </c>
      <c r="D39" s="36">
        <v>47754</v>
      </c>
      <c r="E39" s="34" t="str">
        <f>VLOOKUP(W39,Reference!$A$6:$B$8,2,FALSE)</f>
        <v>6M</v>
      </c>
      <c r="F39" s="35" t="str">
        <f>VLOOKUP(U39,Reference!$C$2:$D$6,2,FALSE)</f>
        <v>UnitedStates::Settlement</v>
      </c>
      <c r="G39" s="34" t="s">
        <v>96</v>
      </c>
      <c r="H39" s="34" t="s">
        <v>69</v>
      </c>
      <c r="I39" s="34" t="s">
        <v>97</v>
      </c>
      <c r="J39" s="34" t="b">
        <v>0</v>
      </c>
      <c r="K39" s="34"/>
      <c r="L39" s="34"/>
      <c r="M39" s="34" t="b">
        <v>0</v>
      </c>
      <c r="N39" s="34" t="e">
        <f>#REF!</f>
        <v>#REF!</v>
      </c>
      <c r="O39" s="34" t="b">
        <v>1</v>
      </c>
      <c r="Q39" s="25" t="s">
        <v>174</v>
      </c>
      <c r="R39" s="25" t="s">
        <v>242</v>
      </c>
      <c r="S39" s="26">
        <v>44102</v>
      </c>
      <c r="T39" s="26">
        <v>47754</v>
      </c>
      <c r="U39" s="28" t="s">
        <v>117</v>
      </c>
      <c r="V39" s="25">
        <v>7000000</v>
      </c>
      <c r="W39" s="25">
        <v>2</v>
      </c>
      <c r="X39" s="25">
        <v>1.375</v>
      </c>
      <c r="Y39" s="25" t="s">
        <v>243</v>
      </c>
      <c r="Z39" t="e">
        <f>A39</f>
        <v>#NUM!</v>
      </c>
      <c r="AA39" t="str">
        <f>VLOOKUP(Q39,$AC:$AD,2,FALSE)</f>
        <v>Aa3(Moody's)</v>
      </c>
      <c r="AB39">
        <v>93.410003662109375</v>
      </c>
      <c r="AC39" t="s">
        <v>212</v>
      </c>
      <c r="AD39" t="s">
        <v>255</v>
      </c>
    </row>
    <row r="40" spans="1:30" hidden="1" x14ac:dyDescent="0.25">
      <c r="A40" s="27" t="e">
        <f>_xll.qlSchedule(B40,C40,D40,E40,F40,G40,H40,I40,J40,K40,L40,M40,N40,O40)</f>
        <v>#NUM!</v>
      </c>
      <c r="B40" s="35" t="str">
        <f>Q40&amp;"Sch"</f>
        <v>USG91139AF57Sch</v>
      </c>
      <c r="C40" s="36">
        <v>44309</v>
      </c>
      <c r="D40" s="36">
        <v>46135</v>
      </c>
      <c r="E40" s="34" t="str">
        <f>VLOOKUP(W40,Reference!$A$6:$B$8,2,FALSE)</f>
        <v>6M</v>
      </c>
      <c r="F40" s="35" t="str">
        <f>VLOOKUP(U40,Reference!$C$2:$D$6,2,FALSE)</f>
        <v>UnitedStates::Settlement</v>
      </c>
      <c r="G40" s="34" t="s">
        <v>96</v>
      </c>
      <c r="H40" s="34" t="s">
        <v>69</v>
      </c>
      <c r="I40" s="34" t="s">
        <v>97</v>
      </c>
      <c r="J40" s="34" t="b">
        <v>0</v>
      </c>
      <c r="K40" s="34"/>
      <c r="L40" s="34"/>
      <c r="M40" s="34" t="b">
        <v>0</v>
      </c>
      <c r="N40" s="34" t="e">
        <f>#REF!</f>
        <v>#REF!</v>
      </c>
      <c r="O40" s="34" t="b">
        <v>1</v>
      </c>
      <c r="Q40" s="25" t="s">
        <v>175</v>
      </c>
      <c r="R40" s="25" t="s">
        <v>242</v>
      </c>
      <c r="S40" s="26">
        <v>44309</v>
      </c>
      <c r="T40" s="26">
        <v>46135</v>
      </c>
      <c r="U40" s="28" t="s">
        <v>117</v>
      </c>
      <c r="V40" s="25">
        <v>3000000</v>
      </c>
      <c r="W40" s="25">
        <v>2</v>
      </c>
      <c r="X40" s="25">
        <v>1.25</v>
      </c>
      <c r="Y40" s="25" t="s">
        <v>243</v>
      </c>
      <c r="Z40" t="e">
        <f>A40</f>
        <v>#NUM!</v>
      </c>
      <c r="AA40" t="e">
        <f>VLOOKUP(Q40,$AC:$AD,2,FALSE)</f>
        <v>#N/A</v>
      </c>
      <c r="AB40">
        <v>98.543998718261719</v>
      </c>
      <c r="AC40" t="s">
        <v>184</v>
      </c>
      <c r="AD40" t="s">
        <v>249</v>
      </c>
    </row>
    <row r="41" spans="1:30" hidden="1" x14ac:dyDescent="0.25">
      <c r="A41" s="27" t="e">
        <f>_xll.qlSchedule(B41,C41,D41,E41,F41,G41,H41,I41,J41,K41,L41,M41,N41,O41)</f>
        <v>#NUM!</v>
      </c>
      <c r="B41" s="35" t="str">
        <f>Q41&amp;"Sch"</f>
        <v>USJ5S39RAC82Sch</v>
      </c>
      <c r="C41" s="36">
        <v>44258</v>
      </c>
      <c r="D41" s="36">
        <v>46115</v>
      </c>
      <c r="E41" s="34" t="str">
        <f>VLOOKUP(W41,Reference!$A$6:$B$8,2,FALSE)</f>
        <v>6M</v>
      </c>
      <c r="F41" s="35" t="str">
        <f>VLOOKUP(U41,Reference!$C$2:$D$6,2,FALSE)</f>
        <v>UnitedStates::Settlement</v>
      </c>
      <c r="G41" s="34" t="s">
        <v>96</v>
      </c>
      <c r="H41" s="34" t="s">
        <v>69</v>
      </c>
      <c r="I41" s="34" t="s">
        <v>97</v>
      </c>
      <c r="J41" s="34" t="b">
        <v>0</v>
      </c>
      <c r="K41" s="34"/>
      <c r="L41" s="34"/>
      <c r="M41" s="34" t="b">
        <v>0</v>
      </c>
      <c r="N41" s="34" t="e">
        <f>#REF!</f>
        <v>#REF!</v>
      </c>
      <c r="O41" s="34" t="b">
        <v>1</v>
      </c>
      <c r="Q41" s="25" t="s">
        <v>176</v>
      </c>
      <c r="R41" s="25" t="s">
        <v>242</v>
      </c>
      <c r="S41" s="26">
        <v>44258</v>
      </c>
      <c r="T41" s="26">
        <v>46115</v>
      </c>
      <c r="U41" s="28" t="s">
        <v>117</v>
      </c>
      <c r="V41" s="25">
        <v>10000000</v>
      </c>
      <c r="W41" s="25">
        <v>2</v>
      </c>
      <c r="X41" s="25">
        <v>1.1619999999999999</v>
      </c>
      <c r="Y41" s="25" t="s">
        <v>243</v>
      </c>
      <c r="Z41" t="e">
        <f>A41</f>
        <v>#NUM!</v>
      </c>
      <c r="AA41" t="e">
        <f>VLOOKUP(Q41,$AC:$AD,2,FALSE)</f>
        <v>#N/A</v>
      </c>
      <c r="AB41">
        <v>98.311996459960938</v>
      </c>
      <c r="AC41" t="s">
        <v>213</v>
      </c>
      <c r="AD41" t="s">
        <v>247</v>
      </c>
    </row>
    <row r="42" spans="1:30" x14ac:dyDescent="0.25">
      <c r="A42" s="27"/>
      <c r="B42" s="35"/>
      <c r="C42" s="36"/>
      <c r="D42" s="36"/>
      <c r="E42" s="34"/>
      <c r="F42" s="35"/>
      <c r="G42" s="34"/>
      <c r="H42" s="34"/>
      <c r="I42" s="34"/>
      <c r="J42" s="34"/>
      <c r="K42" s="34"/>
      <c r="L42" s="34"/>
      <c r="M42" s="34"/>
      <c r="N42" s="34"/>
      <c r="O42" s="34"/>
      <c r="Q42" s="25"/>
      <c r="R42" s="25"/>
      <c r="S42" s="26"/>
      <c r="T42" s="26"/>
      <c r="U42" s="28"/>
      <c r="V42" s="25"/>
      <c r="W42" s="25"/>
    </row>
    <row r="43" spans="1:30" hidden="1" x14ac:dyDescent="0.25">
      <c r="A43" s="27" t="e">
        <f>_xll.qlSchedule(B43,C43,D43,E43,F43,G43,H43,I43,J43,K43,L43,M43,N43,O43)</f>
        <v>#NUM!</v>
      </c>
      <c r="B43" s="35" t="str">
        <f>Q43&amp;"Sch"</f>
        <v>USU9273ADF94Sch</v>
      </c>
      <c r="C43" s="36">
        <v>44159</v>
      </c>
      <c r="D43" s="36">
        <v>46715</v>
      </c>
      <c r="E43" s="34" t="str">
        <f>VLOOKUP(W43,Reference!$A$6:$B$8,2,FALSE)</f>
        <v>6M</v>
      </c>
      <c r="F43" s="35" t="str">
        <f>VLOOKUP(U43,Reference!$C$2:$D$6,2,FALSE)</f>
        <v>UnitedStates::Settlement</v>
      </c>
      <c r="G43" s="34" t="s">
        <v>96</v>
      </c>
      <c r="H43" s="34" t="s">
        <v>69</v>
      </c>
      <c r="I43" s="34" t="s">
        <v>97</v>
      </c>
      <c r="J43" s="34" t="b">
        <v>0</v>
      </c>
      <c r="K43" s="34"/>
      <c r="L43" s="34"/>
      <c r="M43" s="34" t="b">
        <v>0</v>
      </c>
      <c r="N43" s="34" t="e">
        <f>#REF!</f>
        <v>#REF!</v>
      </c>
      <c r="O43" s="34" t="b">
        <v>1</v>
      </c>
      <c r="Q43" s="25" t="s">
        <v>178</v>
      </c>
      <c r="R43" s="25" t="s">
        <v>242</v>
      </c>
      <c r="S43" s="26">
        <v>44159</v>
      </c>
      <c r="T43" s="26">
        <v>46715</v>
      </c>
      <c r="U43" s="28" t="s">
        <v>117</v>
      </c>
      <c r="V43" s="25">
        <v>5000000</v>
      </c>
      <c r="W43" s="25">
        <v>2</v>
      </c>
      <c r="X43" s="25">
        <v>1.625</v>
      </c>
      <c r="Y43" s="25" t="s">
        <v>243</v>
      </c>
      <c r="Z43" t="e">
        <f>A43</f>
        <v>#NUM!</v>
      </c>
      <c r="AA43" t="e">
        <f>VLOOKUP(Q43,$AC:$AD,2,FALSE)</f>
        <v>#N/A</v>
      </c>
      <c r="AB43">
        <v>97.491996765136719</v>
      </c>
      <c r="AC43" t="s">
        <v>185</v>
      </c>
      <c r="AD43" t="s">
        <v>247</v>
      </c>
    </row>
    <row r="44" spans="1:30" hidden="1" x14ac:dyDescent="0.25">
      <c r="A44" s="27" t="e">
        <f>_xll.qlSchedule(B44,C44,D44,E44,F44,G44,H44,I44,J44,K44,L44,M44,N44,O44)</f>
        <v>#NUM!</v>
      </c>
      <c r="B44" s="35" t="str">
        <f>Q44&amp;"Sch"</f>
        <v>USY4949FAF28Sch</v>
      </c>
      <c r="C44" s="36">
        <v>44223</v>
      </c>
      <c r="D44" s="36">
        <v>46049</v>
      </c>
      <c r="E44" s="34" t="str">
        <f>VLOOKUP(W44,Reference!$A$6:$B$8,2,FALSE)</f>
        <v>6M</v>
      </c>
      <c r="F44" s="35" t="str">
        <f>VLOOKUP(U44,Reference!$C$2:$D$6,2,FALSE)</f>
        <v>UnitedStates::Settlement</v>
      </c>
      <c r="G44" s="34" t="s">
        <v>96</v>
      </c>
      <c r="H44" s="34" t="s">
        <v>69</v>
      </c>
      <c r="I44" s="34" t="s">
        <v>97</v>
      </c>
      <c r="J44" s="34" t="b">
        <v>0</v>
      </c>
      <c r="K44" s="34"/>
      <c r="L44" s="34"/>
      <c r="M44" s="34" t="b">
        <v>0</v>
      </c>
      <c r="N44" s="34" t="e">
        <f>#REF!</f>
        <v>#REF!</v>
      </c>
      <c r="O44" s="34" t="b">
        <v>1</v>
      </c>
      <c r="Q44" s="25" t="s">
        <v>179</v>
      </c>
      <c r="R44" s="25" t="s">
        <v>242</v>
      </c>
      <c r="S44" s="26">
        <v>44223</v>
      </c>
      <c r="T44" s="26">
        <v>46049</v>
      </c>
      <c r="U44" s="28" t="s">
        <v>117</v>
      </c>
      <c r="V44" s="25">
        <v>6500000</v>
      </c>
      <c r="W44" s="25">
        <v>2</v>
      </c>
      <c r="X44" s="25">
        <v>0.75</v>
      </c>
      <c r="Y44" s="25" t="s">
        <v>243</v>
      </c>
      <c r="Z44" t="e">
        <f>A44</f>
        <v>#NUM!</v>
      </c>
      <c r="AA44" t="e">
        <f>VLOOKUP(Q44,$AC:$AD,2,FALSE)</f>
        <v>#N/A</v>
      </c>
      <c r="AB44">
        <v>96.661003112792969</v>
      </c>
      <c r="AC44" t="s">
        <v>215</v>
      </c>
      <c r="AD44" t="s">
        <v>103</v>
      </c>
    </row>
    <row r="45" spans="1:30" x14ac:dyDescent="0.25">
      <c r="A45" s="27"/>
      <c r="B45" s="35"/>
      <c r="C45" s="36"/>
      <c r="D45" s="36"/>
      <c r="E45" s="34"/>
      <c r="F45" s="35"/>
      <c r="G45" s="34"/>
      <c r="H45" s="34"/>
      <c r="I45" s="34"/>
      <c r="J45" s="34"/>
      <c r="K45" s="34"/>
      <c r="L45" s="34"/>
      <c r="M45" s="34"/>
      <c r="N45" s="34"/>
      <c r="O45" s="34"/>
      <c r="Q45" s="25"/>
      <c r="R45" s="25"/>
      <c r="S45" s="26"/>
      <c r="T45" s="26"/>
      <c r="U45" s="28"/>
      <c r="V45" s="25"/>
      <c r="W45" s="25"/>
    </row>
    <row r="46" spans="1:30" x14ac:dyDescent="0.25">
      <c r="A46" s="27"/>
      <c r="B46" s="35"/>
      <c r="C46" s="36"/>
      <c r="D46" s="36"/>
      <c r="E46" s="34"/>
      <c r="F46" s="35"/>
      <c r="G46" s="34"/>
      <c r="H46" s="34"/>
      <c r="I46" s="34"/>
      <c r="J46" s="34"/>
      <c r="M46" s="34"/>
      <c r="N46" s="34"/>
      <c r="O46" s="34"/>
      <c r="Q46" s="25"/>
      <c r="R46" s="25"/>
      <c r="S46" s="26"/>
      <c r="T46" s="26"/>
      <c r="U46" s="28"/>
      <c r="V46" s="25"/>
      <c r="W46" s="25"/>
    </row>
    <row r="47" spans="1:30" x14ac:dyDescent="0.25">
      <c r="A47" s="27"/>
      <c r="B47" s="35"/>
      <c r="C47" s="36"/>
      <c r="D47" s="36"/>
      <c r="E47" s="34"/>
      <c r="F47" s="35"/>
      <c r="G47" s="34"/>
      <c r="H47" s="34"/>
      <c r="I47" s="34"/>
      <c r="J47" s="34"/>
      <c r="M47" s="34"/>
      <c r="N47" s="34"/>
      <c r="O47" s="34"/>
      <c r="Q47" s="25"/>
      <c r="R47" s="25"/>
      <c r="S47" s="26"/>
      <c r="T47" s="26"/>
      <c r="U47" s="28"/>
      <c r="V47" s="25"/>
      <c r="W47" s="25"/>
    </row>
    <row r="48" spans="1:30" x14ac:dyDescent="0.25">
      <c r="A48" s="27"/>
      <c r="B48" s="35"/>
      <c r="C48" s="36"/>
      <c r="D48" s="36"/>
      <c r="E48" s="34"/>
      <c r="F48" s="35"/>
      <c r="G48" s="34"/>
      <c r="H48" s="34"/>
      <c r="I48" s="34"/>
      <c r="J48" s="34"/>
      <c r="M48" s="34"/>
      <c r="N48" s="34"/>
      <c r="O48" s="34"/>
      <c r="Q48" s="25"/>
      <c r="R48" s="25"/>
      <c r="S48" s="26"/>
      <c r="T48" s="26"/>
      <c r="U48" s="28"/>
      <c r="V48" s="25"/>
      <c r="W48" s="25"/>
    </row>
    <row r="49" spans="1:30" x14ac:dyDescent="0.25">
      <c r="A49" s="27"/>
      <c r="B49" s="35"/>
      <c r="C49" s="36"/>
      <c r="D49" s="36"/>
      <c r="E49" s="34"/>
      <c r="F49" s="35"/>
      <c r="G49" s="34"/>
      <c r="H49" s="34"/>
      <c r="I49" s="34"/>
      <c r="J49" s="34"/>
      <c r="M49" s="34"/>
      <c r="N49" s="34"/>
      <c r="O49" s="34"/>
      <c r="Q49" s="25"/>
      <c r="R49" s="25"/>
      <c r="S49" s="26"/>
      <c r="T49" s="26"/>
      <c r="U49" s="28"/>
      <c r="V49" s="25"/>
      <c r="W49" s="25"/>
    </row>
    <row r="50" spans="1:30" x14ac:dyDescent="0.25">
      <c r="A50" s="27"/>
      <c r="B50" s="35"/>
      <c r="C50" s="36"/>
      <c r="D50" s="36"/>
      <c r="E50" s="34"/>
      <c r="F50" s="35"/>
      <c r="G50" s="34"/>
      <c r="H50" s="34"/>
      <c r="I50" s="34"/>
      <c r="J50" s="34"/>
      <c r="M50" s="34"/>
      <c r="N50" s="34"/>
      <c r="O50" s="34"/>
      <c r="Q50" s="25"/>
      <c r="R50" s="25"/>
      <c r="S50" s="26"/>
      <c r="T50" s="26"/>
      <c r="U50" s="28"/>
      <c r="V50" s="25"/>
      <c r="W50" s="25"/>
    </row>
    <row r="51" spans="1:30" x14ac:dyDescent="0.25">
      <c r="A51" s="27"/>
      <c r="B51" s="35"/>
      <c r="C51" s="36"/>
      <c r="D51" s="36"/>
      <c r="E51" s="34"/>
      <c r="F51" s="35"/>
      <c r="G51" s="34"/>
      <c r="H51" s="34"/>
      <c r="I51" s="34"/>
      <c r="J51" s="34"/>
      <c r="M51" s="34"/>
      <c r="N51" s="34"/>
      <c r="O51" s="34"/>
      <c r="Q51" s="25"/>
      <c r="R51" s="25"/>
      <c r="S51" s="26"/>
      <c r="T51" s="26"/>
      <c r="U51" s="28"/>
      <c r="V51" s="25"/>
      <c r="W51" s="25"/>
    </row>
    <row r="52" spans="1:30" x14ac:dyDescent="0.25">
      <c r="A52" s="27"/>
      <c r="B52" s="35"/>
      <c r="C52" s="36"/>
      <c r="D52" s="36"/>
      <c r="E52" s="34"/>
      <c r="F52" s="35"/>
      <c r="G52" s="34"/>
      <c r="H52" s="34"/>
      <c r="I52" s="34"/>
      <c r="J52" s="34"/>
      <c r="M52" s="34"/>
      <c r="N52" s="34"/>
      <c r="O52" s="34"/>
      <c r="Q52" s="25"/>
      <c r="R52" s="25"/>
      <c r="S52" s="26"/>
      <c r="T52" s="26"/>
      <c r="U52" s="28"/>
      <c r="V52" s="25"/>
      <c r="W52" s="25"/>
    </row>
    <row r="53" spans="1:30" x14ac:dyDescent="0.25">
      <c r="A53" s="27"/>
      <c r="B53" s="35"/>
      <c r="C53" s="36"/>
      <c r="D53" s="36"/>
      <c r="E53" s="34"/>
      <c r="F53" s="35"/>
      <c r="G53" s="34"/>
      <c r="H53" s="34"/>
      <c r="I53" s="34"/>
      <c r="J53" s="34"/>
      <c r="M53" s="34"/>
      <c r="N53" s="34"/>
      <c r="O53" s="34"/>
      <c r="Q53" s="25"/>
      <c r="R53" s="25"/>
      <c r="S53" s="26"/>
      <c r="T53" s="26"/>
      <c r="U53" s="28"/>
      <c r="V53" s="25"/>
      <c r="W53" s="25"/>
    </row>
    <row r="54" spans="1:30" x14ac:dyDescent="0.25">
      <c r="A54" s="27"/>
      <c r="B54" s="35"/>
      <c r="C54" s="36"/>
      <c r="D54" s="36"/>
      <c r="E54" s="34"/>
      <c r="F54" s="35"/>
      <c r="G54" s="34"/>
      <c r="H54" s="34"/>
      <c r="I54" s="34"/>
      <c r="J54" s="34"/>
      <c r="M54" s="34"/>
      <c r="N54" s="34"/>
      <c r="O54" s="34"/>
      <c r="Q54" s="25"/>
      <c r="R54" s="25"/>
      <c r="S54" s="26"/>
      <c r="T54" s="26"/>
      <c r="U54" s="28"/>
      <c r="V54" s="25"/>
      <c r="W54" s="25"/>
    </row>
    <row r="55" spans="1:30" x14ac:dyDescent="0.25">
      <c r="A55" s="27"/>
      <c r="B55" s="35"/>
      <c r="C55" s="36"/>
      <c r="D55" s="36"/>
      <c r="E55" s="34"/>
      <c r="F55" s="35"/>
      <c r="G55" s="34"/>
      <c r="H55" s="34"/>
      <c r="I55" s="34"/>
      <c r="J55" s="34"/>
      <c r="M55" s="34"/>
      <c r="N55" s="34"/>
      <c r="O55" s="34"/>
      <c r="Q55" s="25"/>
      <c r="R55" s="25"/>
      <c r="S55" s="26"/>
      <c r="T55" s="26"/>
      <c r="U55" s="28"/>
      <c r="V55" s="25"/>
      <c r="W55" s="25"/>
    </row>
    <row r="56" spans="1:30" x14ac:dyDescent="0.25">
      <c r="A56" s="27"/>
      <c r="B56" s="35"/>
      <c r="C56" s="36"/>
      <c r="D56" s="36"/>
      <c r="E56" s="34"/>
      <c r="F56" s="35"/>
      <c r="G56" s="34"/>
      <c r="H56" s="34"/>
      <c r="I56" s="34"/>
      <c r="J56" s="34"/>
      <c r="M56" s="34"/>
      <c r="N56" s="34"/>
      <c r="O56" s="34"/>
      <c r="Q56" s="25"/>
      <c r="R56" s="25"/>
      <c r="S56" s="26"/>
      <c r="T56" s="26"/>
      <c r="U56" s="28"/>
      <c r="V56" s="25"/>
      <c r="W56" s="25"/>
    </row>
    <row r="57" spans="1:30" x14ac:dyDescent="0.25">
      <c r="A57" s="27"/>
      <c r="B57" s="35"/>
      <c r="C57" s="36"/>
      <c r="D57" s="36"/>
      <c r="E57" s="34"/>
      <c r="F57" s="35"/>
      <c r="G57" s="34"/>
      <c r="H57" s="34"/>
      <c r="I57" s="34"/>
      <c r="J57" s="34"/>
      <c r="M57" s="34"/>
      <c r="N57" s="34"/>
      <c r="O57" s="34"/>
      <c r="Q57" s="25"/>
      <c r="R57" s="25"/>
      <c r="S57" s="26"/>
      <c r="T57" s="26"/>
      <c r="U57" s="28"/>
      <c r="V57" s="25"/>
      <c r="W57" s="25"/>
    </row>
    <row r="58" spans="1:30" hidden="1" x14ac:dyDescent="0.25">
      <c r="A58" s="27" t="e">
        <f>_xll.qlSchedule(B58,C58,D58,E58,F58,G58,H58,I58,J58,K58,L58,M58,N58,O58)</f>
        <v>#NUM!</v>
      </c>
      <c r="B58" s="35" t="str">
        <f t="shared" ref="B58:B71" si="0">Q58&amp;"Sch"</f>
        <v>XS2190999834Sch</v>
      </c>
      <c r="C58" s="36">
        <v>44006</v>
      </c>
      <c r="D58" s="36">
        <v>45832</v>
      </c>
      <c r="E58" s="34" t="str">
        <f>VLOOKUP(W58,Reference!$A$6:$B$8,2,FALSE)</f>
        <v>6M</v>
      </c>
      <c r="F58" s="35" t="str">
        <f>VLOOKUP(U58,Reference!$C$2:$D$6,2,FALSE)</f>
        <v>UnitedStates::Settlement</v>
      </c>
      <c r="G58" s="34" t="s">
        <v>96</v>
      </c>
      <c r="H58" s="34" t="s">
        <v>69</v>
      </c>
      <c r="I58" s="34" t="s">
        <v>97</v>
      </c>
      <c r="J58" s="34" t="b">
        <v>0</v>
      </c>
      <c r="M58" s="34" t="b">
        <v>0</v>
      </c>
      <c r="N58" s="34" t="e">
        <f>#REF!</f>
        <v>#REF!</v>
      </c>
      <c r="O58" s="34" t="b">
        <v>1</v>
      </c>
      <c r="Q58" s="25" t="s">
        <v>184</v>
      </c>
      <c r="R58" s="25" t="s">
        <v>242</v>
      </c>
      <c r="S58" s="26">
        <v>44006</v>
      </c>
      <c r="T58" s="26">
        <v>45832</v>
      </c>
      <c r="U58" s="28" t="s">
        <v>117</v>
      </c>
      <c r="V58" s="25">
        <v>3000000</v>
      </c>
      <c r="W58" s="25">
        <v>2</v>
      </c>
      <c r="X58" s="25">
        <v>1.25</v>
      </c>
      <c r="Y58" s="25" t="s">
        <v>243</v>
      </c>
      <c r="Z58" t="e">
        <f t="shared" ref="Z58:Z71" si="1">A58</f>
        <v>#NUM!</v>
      </c>
      <c r="AA58" t="str">
        <f t="shared" ref="AA58:AA71" si="2">VLOOKUP(Q58,$AC:$AD,2,FALSE)</f>
        <v>A(S &amp; P)</v>
      </c>
      <c r="AB58">
        <v>98.654998779296875</v>
      </c>
      <c r="AC58" t="s">
        <v>149</v>
      </c>
      <c r="AD58" t="s">
        <v>247</v>
      </c>
    </row>
    <row r="59" spans="1:30" hidden="1" x14ac:dyDescent="0.25">
      <c r="A59" s="27" t="e">
        <f>_xll.qlSchedule(B59,C59,D59,E59,F59,G59,H59,I59,J59,K59,L59,M59,N59,O59)</f>
        <v>#NUM!</v>
      </c>
      <c r="B59" s="35" t="str">
        <f t="shared" si="0"/>
        <v>XS2208843503Sch</v>
      </c>
      <c r="C59" s="36">
        <v>44047</v>
      </c>
      <c r="D59" s="36">
        <v>45142</v>
      </c>
      <c r="E59" s="34" t="str">
        <f>VLOOKUP(W59,Reference!$A$6:$B$8,2,FALSE)</f>
        <v>6M</v>
      </c>
      <c r="F59" s="35" t="str">
        <f>VLOOKUP(U59,Reference!$C$2:$D$6,2,FALSE)</f>
        <v>UnitedStates::Settlement</v>
      </c>
      <c r="G59" s="34" t="s">
        <v>96</v>
      </c>
      <c r="H59" s="34" t="s">
        <v>69</v>
      </c>
      <c r="I59" s="34" t="s">
        <v>97</v>
      </c>
      <c r="J59" s="34" t="b">
        <v>0</v>
      </c>
      <c r="M59" s="34" t="b">
        <v>0</v>
      </c>
      <c r="N59" s="34" t="e">
        <f>#REF!</f>
        <v>#REF!</v>
      </c>
      <c r="O59" s="34" t="b">
        <v>1</v>
      </c>
      <c r="Q59" s="25" t="s">
        <v>185</v>
      </c>
      <c r="R59" s="25" t="s">
        <v>242</v>
      </c>
      <c r="S59" s="26">
        <v>44047</v>
      </c>
      <c r="T59" s="26">
        <v>45142</v>
      </c>
      <c r="U59" s="28" t="s">
        <v>117</v>
      </c>
      <c r="V59" s="25">
        <v>500000</v>
      </c>
      <c r="W59" s="25">
        <v>2</v>
      </c>
      <c r="X59" s="25">
        <v>1</v>
      </c>
      <c r="Y59" s="25" t="s">
        <v>243</v>
      </c>
      <c r="Z59" t="e">
        <f t="shared" si="1"/>
        <v>#NUM!</v>
      </c>
      <c r="AA59" t="str">
        <f t="shared" si="2"/>
        <v>A1(Moody's)</v>
      </c>
      <c r="AB59">
        <v>100.0019989013672</v>
      </c>
      <c r="AC59" t="s">
        <v>156</v>
      </c>
      <c r="AD59" t="s">
        <v>256</v>
      </c>
    </row>
    <row r="60" spans="1:30" hidden="1" x14ac:dyDescent="0.25">
      <c r="A60" s="27" t="e">
        <f>_xll.qlSchedule(B60,C60,D60,E60,F60,G60,H60,I60,J60,K60,L60,M60,N60,O60)</f>
        <v>#NUM!</v>
      </c>
      <c r="B60" s="35" t="str">
        <f t="shared" si="0"/>
        <v>XS2208844493Sch</v>
      </c>
      <c r="C60" s="36">
        <v>44047</v>
      </c>
      <c r="D60" s="36">
        <v>45873</v>
      </c>
      <c r="E60" s="34" t="str">
        <f>VLOOKUP(W60,Reference!$A$6:$B$8,2,FALSE)</f>
        <v>6M</v>
      </c>
      <c r="F60" s="35" t="str">
        <f>VLOOKUP(U60,Reference!$C$2:$D$6,2,FALSE)</f>
        <v>UnitedStates::Settlement</v>
      </c>
      <c r="G60" s="34" t="s">
        <v>96</v>
      </c>
      <c r="H60" s="34" t="s">
        <v>69</v>
      </c>
      <c r="I60" s="34" t="s">
        <v>97</v>
      </c>
      <c r="J60" s="34" t="b">
        <v>0</v>
      </c>
      <c r="M60" s="34" t="b">
        <v>0</v>
      </c>
      <c r="N60" s="34" t="e">
        <f>#REF!</f>
        <v>#REF!</v>
      </c>
      <c r="O60" s="34" t="b">
        <v>1</v>
      </c>
      <c r="Q60" s="25" t="s">
        <v>186</v>
      </c>
      <c r="R60" s="25" t="s">
        <v>242</v>
      </c>
      <c r="S60" s="26">
        <v>44047</v>
      </c>
      <c r="T60" s="26">
        <v>45873</v>
      </c>
      <c r="U60" s="28" t="s">
        <v>117</v>
      </c>
      <c r="V60" s="25">
        <v>4000000</v>
      </c>
      <c r="W60" s="25">
        <v>2</v>
      </c>
      <c r="X60" s="25">
        <v>1.25</v>
      </c>
      <c r="Y60" s="25" t="s">
        <v>243</v>
      </c>
      <c r="Z60" t="e">
        <f t="shared" si="1"/>
        <v>#NUM!</v>
      </c>
      <c r="AA60" t="e">
        <f t="shared" si="2"/>
        <v>#N/A</v>
      </c>
      <c r="AB60">
        <v>98.722999572753906</v>
      </c>
      <c r="AC60" t="s">
        <v>157</v>
      </c>
      <c r="AD60" t="s">
        <v>247</v>
      </c>
    </row>
    <row r="61" spans="1:30" hidden="1" x14ac:dyDescent="0.25">
      <c r="A61" s="27" t="e">
        <f>_xll.qlSchedule(B61,C61,D61,E61,F61,G61,H61,I61,J61,K61,L61,M61,N61,O61)</f>
        <v>#NUM!</v>
      </c>
      <c r="B61" s="35" t="str">
        <f t="shared" si="0"/>
        <v>XS2218281942Sch</v>
      </c>
      <c r="C61" s="36">
        <v>44075</v>
      </c>
      <c r="D61" s="36">
        <v>45901</v>
      </c>
      <c r="E61" s="34" t="str">
        <f>VLOOKUP(W61,Reference!$A$6:$B$8,2,FALSE)</f>
        <v>6M</v>
      </c>
      <c r="F61" s="35" t="str">
        <f>VLOOKUP(U61,Reference!$C$2:$D$6,2,FALSE)</f>
        <v>UnitedStates::Settlement</v>
      </c>
      <c r="G61" s="34" t="s">
        <v>96</v>
      </c>
      <c r="H61" s="34" t="s">
        <v>69</v>
      </c>
      <c r="I61" s="34" t="s">
        <v>97</v>
      </c>
      <c r="J61" s="34" t="b">
        <v>0</v>
      </c>
      <c r="M61" s="34" t="b">
        <v>0</v>
      </c>
      <c r="N61" s="34" t="e">
        <f>#REF!</f>
        <v>#REF!</v>
      </c>
      <c r="O61" s="34" t="b">
        <v>1</v>
      </c>
      <c r="Q61" s="25" t="s">
        <v>187</v>
      </c>
      <c r="R61" s="25" t="s">
        <v>242</v>
      </c>
      <c r="S61" s="26">
        <v>44075</v>
      </c>
      <c r="T61" s="26">
        <v>45901</v>
      </c>
      <c r="U61" s="28" t="s">
        <v>117</v>
      </c>
      <c r="V61" s="25">
        <v>10000000</v>
      </c>
      <c r="W61" s="25">
        <v>2</v>
      </c>
      <c r="X61" s="25">
        <v>1</v>
      </c>
      <c r="Y61" s="25" t="s">
        <v>243</v>
      </c>
      <c r="Z61" t="e">
        <f t="shared" si="1"/>
        <v>#NUM!</v>
      </c>
      <c r="AA61" t="e">
        <f t="shared" si="2"/>
        <v>#N/A</v>
      </c>
      <c r="AB61">
        <v>98.200996398925781</v>
      </c>
      <c r="AC61" t="s">
        <v>158</v>
      </c>
      <c r="AD61" t="s">
        <v>246</v>
      </c>
    </row>
    <row r="62" spans="1:30" hidden="1" x14ac:dyDescent="0.25">
      <c r="A62" s="27" t="e">
        <f>_xll.qlSchedule(B62,C62,D62,E62,F62,G62,H62,I62,J62,K62,L62,M62,N62,O62)</f>
        <v>#NUM!</v>
      </c>
      <c r="B62" s="35" t="str">
        <f t="shared" si="0"/>
        <v>XS2236363227Sch</v>
      </c>
      <c r="C62" s="36">
        <v>44132</v>
      </c>
      <c r="D62" s="36">
        <v>47784</v>
      </c>
      <c r="E62" s="34" t="str">
        <f>VLOOKUP(W62,Reference!$A$6:$B$8,2,FALSE)</f>
        <v>6M</v>
      </c>
      <c r="F62" s="35" t="str">
        <f>VLOOKUP(U62,Reference!$C$2:$D$6,2,FALSE)</f>
        <v>UnitedStates::Settlement</v>
      </c>
      <c r="G62" s="34" t="s">
        <v>96</v>
      </c>
      <c r="H62" s="34" t="s">
        <v>69</v>
      </c>
      <c r="I62" s="34" t="s">
        <v>97</v>
      </c>
      <c r="J62" s="34" t="b">
        <v>0</v>
      </c>
      <c r="M62" s="34" t="b">
        <v>0</v>
      </c>
      <c r="N62" s="34" t="e">
        <f>#REF!</f>
        <v>#REF!</v>
      </c>
      <c r="O62" s="34" t="b">
        <v>1</v>
      </c>
      <c r="Q62" s="25" t="s">
        <v>188</v>
      </c>
      <c r="R62" s="25" t="s">
        <v>242</v>
      </c>
      <c r="S62" s="26">
        <v>44132</v>
      </c>
      <c r="T62" s="26">
        <v>47784</v>
      </c>
      <c r="U62" s="28" t="s">
        <v>117</v>
      </c>
      <c r="V62" s="25">
        <v>11000000</v>
      </c>
      <c r="W62" s="25">
        <v>2</v>
      </c>
      <c r="X62" s="25">
        <v>2.5</v>
      </c>
      <c r="Y62" s="25" t="s">
        <v>243</v>
      </c>
      <c r="Z62" t="e">
        <f t="shared" si="1"/>
        <v>#NUM!</v>
      </c>
      <c r="AA62" t="e">
        <f t="shared" si="2"/>
        <v>#N/A</v>
      </c>
      <c r="AB62">
        <v>99.765998840332031</v>
      </c>
      <c r="AC62" t="s">
        <v>159</v>
      </c>
      <c r="AD62" t="s">
        <v>257</v>
      </c>
    </row>
    <row r="63" spans="1:30" hidden="1" x14ac:dyDescent="0.25">
      <c r="A63" s="27" t="e">
        <f>_xll.qlSchedule(B63,C63,D63,E63,F63,G63,H63,I63,J63,K63,L63,M63,N63,O63)</f>
        <v>#NUM!</v>
      </c>
      <c r="B63" s="35" t="str">
        <f t="shared" si="0"/>
        <v>XS2262853265Sch</v>
      </c>
      <c r="C63" s="36">
        <v>44159</v>
      </c>
      <c r="D63" s="36">
        <v>47811</v>
      </c>
      <c r="E63" s="34" t="str">
        <f>VLOOKUP(W63,Reference!$A$6:$B$8,2,FALSE)</f>
        <v>6M</v>
      </c>
      <c r="F63" s="35" t="str">
        <f>VLOOKUP(U63,Reference!$C$2:$D$6,2,FALSE)</f>
        <v>UnitedStates::Settlement</v>
      </c>
      <c r="G63" s="34" t="s">
        <v>96</v>
      </c>
      <c r="H63" s="34" t="s">
        <v>69</v>
      </c>
      <c r="I63" s="34" t="s">
        <v>97</v>
      </c>
      <c r="J63" s="34" t="b">
        <v>0</v>
      </c>
      <c r="M63" s="34" t="b">
        <v>0</v>
      </c>
      <c r="N63" s="34" t="e">
        <f>#REF!</f>
        <v>#REF!</v>
      </c>
      <c r="O63" s="34" t="b">
        <v>1</v>
      </c>
      <c r="Q63" s="25" t="s">
        <v>189</v>
      </c>
      <c r="R63" s="25" t="s">
        <v>242</v>
      </c>
      <c r="S63" s="26">
        <v>44159</v>
      </c>
      <c r="T63" s="26">
        <v>47811</v>
      </c>
      <c r="U63" s="28" t="s">
        <v>117</v>
      </c>
      <c r="V63" s="25">
        <v>5000000</v>
      </c>
      <c r="W63" s="25">
        <v>2</v>
      </c>
      <c r="X63" s="25">
        <v>2.25</v>
      </c>
      <c r="Y63" s="25" t="s">
        <v>243</v>
      </c>
      <c r="Z63" t="e">
        <f t="shared" si="1"/>
        <v>#NUM!</v>
      </c>
      <c r="AA63" t="str">
        <f t="shared" si="2"/>
        <v>A(Fitch)</v>
      </c>
      <c r="AB63">
        <v>96.647003173828125</v>
      </c>
      <c r="AC63" t="s">
        <v>160</v>
      </c>
      <c r="AD63" t="s">
        <v>257</v>
      </c>
    </row>
    <row r="64" spans="1:30" hidden="1" x14ac:dyDescent="0.25">
      <c r="A64" s="27" t="e">
        <f>_xll.qlSchedule(B64,C64,D64,E64,F64,G64,H64,I64,J64,K64,L64,M64,N64,O64)</f>
        <v>#NUM!</v>
      </c>
      <c r="B64" s="35" t="str">
        <f t="shared" si="0"/>
        <v>XS2265238639Sch</v>
      </c>
      <c r="C64" s="36">
        <v>44175</v>
      </c>
      <c r="D64" s="36">
        <v>46001</v>
      </c>
      <c r="E64" s="34" t="str">
        <f>VLOOKUP(W64,Reference!$A$6:$B$8,2,FALSE)</f>
        <v>1Y</v>
      </c>
      <c r="F64" s="35" t="str">
        <f>VLOOKUP(U64,Reference!$C$2:$D$6,2,FALSE)</f>
        <v>UnitedStates::Settlement</v>
      </c>
      <c r="G64" s="34" t="s">
        <v>96</v>
      </c>
      <c r="H64" s="34" t="s">
        <v>69</v>
      </c>
      <c r="I64" s="34" t="s">
        <v>97</v>
      </c>
      <c r="J64" s="34" t="b">
        <v>0</v>
      </c>
      <c r="M64" s="34" t="b">
        <v>0</v>
      </c>
      <c r="N64" s="34" t="e">
        <f>#REF!</f>
        <v>#REF!</v>
      </c>
      <c r="O64" s="34" t="b">
        <v>1</v>
      </c>
      <c r="Q64" s="25" t="s">
        <v>190</v>
      </c>
      <c r="R64" s="25" t="s">
        <v>242</v>
      </c>
      <c r="S64" s="26">
        <v>44175</v>
      </c>
      <c r="T64" s="26">
        <v>46001</v>
      </c>
      <c r="U64" s="28" t="s">
        <v>117</v>
      </c>
      <c r="V64" s="25">
        <v>1500000</v>
      </c>
      <c r="W64" s="25">
        <v>1</v>
      </c>
      <c r="X64" s="25">
        <v>0.89400000000000002</v>
      </c>
      <c r="Y64" s="25" t="s">
        <v>243</v>
      </c>
      <c r="Z64" t="e">
        <f t="shared" si="1"/>
        <v>#NUM!</v>
      </c>
      <c r="AA64" t="str">
        <f t="shared" si="2"/>
        <v>A1(Moody's)</v>
      </c>
      <c r="AB64">
        <v>97.570999145507813</v>
      </c>
      <c r="AC64" t="s">
        <v>161</v>
      </c>
      <c r="AD64" t="s">
        <v>103</v>
      </c>
    </row>
    <row r="65" spans="1:30" hidden="1" x14ac:dyDescent="0.25">
      <c r="A65" s="27" t="e">
        <f>_xll.qlSchedule(B65,C65,D65,E65,F65,G65,H65,I65,J65,K65,L65,M65,N65,O65)</f>
        <v>#NUM!</v>
      </c>
      <c r="B65" s="35" t="str">
        <f t="shared" si="0"/>
        <v>XS2294493544Sch</v>
      </c>
      <c r="C65" s="36">
        <v>44237</v>
      </c>
      <c r="D65" s="36">
        <v>46063</v>
      </c>
      <c r="E65" s="34" t="str">
        <f>VLOOKUP(W65,Reference!$A$6:$B$8,2,FALSE)</f>
        <v>6M</v>
      </c>
      <c r="F65" s="35" t="str">
        <f>VLOOKUP(U65,Reference!$C$2:$D$6,2,FALSE)</f>
        <v>UnitedStates::Settlement</v>
      </c>
      <c r="G65" s="34" t="s">
        <v>96</v>
      </c>
      <c r="H65" s="34" t="s">
        <v>69</v>
      </c>
      <c r="I65" s="34" t="s">
        <v>97</v>
      </c>
      <c r="J65" s="34" t="b">
        <v>0</v>
      </c>
      <c r="M65" s="34" t="b">
        <v>0</v>
      </c>
      <c r="N65" s="34" t="e">
        <f>#REF!</f>
        <v>#REF!</v>
      </c>
      <c r="O65" s="34" t="b">
        <v>1</v>
      </c>
      <c r="Q65" s="25" t="s">
        <v>191</v>
      </c>
      <c r="R65" s="25" t="s">
        <v>242</v>
      </c>
      <c r="S65" s="26">
        <v>44237</v>
      </c>
      <c r="T65" s="26">
        <v>46063</v>
      </c>
      <c r="U65" s="28" t="s">
        <v>117</v>
      </c>
      <c r="V65" s="25">
        <v>5000000</v>
      </c>
      <c r="W65" s="25">
        <v>2</v>
      </c>
      <c r="X65" s="25">
        <v>1.26</v>
      </c>
      <c r="Y65" s="25" t="s">
        <v>243</v>
      </c>
      <c r="Z65" t="e">
        <f t="shared" si="1"/>
        <v>#NUM!</v>
      </c>
      <c r="AA65" t="str">
        <f t="shared" si="2"/>
        <v>Aa2(Moody's)</v>
      </c>
      <c r="AB65">
        <v>98.853996276855469</v>
      </c>
      <c r="AC65" t="s">
        <v>162</v>
      </c>
      <c r="AD65" t="s">
        <v>247</v>
      </c>
    </row>
    <row r="66" spans="1:30" hidden="1" x14ac:dyDescent="0.25">
      <c r="A66" s="27" t="e">
        <f>_xll.qlSchedule(B66,C66,D66,E66,F66,G66,H66,I66,J66,K66,L66,M66,N66,O66)</f>
        <v>#NUM!</v>
      </c>
      <c r="B66" s="35" t="str">
        <f t="shared" si="0"/>
        <v>XS2315827209Sch</v>
      </c>
      <c r="C66" s="36">
        <v>44285</v>
      </c>
      <c r="D66" s="36">
        <v>46111</v>
      </c>
      <c r="E66" s="34" t="str">
        <f>VLOOKUP(W66,Reference!$A$6:$B$8,2,FALSE)</f>
        <v>6M</v>
      </c>
      <c r="F66" s="35" t="str">
        <f>VLOOKUP(U66,Reference!$C$2:$D$6,2,FALSE)</f>
        <v>UnitedStates::Settlement</v>
      </c>
      <c r="G66" s="34" t="s">
        <v>96</v>
      </c>
      <c r="H66" s="34" t="s">
        <v>69</v>
      </c>
      <c r="I66" s="34" t="s">
        <v>97</v>
      </c>
      <c r="J66" s="34" t="b">
        <v>0</v>
      </c>
      <c r="M66" s="34" t="b">
        <v>0</v>
      </c>
      <c r="N66" s="34" t="e">
        <f>#REF!</f>
        <v>#REF!</v>
      </c>
      <c r="O66" s="34" t="b">
        <v>1</v>
      </c>
      <c r="Q66" s="25" t="s">
        <v>192</v>
      </c>
      <c r="R66" s="25" t="s">
        <v>242</v>
      </c>
      <c r="S66" s="26">
        <v>44285</v>
      </c>
      <c r="T66" s="26">
        <v>46111</v>
      </c>
      <c r="U66" s="28" t="s">
        <v>117</v>
      </c>
      <c r="V66" s="25">
        <v>5000000</v>
      </c>
      <c r="W66" s="25">
        <v>2</v>
      </c>
      <c r="X66" s="25">
        <v>1.5640000000000001</v>
      </c>
      <c r="Y66" s="25" t="s">
        <v>243</v>
      </c>
      <c r="Z66" t="e">
        <f t="shared" si="1"/>
        <v>#NUM!</v>
      </c>
      <c r="AA66" t="str">
        <f t="shared" si="2"/>
        <v>A3(Moody's)</v>
      </c>
      <c r="AB66">
        <v>99.752998352050781</v>
      </c>
      <c r="AC66" t="s">
        <v>163</v>
      </c>
      <c r="AD66" t="s">
        <v>252</v>
      </c>
    </row>
    <row r="67" spans="1:30" hidden="1" x14ac:dyDescent="0.25">
      <c r="A67" s="27" t="e">
        <f>_xll.qlSchedule(B67,C67,D67,E67,F67,G67,H67,I67,J67,K67,L67,M67,N67,O67)</f>
        <v>#NUM!</v>
      </c>
      <c r="B67" s="35" t="str">
        <f t="shared" si="0"/>
        <v>XS2315967989Sch</v>
      </c>
      <c r="C67" s="36">
        <v>44284</v>
      </c>
      <c r="D67" s="36">
        <v>46110</v>
      </c>
      <c r="E67" s="34" t="str">
        <f>VLOOKUP(W67,Reference!$A$6:$B$8,2,FALSE)</f>
        <v>6M</v>
      </c>
      <c r="F67" s="35" t="str">
        <f>VLOOKUP(U67,Reference!$C$2:$D$6,2,FALSE)</f>
        <v>UnitedStates::Settlement</v>
      </c>
      <c r="G67" s="34" t="s">
        <v>96</v>
      </c>
      <c r="H67" s="34" t="s">
        <v>69</v>
      </c>
      <c r="I67" s="34" t="s">
        <v>97</v>
      </c>
      <c r="J67" s="34" t="b">
        <v>0</v>
      </c>
      <c r="M67" s="34" t="b">
        <v>0</v>
      </c>
      <c r="N67" s="34" t="e">
        <f>#REF!</f>
        <v>#REF!</v>
      </c>
      <c r="O67" s="34" t="b">
        <v>1</v>
      </c>
      <c r="Q67" s="25" t="s">
        <v>193</v>
      </c>
      <c r="R67" s="25" t="s">
        <v>242</v>
      </c>
      <c r="S67" s="26">
        <v>44284</v>
      </c>
      <c r="T67" s="26">
        <v>46110</v>
      </c>
      <c r="U67" s="28" t="s">
        <v>117</v>
      </c>
      <c r="V67" s="25">
        <v>5000000</v>
      </c>
      <c r="W67" s="25">
        <v>2</v>
      </c>
      <c r="X67" s="25">
        <v>1.5</v>
      </c>
      <c r="Y67" s="25" t="s">
        <v>243</v>
      </c>
      <c r="Z67" t="e">
        <f t="shared" si="1"/>
        <v>#NUM!</v>
      </c>
      <c r="AA67" t="str">
        <f t="shared" si="2"/>
        <v>A3(Moody's)</v>
      </c>
      <c r="AB67">
        <v>98.722000122070313</v>
      </c>
      <c r="AC67" t="s">
        <v>164</v>
      </c>
      <c r="AD67" t="s">
        <v>252</v>
      </c>
    </row>
    <row r="68" spans="1:30" hidden="1" x14ac:dyDescent="0.25">
      <c r="A68" s="27" t="e">
        <f>_xll.qlSchedule(B68,C68,D68,E68,F68,G68,H68,I68,J68,K68,L68,M68,N68,O68)</f>
        <v>#NUM!</v>
      </c>
      <c r="B68" s="35" t="str">
        <f t="shared" si="0"/>
        <v>XS2341140932Sch</v>
      </c>
      <c r="C68" s="36">
        <v>44370</v>
      </c>
      <c r="D68" s="36">
        <v>46196</v>
      </c>
      <c r="E68" s="34" t="str">
        <f>VLOOKUP(W68,Reference!$A$6:$B$8,2,FALSE)</f>
        <v>6M</v>
      </c>
      <c r="F68" s="35" t="str">
        <f>VLOOKUP(U68,Reference!$C$2:$D$6,2,FALSE)</f>
        <v>UnitedStates::Settlement</v>
      </c>
      <c r="G68" s="34" t="s">
        <v>96</v>
      </c>
      <c r="H68" s="34" t="s">
        <v>69</v>
      </c>
      <c r="I68" s="34" t="s">
        <v>97</v>
      </c>
      <c r="J68" s="34" t="b">
        <v>0</v>
      </c>
      <c r="M68" s="34" t="b">
        <v>0</v>
      </c>
      <c r="N68" s="34" t="e">
        <f>#REF!</f>
        <v>#REF!</v>
      </c>
      <c r="O68" s="34" t="b">
        <v>1</v>
      </c>
      <c r="Q68" s="25" t="s">
        <v>194</v>
      </c>
      <c r="R68" s="25" t="s">
        <v>242</v>
      </c>
      <c r="S68" s="26">
        <v>44370</v>
      </c>
      <c r="T68" s="26">
        <v>46196</v>
      </c>
      <c r="U68" s="28" t="s">
        <v>117</v>
      </c>
      <c r="V68" s="25">
        <v>5000000</v>
      </c>
      <c r="W68" s="25">
        <v>2</v>
      </c>
      <c r="X68" s="25">
        <v>1.375</v>
      </c>
      <c r="Y68" s="25" t="s">
        <v>243</v>
      </c>
      <c r="Z68" t="e">
        <f t="shared" si="1"/>
        <v>#NUM!</v>
      </c>
      <c r="AA68" t="str">
        <f t="shared" si="2"/>
        <v>A2(Moody's)</v>
      </c>
      <c r="AB68">
        <v>97.869003295898438</v>
      </c>
      <c r="AC68" t="s">
        <v>165</v>
      </c>
      <c r="AD68" t="s">
        <v>103</v>
      </c>
    </row>
    <row r="69" spans="1:30" hidden="1" x14ac:dyDescent="0.25">
      <c r="A69" s="27" t="e">
        <f>_xll.qlSchedule(B69,C69,D69,E69,F69,G69,H69,I69,J69,K69,L69,M69,N69,O69)</f>
        <v>#NUM!</v>
      </c>
      <c r="B69" s="35" t="str">
        <f t="shared" si="0"/>
        <v>XS2364514708Sch</v>
      </c>
      <c r="C69" s="36">
        <v>44398</v>
      </c>
      <c r="D69" s="36">
        <v>46224</v>
      </c>
      <c r="E69" s="34" t="str">
        <f>VLOOKUP(W69,Reference!$A$6:$B$8,2,FALSE)</f>
        <v>6M</v>
      </c>
      <c r="F69" s="35" t="str">
        <f>VLOOKUP(U69,Reference!$C$2:$D$6,2,FALSE)</f>
        <v>UnitedStates::Settlement</v>
      </c>
      <c r="G69" s="34" t="s">
        <v>96</v>
      </c>
      <c r="H69" s="34" t="s">
        <v>69</v>
      </c>
      <c r="I69" s="34" t="s">
        <v>97</v>
      </c>
      <c r="J69" s="34" t="b">
        <v>0</v>
      </c>
      <c r="M69" s="34" t="b">
        <v>0</v>
      </c>
      <c r="N69" s="34" t="e">
        <f>#REF!</f>
        <v>#REF!</v>
      </c>
      <c r="O69" s="34" t="b">
        <v>1</v>
      </c>
      <c r="Q69" s="25" t="s">
        <v>195</v>
      </c>
      <c r="R69" s="25" t="s">
        <v>242</v>
      </c>
      <c r="S69" s="26">
        <v>44398</v>
      </c>
      <c r="T69" s="26">
        <v>46224</v>
      </c>
      <c r="U69" s="28" t="s">
        <v>117</v>
      </c>
      <c r="V69" s="25">
        <v>7000000</v>
      </c>
      <c r="W69" s="25">
        <v>2</v>
      </c>
      <c r="X69" s="25">
        <v>1.71</v>
      </c>
      <c r="Y69" s="25" t="s">
        <v>243</v>
      </c>
      <c r="Z69" t="e">
        <f t="shared" si="1"/>
        <v>#NUM!</v>
      </c>
      <c r="AA69" t="str">
        <f t="shared" si="2"/>
        <v>Aa3(Moody's)</v>
      </c>
      <c r="AB69">
        <v>98.92431640625</v>
      </c>
      <c r="AC69" t="s">
        <v>167</v>
      </c>
      <c r="AD69" t="s">
        <v>253</v>
      </c>
    </row>
    <row r="70" spans="1:30" hidden="1" x14ac:dyDescent="0.25">
      <c r="A70" s="27" t="e">
        <f>_xll.qlSchedule(B70,C70,D70,E70,F70,G70,H70,I70,J70,K70,L70,M70,N70,O70)</f>
        <v>#NUM!</v>
      </c>
      <c r="B70" s="35" t="str">
        <f t="shared" si="0"/>
        <v>XS2384719667Sch</v>
      </c>
      <c r="C70" s="36">
        <v>44463</v>
      </c>
      <c r="D70" s="36">
        <v>46289</v>
      </c>
      <c r="E70" s="34" t="str">
        <f>VLOOKUP(W70,Reference!$A$6:$B$8,2,FALSE)</f>
        <v>6M</v>
      </c>
      <c r="F70" s="35" t="str">
        <f>VLOOKUP(U70,Reference!$C$2:$D$6,2,FALSE)</f>
        <v>UnitedStates::Settlement</v>
      </c>
      <c r="G70" s="34" t="s">
        <v>96</v>
      </c>
      <c r="H70" s="34" t="s">
        <v>69</v>
      </c>
      <c r="I70" s="34" t="s">
        <v>97</v>
      </c>
      <c r="J70" s="34" t="b">
        <v>0</v>
      </c>
      <c r="M70" s="34" t="b">
        <v>0</v>
      </c>
      <c r="N70" s="34" t="e">
        <f>#REF!</f>
        <v>#REF!</v>
      </c>
      <c r="O70" s="34" t="b">
        <v>1</v>
      </c>
      <c r="Q70" s="25" t="s">
        <v>196</v>
      </c>
      <c r="R70" s="25" t="s">
        <v>242</v>
      </c>
      <c r="S70" s="26">
        <v>44463</v>
      </c>
      <c r="T70" s="26">
        <v>46289</v>
      </c>
      <c r="U70" s="28" t="s">
        <v>117</v>
      </c>
      <c r="V70" s="25">
        <v>3000000</v>
      </c>
      <c r="W70" s="25">
        <v>2</v>
      </c>
      <c r="X70" s="25">
        <v>1.885</v>
      </c>
      <c r="Y70" s="25" t="s">
        <v>243</v>
      </c>
      <c r="Z70" t="e">
        <f t="shared" si="1"/>
        <v>#NUM!</v>
      </c>
      <c r="AA70" t="e">
        <f t="shared" si="2"/>
        <v>#N/A</v>
      </c>
      <c r="AB70">
        <v>98.559547424316406</v>
      </c>
      <c r="AC70" t="s">
        <v>168</v>
      </c>
      <c r="AD70" t="s">
        <v>103</v>
      </c>
    </row>
    <row r="71" spans="1:30" hidden="1" x14ac:dyDescent="0.25">
      <c r="A71" s="27" t="e">
        <f>_xll.qlSchedule(B71,C71,D71,E71,F71,G71,H71,I71,J71,K71,L71,M71,N71,O71)</f>
        <v>#NUM!</v>
      </c>
      <c r="B71" s="35" t="str">
        <f t="shared" si="0"/>
        <v>US00131MAH60Sch</v>
      </c>
      <c r="C71" s="36">
        <v>43564</v>
      </c>
      <c r="D71" s="36">
        <v>47217</v>
      </c>
      <c r="E71" s="34" t="str">
        <f>VLOOKUP(W71,Reference!$A$6:$B$8,2,FALSE)</f>
        <v>6M</v>
      </c>
      <c r="F71" s="35" t="str">
        <f>VLOOKUP(U71,Reference!$C$2:$D$6,2,FALSE)</f>
        <v>UnitedStates::Settlement</v>
      </c>
      <c r="G71" s="34" t="s">
        <v>96</v>
      </c>
      <c r="H71" s="34" t="s">
        <v>69</v>
      </c>
      <c r="I71" s="34" t="s">
        <v>97</v>
      </c>
      <c r="J71" s="34" t="b">
        <v>0</v>
      </c>
      <c r="M71" s="34" t="b">
        <v>0</v>
      </c>
      <c r="N71" s="34" t="e">
        <f>#REF!</f>
        <v>#REF!</v>
      </c>
      <c r="O71" s="34" t="b">
        <v>1</v>
      </c>
      <c r="Q71" s="25" t="s">
        <v>197</v>
      </c>
      <c r="R71" s="25" t="s">
        <v>242</v>
      </c>
      <c r="S71" s="26">
        <v>43564</v>
      </c>
      <c r="T71" s="26">
        <v>47217</v>
      </c>
      <c r="U71" s="28" t="s">
        <v>117</v>
      </c>
      <c r="V71" s="25">
        <v>5000000</v>
      </c>
      <c r="W71" s="25">
        <v>2</v>
      </c>
      <c r="X71" s="25">
        <v>0</v>
      </c>
      <c r="Y71" s="25" t="s">
        <v>243</v>
      </c>
      <c r="Z71" t="e">
        <f t="shared" si="1"/>
        <v>#NUM!</v>
      </c>
      <c r="AA71" t="e">
        <f t="shared" si="2"/>
        <v>#N/A</v>
      </c>
      <c r="AB71">
        <v>109.24400329589839</v>
      </c>
      <c r="AC71" t="s">
        <v>172</v>
      </c>
      <c r="AD71" t="s">
        <v>258</v>
      </c>
    </row>
    <row r="72" spans="1:30" x14ac:dyDescent="0.25">
      <c r="A72" s="27"/>
      <c r="B72" s="35"/>
      <c r="C72" s="36"/>
      <c r="D72" s="36"/>
      <c r="E72" s="34"/>
      <c r="F72" s="35"/>
      <c r="G72" s="34"/>
      <c r="H72" s="34"/>
      <c r="I72" s="34"/>
      <c r="J72" s="34"/>
      <c r="M72" s="34"/>
      <c r="N72" s="34"/>
      <c r="O72" s="34"/>
      <c r="Q72" s="25"/>
      <c r="R72" s="25"/>
      <c r="S72" s="26"/>
      <c r="T72" s="26"/>
      <c r="U72" s="28"/>
      <c r="V72" s="25"/>
      <c r="W72" s="25"/>
    </row>
    <row r="73" spans="1:30" x14ac:dyDescent="0.25">
      <c r="A73" s="27"/>
      <c r="B73" s="35"/>
      <c r="C73" s="36"/>
      <c r="D73" s="36"/>
      <c r="E73" s="34"/>
      <c r="F73" s="35"/>
      <c r="G73" s="34"/>
      <c r="H73" s="34"/>
      <c r="I73" s="34"/>
      <c r="J73" s="34"/>
      <c r="M73" s="34"/>
      <c r="N73" s="34"/>
      <c r="O73" s="34"/>
      <c r="Q73" s="25"/>
      <c r="R73" s="25"/>
      <c r="S73" s="26"/>
      <c r="T73" s="26"/>
      <c r="U73" s="28"/>
      <c r="V73" s="25"/>
      <c r="W73" s="25"/>
    </row>
    <row r="74" spans="1:30" hidden="1" x14ac:dyDescent="0.25">
      <c r="A74" s="27" t="e">
        <f>_xll.qlSchedule(B74,C74,D74,E74,F74,G74,H74,I74,J74,K74,L74,M74,N74,O74)</f>
        <v>#NUM!</v>
      </c>
      <c r="B74" s="35" t="str">
        <f>Q74&amp;"Sch"</f>
        <v>US06407F2C54Sch</v>
      </c>
      <c r="C74" s="36">
        <v>44258</v>
      </c>
      <c r="D74" s="36">
        <v>46084</v>
      </c>
      <c r="E74" s="34" t="str">
        <f>VLOOKUP(W74,Reference!$A$6:$B$8,2,FALSE)</f>
        <v>6M</v>
      </c>
      <c r="F74" s="35" t="str">
        <f>VLOOKUP(U74,Reference!$C$2:$D$6,2,FALSE)</f>
        <v>UnitedStates::Settlement</v>
      </c>
      <c r="G74" s="34" t="s">
        <v>96</v>
      </c>
      <c r="H74" s="34" t="s">
        <v>69</v>
      </c>
      <c r="I74" s="34" t="s">
        <v>97</v>
      </c>
      <c r="J74" s="34" t="b">
        <v>0</v>
      </c>
      <c r="M74" s="34" t="b">
        <v>0</v>
      </c>
      <c r="N74" s="34" t="e">
        <f>#REF!</f>
        <v>#REF!</v>
      </c>
      <c r="O74" s="34" t="b">
        <v>1</v>
      </c>
      <c r="Q74" s="25" t="s">
        <v>162</v>
      </c>
      <c r="R74" s="25" t="s">
        <v>242</v>
      </c>
      <c r="S74" s="26">
        <v>44258</v>
      </c>
      <c r="T74" s="26">
        <v>46084</v>
      </c>
      <c r="U74" s="28" t="s">
        <v>117</v>
      </c>
      <c r="V74" s="25">
        <v>5000000</v>
      </c>
      <c r="W74" s="25">
        <v>2</v>
      </c>
      <c r="X74" s="25">
        <v>1.16825</v>
      </c>
      <c r="Y74" s="25">
        <v>0.97</v>
      </c>
      <c r="Z74" t="e">
        <f>A74</f>
        <v>#NUM!</v>
      </c>
      <c r="AA74" t="str">
        <f>VLOOKUP(Q74,$AC:$AD,2,FALSE)</f>
        <v>A1(Moody's)</v>
      </c>
      <c r="AB74">
        <v>97.255996704101563</v>
      </c>
      <c r="AC74" t="s">
        <v>174</v>
      </c>
      <c r="AD74" t="s">
        <v>103</v>
      </c>
    </row>
    <row r="75" spans="1:30" x14ac:dyDescent="0.25">
      <c r="A75" s="27"/>
      <c r="B75" s="35"/>
      <c r="C75" s="36"/>
      <c r="D75" s="36"/>
      <c r="E75" s="34"/>
      <c r="F75" s="35"/>
      <c r="G75" s="34"/>
      <c r="H75" s="34"/>
      <c r="I75" s="34"/>
      <c r="J75" s="34"/>
      <c r="M75" s="34"/>
      <c r="N75" s="34"/>
      <c r="O75" s="34"/>
      <c r="Q75" s="25"/>
      <c r="R75" s="25"/>
      <c r="S75" s="26"/>
      <c r="T75" s="26"/>
      <c r="U75" s="28"/>
      <c r="V75" s="25"/>
      <c r="W75" s="25"/>
    </row>
    <row r="76" spans="1:30" hidden="1" x14ac:dyDescent="0.25">
      <c r="A76" s="27" t="e">
        <f>_xll.qlSchedule(B76,C76,D76,E76,F76,G76,H76,I76,J76,K76,L76,M76,N76,O76)</f>
        <v>#NUM!</v>
      </c>
      <c r="B76" s="35" t="str">
        <f>Q76&amp;"Sch"</f>
        <v>US10373QBM15Sch</v>
      </c>
      <c r="C76" s="36">
        <v>44053</v>
      </c>
      <c r="D76" s="36">
        <v>47705</v>
      </c>
      <c r="E76" s="34" t="str">
        <f>VLOOKUP(W76,Reference!$A$6:$B$8,2,FALSE)</f>
        <v>6M</v>
      </c>
      <c r="F76" s="35" t="str">
        <f>VLOOKUP(U76,Reference!$C$2:$D$6,2,FALSE)</f>
        <v>UnitedStates::Settlement</v>
      </c>
      <c r="G76" s="34" t="s">
        <v>96</v>
      </c>
      <c r="H76" s="34" t="s">
        <v>69</v>
      </c>
      <c r="I76" s="34" t="s">
        <v>97</v>
      </c>
      <c r="J76" s="34" t="b">
        <v>0</v>
      </c>
      <c r="M76" s="34" t="b">
        <v>0</v>
      </c>
      <c r="N76" s="34" t="e">
        <f>#REF!</f>
        <v>#REF!</v>
      </c>
      <c r="O76" s="34" t="b">
        <v>1</v>
      </c>
      <c r="Q76" s="25" t="s">
        <v>198</v>
      </c>
      <c r="R76" s="25" t="s">
        <v>242</v>
      </c>
      <c r="S76" s="26">
        <v>44053</v>
      </c>
      <c r="T76" s="26">
        <v>47705</v>
      </c>
      <c r="U76" s="28" t="s">
        <v>117</v>
      </c>
      <c r="V76" s="25">
        <v>5000000</v>
      </c>
      <c r="W76" s="25">
        <v>2</v>
      </c>
      <c r="X76" s="25">
        <v>1.0914999999999999</v>
      </c>
      <c r="Y76" s="25">
        <v>0.96</v>
      </c>
      <c r="Z76" t="e">
        <f>A76</f>
        <v>#NUM!</v>
      </c>
      <c r="AA76" t="e">
        <f>VLOOKUP(Q76,$AC:$AD,2,FALSE)</f>
        <v>#N/A</v>
      </c>
      <c r="AB76">
        <v>96</v>
      </c>
      <c r="AC76" t="s">
        <v>177</v>
      </c>
      <c r="AD76" t="s">
        <v>103</v>
      </c>
    </row>
    <row r="77" spans="1:30" x14ac:dyDescent="0.25">
      <c r="A77" s="27"/>
      <c r="B77" s="35"/>
      <c r="C77" s="36"/>
      <c r="D77" s="36"/>
      <c r="E77" s="34"/>
      <c r="F77" s="35"/>
      <c r="G77" s="34"/>
      <c r="H77" s="34"/>
      <c r="I77" s="34"/>
      <c r="J77" s="34"/>
      <c r="M77" s="34"/>
      <c r="N77" s="34"/>
      <c r="O77" s="34"/>
      <c r="Q77" s="25"/>
      <c r="R77" s="25"/>
      <c r="S77" s="26"/>
      <c r="T77" s="26"/>
      <c r="U77" s="28"/>
      <c r="V77" s="25"/>
      <c r="W77" s="25"/>
    </row>
    <row r="78" spans="1:30" x14ac:dyDescent="0.25">
      <c r="A78" s="27"/>
      <c r="B78" s="35"/>
      <c r="C78" s="36"/>
      <c r="D78" s="36"/>
      <c r="E78" s="34"/>
      <c r="F78" s="35"/>
      <c r="G78" s="34"/>
      <c r="H78" s="34"/>
      <c r="I78" s="34"/>
      <c r="J78" s="34"/>
      <c r="M78" s="34"/>
      <c r="N78" s="34"/>
      <c r="O78" s="34"/>
      <c r="Q78" s="25"/>
      <c r="R78" s="25"/>
      <c r="S78" s="26"/>
      <c r="T78" s="26"/>
      <c r="U78" s="28"/>
      <c r="V78" s="25"/>
      <c r="W78" s="25"/>
    </row>
    <row r="79" spans="1:30" x14ac:dyDescent="0.25">
      <c r="A79" s="27"/>
      <c r="B79" s="35"/>
      <c r="C79" s="36"/>
      <c r="D79" s="36"/>
      <c r="E79" s="34"/>
      <c r="F79" s="35"/>
      <c r="G79" s="34"/>
      <c r="H79" s="34"/>
      <c r="I79" s="34"/>
      <c r="J79" s="34"/>
      <c r="M79" s="34"/>
      <c r="N79" s="34"/>
      <c r="O79" s="34"/>
      <c r="Q79" s="25"/>
      <c r="R79" s="25"/>
      <c r="S79" s="26"/>
      <c r="T79" s="26"/>
      <c r="U79" s="28"/>
      <c r="V79" s="25"/>
      <c r="W79" s="25"/>
    </row>
    <row r="80" spans="1:30" x14ac:dyDescent="0.25">
      <c r="A80" s="27"/>
      <c r="B80" s="35"/>
      <c r="C80" s="36"/>
      <c r="D80" s="36"/>
      <c r="E80" s="34"/>
      <c r="F80" s="35"/>
      <c r="G80" s="34"/>
      <c r="H80" s="34"/>
      <c r="I80" s="34"/>
      <c r="J80" s="34"/>
      <c r="M80" s="34"/>
      <c r="N80" s="34"/>
      <c r="O80" s="34"/>
      <c r="Q80" s="25"/>
      <c r="R80" s="25"/>
      <c r="S80" s="26"/>
      <c r="T80" s="26"/>
      <c r="U80" s="28"/>
      <c r="V80" s="25"/>
      <c r="W80" s="25"/>
    </row>
    <row r="81" spans="1:30" x14ac:dyDescent="0.25">
      <c r="A81" s="27"/>
      <c r="B81" s="35"/>
      <c r="C81" s="36"/>
      <c r="D81" s="36"/>
      <c r="E81" s="34"/>
      <c r="F81" s="35"/>
      <c r="G81" s="34"/>
      <c r="H81" s="34"/>
      <c r="I81" s="34"/>
      <c r="J81" s="34"/>
      <c r="M81" s="34"/>
      <c r="N81" s="34"/>
      <c r="O81" s="34"/>
      <c r="Q81" s="25"/>
      <c r="R81" s="25"/>
      <c r="S81" s="26"/>
      <c r="T81" s="26"/>
      <c r="U81" s="28"/>
      <c r="V81" s="25"/>
      <c r="W81" s="25"/>
    </row>
    <row r="82" spans="1:30" x14ac:dyDescent="0.25">
      <c r="A82" s="27"/>
      <c r="B82" s="35"/>
      <c r="C82" s="36"/>
      <c r="D82" s="36"/>
      <c r="E82" s="34"/>
      <c r="F82" s="35"/>
      <c r="G82" s="34"/>
      <c r="H82" s="34"/>
      <c r="I82" s="34"/>
      <c r="J82" s="34"/>
      <c r="M82" s="34"/>
      <c r="N82" s="34"/>
      <c r="O82" s="34"/>
      <c r="Q82" s="25"/>
      <c r="R82" s="25"/>
      <c r="S82" s="26"/>
      <c r="T82" s="26"/>
      <c r="U82" s="28"/>
      <c r="V82" s="25"/>
      <c r="W82" s="25"/>
    </row>
    <row r="83" spans="1:30" x14ac:dyDescent="0.25">
      <c r="A83" s="27"/>
      <c r="B83" s="35"/>
      <c r="C83" s="36"/>
      <c r="D83" s="36"/>
      <c r="E83" s="34"/>
      <c r="F83" s="35"/>
      <c r="G83" s="34"/>
      <c r="H83" s="34"/>
      <c r="I83" s="34"/>
      <c r="J83" s="34"/>
      <c r="M83" s="34"/>
      <c r="N83" s="34"/>
      <c r="O83" s="34"/>
      <c r="Q83" s="25"/>
      <c r="R83" s="25"/>
      <c r="S83" s="26"/>
      <c r="T83" s="26"/>
      <c r="U83" s="28"/>
      <c r="V83" s="25"/>
      <c r="W83" s="25"/>
    </row>
    <row r="84" spans="1:30" hidden="1" x14ac:dyDescent="0.25">
      <c r="A84" s="27" t="e">
        <f>_xll.qlSchedule(B84,C84,D84,E84,F84,G84,H84,I84,J84,K84,L84,M84,N84,O84)</f>
        <v>#NUM!</v>
      </c>
      <c r="B84" s="35" t="str">
        <f>Q84&amp;"Sch"</f>
        <v>USY00284AW20Sch</v>
      </c>
      <c r="C84" s="36">
        <v>44231</v>
      </c>
      <c r="D84" s="36">
        <v>47883</v>
      </c>
      <c r="E84" s="34" t="str">
        <f>VLOOKUP(W84,Reference!$A$6:$B$8,2,FALSE)</f>
        <v>6M</v>
      </c>
      <c r="F84" s="35" t="str">
        <f>VLOOKUP(U84,Reference!$C$2:$D$6,2,FALSE)</f>
        <v>UnitedStates::Settlement</v>
      </c>
      <c r="G84" s="34" t="s">
        <v>96</v>
      </c>
      <c r="H84" s="34" t="s">
        <v>69</v>
      </c>
      <c r="I84" s="34" t="s">
        <v>97</v>
      </c>
      <c r="J84" s="34" t="b">
        <v>0</v>
      </c>
      <c r="M84" s="34" t="b">
        <v>0</v>
      </c>
      <c r="N84" s="34" t="e">
        <f>#REF!</f>
        <v>#REF!</v>
      </c>
      <c r="O84" s="34" t="b">
        <v>1</v>
      </c>
      <c r="Q84" s="25" t="s">
        <v>203</v>
      </c>
      <c r="R84" s="25" t="s">
        <v>242</v>
      </c>
      <c r="S84" s="26">
        <v>44231</v>
      </c>
      <c r="T84" s="26">
        <v>47883</v>
      </c>
      <c r="U84" s="28" t="s">
        <v>117</v>
      </c>
      <c r="V84" s="25">
        <v>3000000</v>
      </c>
      <c r="W84" s="25">
        <v>2</v>
      </c>
      <c r="X84" s="25">
        <v>1.8238799999999999</v>
      </c>
      <c r="Y84" s="25">
        <v>1.7</v>
      </c>
      <c r="Z84" t="e">
        <f>A84</f>
        <v>#NUM!</v>
      </c>
      <c r="AA84" t="e">
        <f>VLOOKUP(Q84,$AC:$AD,2,FALSE)</f>
        <v>#N/A</v>
      </c>
      <c r="AB84">
        <v>96.05999755859375</v>
      </c>
      <c r="AC84" t="s">
        <v>182</v>
      </c>
      <c r="AD84" t="s">
        <v>249</v>
      </c>
    </row>
    <row r="85" spans="1:30" hidden="1" x14ac:dyDescent="0.25">
      <c r="A85" s="27" t="e">
        <f>_xll.qlSchedule(B85,C85,D85,E85,F85,G85,H85,I85,J85,K85,L85,M85,N85,O85)</f>
        <v>#NUM!</v>
      </c>
      <c r="B85" s="35" t="str">
        <f>Q85&amp;"Sch"</f>
        <v>USY3422VCS52Sch</v>
      </c>
      <c r="C85" s="36">
        <v>44229</v>
      </c>
      <c r="D85" s="36">
        <v>47881</v>
      </c>
      <c r="E85" s="34" t="str">
        <f>VLOOKUP(W85,Reference!$A$6:$B$8,2,FALSE)</f>
        <v>6M</v>
      </c>
      <c r="F85" s="35" t="str">
        <f>VLOOKUP(U85,Reference!$C$2:$D$6,2,FALSE)</f>
        <v>UnitedStates::Settlement</v>
      </c>
      <c r="G85" s="34" t="s">
        <v>96</v>
      </c>
      <c r="H85" s="34" t="s">
        <v>69</v>
      </c>
      <c r="I85" s="34" t="s">
        <v>97</v>
      </c>
      <c r="J85" s="34" t="b">
        <v>0</v>
      </c>
      <c r="M85" s="34" t="b">
        <v>0</v>
      </c>
      <c r="N85" s="34" t="e">
        <f>#REF!</f>
        <v>#REF!</v>
      </c>
      <c r="O85" s="34" t="b">
        <v>1</v>
      </c>
      <c r="Q85" s="25" t="s">
        <v>204</v>
      </c>
      <c r="R85" s="25" t="s">
        <v>242</v>
      </c>
      <c r="S85" s="26">
        <v>44229</v>
      </c>
      <c r="T85" s="26">
        <v>47881</v>
      </c>
      <c r="U85" s="28" t="s">
        <v>117</v>
      </c>
      <c r="V85" s="25">
        <v>10000000</v>
      </c>
      <c r="W85" s="25">
        <v>2</v>
      </c>
      <c r="X85" s="25">
        <v>1.625</v>
      </c>
      <c r="Y85" s="25" t="s">
        <v>243</v>
      </c>
      <c r="Z85" t="e">
        <f>A85</f>
        <v>#NUM!</v>
      </c>
      <c r="AA85" t="str">
        <f>VLOOKUP(Q85,$AC:$AD,2,FALSE)</f>
        <v>AA-(Fitch)</v>
      </c>
      <c r="AB85">
        <v>96.676002502441406</v>
      </c>
      <c r="AC85" t="s">
        <v>183</v>
      </c>
      <c r="AD85" t="s">
        <v>247</v>
      </c>
    </row>
    <row r="86" spans="1:30" x14ac:dyDescent="0.25">
      <c r="A86" s="27"/>
      <c r="B86" s="35"/>
      <c r="C86" s="36"/>
      <c r="D86" s="36"/>
      <c r="E86" s="34"/>
      <c r="F86" s="35"/>
      <c r="G86" s="34"/>
      <c r="H86" s="34"/>
      <c r="I86" s="34"/>
      <c r="J86" s="34"/>
      <c r="M86" s="34"/>
      <c r="N86" s="34"/>
      <c r="O86" s="34"/>
      <c r="Q86" s="25"/>
      <c r="R86" s="25"/>
      <c r="S86" s="26"/>
      <c r="T86" s="26"/>
      <c r="U86" s="28"/>
      <c r="V86" s="25"/>
      <c r="W86" s="25"/>
    </row>
    <row r="87" spans="1:30" x14ac:dyDescent="0.25">
      <c r="A87" s="27"/>
      <c r="B87" s="35"/>
      <c r="C87" s="36"/>
      <c r="D87" s="36"/>
      <c r="E87" s="34"/>
      <c r="F87" s="35"/>
      <c r="G87" s="34"/>
      <c r="H87" s="34"/>
      <c r="I87" s="34"/>
      <c r="J87" s="34"/>
      <c r="M87" s="34"/>
      <c r="N87" s="34"/>
      <c r="O87" s="34"/>
      <c r="Q87" s="25"/>
      <c r="R87" s="25"/>
      <c r="S87" s="26"/>
      <c r="T87" s="26"/>
      <c r="U87" s="28"/>
      <c r="V87" s="25"/>
      <c r="W87" s="25"/>
    </row>
    <row r="88" spans="1:30" x14ac:dyDescent="0.25">
      <c r="A88" s="27"/>
      <c r="B88" s="35"/>
      <c r="C88" s="36"/>
      <c r="D88" s="36"/>
      <c r="E88" s="34"/>
      <c r="F88" s="35"/>
      <c r="G88" s="34"/>
      <c r="H88" s="34"/>
      <c r="I88" s="34"/>
      <c r="J88" s="34"/>
      <c r="M88" s="34"/>
      <c r="N88" s="34"/>
      <c r="O88" s="34"/>
      <c r="Q88" s="25"/>
      <c r="R88" s="25"/>
      <c r="S88" s="26"/>
      <c r="T88" s="26"/>
      <c r="U88" s="28"/>
      <c r="V88" s="25"/>
      <c r="W88" s="25"/>
    </row>
    <row r="89" spans="1:30" x14ac:dyDescent="0.25">
      <c r="A89" s="27"/>
      <c r="B89" s="35"/>
      <c r="C89" s="36"/>
      <c r="D89" s="36"/>
      <c r="E89" s="34"/>
      <c r="F89" s="35"/>
      <c r="G89" s="34"/>
      <c r="H89" s="34"/>
      <c r="I89" s="34"/>
      <c r="J89" s="34"/>
      <c r="M89" s="34"/>
      <c r="N89" s="34"/>
      <c r="O89" s="34"/>
      <c r="Q89" s="25"/>
      <c r="R89" s="25"/>
      <c r="S89" s="26"/>
      <c r="T89" s="26"/>
      <c r="U89" s="28"/>
      <c r="V89" s="25"/>
      <c r="W89" s="25"/>
    </row>
    <row r="90" spans="1:30" x14ac:dyDescent="0.25">
      <c r="A90" s="27"/>
      <c r="B90" s="35"/>
      <c r="C90" s="36"/>
      <c r="D90" s="36"/>
      <c r="E90" s="34"/>
      <c r="F90" s="35"/>
      <c r="G90" s="34"/>
      <c r="H90" s="34"/>
      <c r="I90" s="34"/>
      <c r="J90" s="34"/>
      <c r="M90" s="34"/>
      <c r="N90" s="34"/>
      <c r="O90" s="34"/>
      <c r="Q90" s="25"/>
      <c r="R90" s="25"/>
      <c r="S90" s="26"/>
      <c r="T90" s="26"/>
      <c r="U90" s="28"/>
      <c r="V90" s="25"/>
      <c r="W90" s="25"/>
    </row>
    <row r="91" spans="1:30" x14ac:dyDescent="0.25">
      <c r="A91" s="27"/>
      <c r="B91" s="35"/>
      <c r="C91" s="36"/>
      <c r="D91" s="36"/>
      <c r="E91" s="34"/>
      <c r="F91" s="35"/>
      <c r="G91" s="34"/>
      <c r="H91" s="34"/>
      <c r="I91" s="34"/>
      <c r="J91" s="34"/>
      <c r="M91" s="34"/>
      <c r="N91" s="34"/>
      <c r="O91" s="34"/>
      <c r="Q91" s="25"/>
      <c r="R91" s="25"/>
      <c r="S91" s="26"/>
      <c r="T91" s="26"/>
      <c r="U91" s="28"/>
      <c r="V91" s="25"/>
      <c r="W91" s="25"/>
    </row>
    <row r="92" spans="1:30" x14ac:dyDescent="0.25">
      <c r="A92" s="27"/>
      <c r="B92" s="35"/>
      <c r="C92" s="36"/>
      <c r="D92" s="36"/>
      <c r="E92" s="34"/>
      <c r="F92" s="35"/>
      <c r="G92" s="34"/>
      <c r="H92" s="34"/>
      <c r="I92" s="34"/>
      <c r="J92" s="34"/>
      <c r="M92" s="34"/>
      <c r="N92" s="34"/>
      <c r="O92" s="34"/>
      <c r="Q92" s="25"/>
      <c r="R92" s="25"/>
      <c r="S92" s="26"/>
      <c r="T92" s="26"/>
      <c r="U92" s="28"/>
      <c r="V92" s="25"/>
      <c r="W92" s="25"/>
    </row>
    <row r="93" spans="1:30" x14ac:dyDescent="0.25">
      <c r="A93" s="27"/>
      <c r="B93" s="35"/>
      <c r="C93" s="36"/>
      <c r="D93" s="36"/>
      <c r="E93" s="34"/>
      <c r="F93" s="35"/>
      <c r="G93" s="34"/>
      <c r="H93" s="34"/>
      <c r="I93" s="34"/>
      <c r="J93" s="34"/>
      <c r="M93" s="34"/>
      <c r="N93" s="34"/>
      <c r="O93" s="34"/>
      <c r="Q93" s="25"/>
      <c r="R93" s="25"/>
      <c r="S93" s="26"/>
      <c r="T93" s="26"/>
      <c r="U93" s="28"/>
      <c r="V93" s="25"/>
      <c r="W93" s="25"/>
    </row>
    <row r="94" spans="1:30" x14ac:dyDescent="0.25">
      <c r="A94" s="27"/>
      <c r="B94" s="35"/>
      <c r="C94" s="36"/>
      <c r="D94" s="36"/>
      <c r="E94" s="34"/>
      <c r="F94" s="35"/>
      <c r="G94" s="34"/>
      <c r="H94" s="34"/>
      <c r="I94" s="34"/>
      <c r="J94" s="34"/>
      <c r="M94" s="34"/>
      <c r="N94" s="34"/>
      <c r="O94" s="34"/>
      <c r="Q94" s="25"/>
      <c r="R94" s="25"/>
      <c r="S94" s="26"/>
      <c r="T94" s="26"/>
      <c r="U94" s="28"/>
      <c r="V94" s="25"/>
      <c r="W94" s="25"/>
    </row>
    <row r="95" spans="1:30" x14ac:dyDescent="0.25">
      <c r="A95" s="27"/>
      <c r="B95" s="35"/>
      <c r="C95" s="36"/>
      <c r="D95" s="36"/>
      <c r="E95" s="34"/>
      <c r="F95" s="35"/>
      <c r="G95" s="34"/>
      <c r="H95" s="34"/>
      <c r="I95" s="34"/>
      <c r="J95" s="34"/>
      <c r="M95" s="34"/>
      <c r="N95" s="34"/>
      <c r="O95" s="34"/>
      <c r="Q95" s="25"/>
      <c r="R95" s="25"/>
      <c r="S95" s="26"/>
      <c r="T95" s="26"/>
      <c r="U95" s="28"/>
      <c r="V95" s="25"/>
      <c r="W95" s="25"/>
    </row>
    <row r="96" spans="1:30" x14ac:dyDescent="0.25">
      <c r="A96" s="27"/>
      <c r="B96" s="35"/>
      <c r="C96" s="36"/>
      <c r="D96" s="36"/>
      <c r="E96" s="34"/>
      <c r="F96" s="35"/>
      <c r="G96" s="34"/>
      <c r="H96" s="34"/>
      <c r="I96" s="34"/>
      <c r="J96" s="34"/>
      <c r="M96" s="34"/>
      <c r="N96" s="34"/>
      <c r="O96" s="34"/>
      <c r="Q96" s="25"/>
      <c r="R96" s="25"/>
      <c r="S96" s="26"/>
      <c r="T96" s="26"/>
      <c r="U96" s="28"/>
      <c r="V96" s="25"/>
      <c r="W96" s="25"/>
    </row>
    <row r="97" spans="1:30" x14ac:dyDescent="0.25">
      <c r="A97" s="27"/>
      <c r="B97" s="35"/>
      <c r="C97" s="36"/>
      <c r="D97" s="36"/>
      <c r="E97" s="34"/>
      <c r="F97" s="35"/>
      <c r="G97" s="34"/>
      <c r="H97" s="34"/>
      <c r="I97" s="34"/>
      <c r="J97" s="34"/>
      <c r="M97" s="34"/>
      <c r="N97" s="34"/>
      <c r="O97" s="34"/>
      <c r="Q97" s="25"/>
      <c r="R97" s="25"/>
      <c r="S97" s="26"/>
      <c r="T97" s="26"/>
      <c r="U97" s="28"/>
      <c r="V97" s="25"/>
      <c r="W97" s="25"/>
    </row>
    <row r="98" spans="1:30" x14ac:dyDescent="0.25">
      <c r="A98" s="27"/>
      <c r="B98" s="35"/>
      <c r="C98" s="36"/>
      <c r="D98" s="36"/>
      <c r="E98" s="34"/>
      <c r="F98" s="35"/>
      <c r="G98" s="34"/>
      <c r="H98" s="34"/>
      <c r="I98" s="34"/>
      <c r="J98" s="34"/>
      <c r="M98" s="34"/>
      <c r="N98" s="34"/>
      <c r="O98" s="34"/>
      <c r="Q98" s="25"/>
      <c r="R98" s="25"/>
      <c r="S98" s="26"/>
      <c r="T98" s="26"/>
      <c r="U98" s="28"/>
      <c r="V98" s="25"/>
      <c r="W98" s="25"/>
    </row>
    <row r="99" spans="1:30" hidden="1" x14ac:dyDescent="0.25">
      <c r="A99" s="27" t="e">
        <f>_xll.qlSchedule(B99,C99,D99,E99,F99,G99,H99,I99,J99,K99,L99,M99,N99,O99)</f>
        <v>#NUM!</v>
      </c>
      <c r="B99" s="35" t="str">
        <f t="shared" ref="B99:B106" si="3">Q99&amp;"Sch"</f>
        <v>XS2181902789Sch</v>
      </c>
      <c r="C99" s="36">
        <v>43991</v>
      </c>
      <c r="D99" s="36">
        <v>47643</v>
      </c>
      <c r="E99" s="34" t="str">
        <f>VLOOKUP(W99,Reference!$A$6:$B$8,2,FALSE)</f>
        <v>6M</v>
      </c>
      <c r="F99" s="35" t="str">
        <f>VLOOKUP(U99,Reference!$C$2:$D$6,2,FALSE)</f>
        <v>UnitedStates::Settlement</v>
      </c>
      <c r="G99" s="34" t="s">
        <v>96</v>
      </c>
      <c r="H99" s="34" t="s">
        <v>69</v>
      </c>
      <c r="I99" s="34" t="s">
        <v>97</v>
      </c>
      <c r="J99" s="34" t="b">
        <v>0</v>
      </c>
      <c r="M99" s="34" t="b">
        <v>0</v>
      </c>
      <c r="N99" s="34" t="e">
        <f>#REF!</f>
        <v>#REF!</v>
      </c>
      <c r="O99" s="34" t="b">
        <v>1</v>
      </c>
      <c r="Q99" s="25" t="s">
        <v>212</v>
      </c>
      <c r="R99" s="25" t="s">
        <v>242</v>
      </c>
      <c r="S99" s="26">
        <v>43991</v>
      </c>
      <c r="T99" s="26">
        <v>47643</v>
      </c>
      <c r="U99" s="28" t="s">
        <v>117</v>
      </c>
      <c r="V99" s="25">
        <v>10000000</v>
      </c>
      <c r="W99" s="25">
        <v>2</v>
      </c>
      <c r="X99" s="25">
        <v>0.95499999999999996</v>
      </c>
      <c r="Y99" s="25">
        <v>0.8</v>
      </c>
      <c r="Z99" t="e">
        <f t="shared" ref="Z99:Z106" si="4">A99</f>
        <v>#NUM!</v>
      </c>
      <c r="AA99" t="str">
        <f t="shared" ref="AA99:AA106" si="5">VLOOKUP(Q99,$AC:$AD,2,FALSE)</f>
        <v>A-(S &amp; P)</v>
      </c>
      <c r="AB99">
        <v>99.672996520996094</v>
      </c>
      <c r="AC99" t="s">
        <v>189</v>
      </c>
      <c r="AD99" t="s">
        <v>248</v>
      </c>
    </row>
    <row r="100" spans="1:30" hidden="1" x14ac:dyDescent="0.25">
      <c r="A100" s="27" t="e">
        <f>_xll.qlSchedule(B100,C100,D100,E100,F100,G100,H100,I100,J100,K100,L100,M100,N100,O100)</f>
        <v>#NUM!</v>
      </c>
      <c r="B100" s="35" t="str">
        <f t="shared" si="3"/>
        <v>XS2190999834Sch</v>
      </c>
      <c r="C100" s="36">
        <v>44006</v>
      </c>
      <c r="D100" s="36">
        <v>45832</v>
      </c>
      <c r="E100" s="34" t="str">
        <f>VLOOKUP(W100,Reference!$A$6:$B$8,2,FALSE)</f>
        <v>6M</v>
      </c>
      <c r="F100" s="35" t="str">
        <f>VLOOKUP(U100,Reference!$C$2:$D$6,2,FALSE)</f>
        <v>UnitedStates::Settlement</v>
      </c>
      <c r="G100" s="34" t="s">
        <v>96</v>
      </c>
      <c r="H100" s="34" t="s">
        <v>69</v>
      </c>
      <c r="I100" s="34" t="s">
        <v>97</v>
      </c>
      <c r="J100" s="34" t="b">
        <v>0</v>
      </c>
      <c r="M100" s="34" t="b">
        <v>0</v>
      </c>
      <c r="N100" s="34" t="e">
        <f>#REF!</f>
        <v>#REF!</v>
      </c>
      <c r="O100" s="34" t="b">
        <v>1</v>
      </c>
      <c r="Q100" s="25" t="s">
        <v>184</v>
      </c>
      <c r="R100" s="25" t="s">
        <v>242</v>
      </c>
      <c r="S100" s="26">
        <v>44006</v>
      </c>
      <c r="T100" s="26">
        <v>45832</v>
      </c>
      <c r="U100" s="28" t="s">
        <v>117</v>
      </c>
      <c r="V100" s="25">
        <v>3000000</v>
      </c>
      <c r="W100" s="25">
        <v>2</v>
      </c>
      <c r="X100" s="25">
        <v>2.25</v>
      </c>
      <c r="Y100" s="25" t="s">
        <v>243</v>
      </c>
      <c r="Z100" t="e">
        <f t="shared" si="4"/>
        <v>#NUM!</v>
      </c>
      <c r="AA100" t="str">
        <f t="shared" si="5"/>
        <v>A(S &amp; P)</v>
      </c>
      <c r="AB100">
        <v>98.654998779296875</v>
      </c>
      <c r="AC100" t="s">
        <v>190</v>
      </c>
      <c r="AD100" t="s">
        <v>247</v>
      </c>
    </row>
    <row r="101" spans="1:30" hidden="1" x14ac:dyDescent="0.25">
      <c r="A101" s="27" t="e">
        <f>_xll.qlSchedule(B101,C101,D101,E101,F101,G101,H101,I101,J101,K101,L101,M101,N101,O101)</f>
        <v>#NUM!</v>
      </c>
      <c r="B101" s="35" t="str">
        <f t="shared" si="3"/>
        <v>XS2193950354Sch</v>
      </c>
      <c r="C101" s="36">
        <v>44012</v>
      </c>
      <c r="D101" s="36">
        <v>47664</v>
      </c>
      <c r="E101" s="34" t="str">
        <f>VLOOKUP(W101,Reference!$A$6:$B$8,2,FALSE)</f>
        <v>6M</v>
      </c>
      <c r="F101" s="35" t="str">
        <f>VLOOKUP(U101,Reference!$C$2:$D$6,2,FALSE)</f>
        <v>UnitedStates::Settlement</v>
      </c>
      <c r="G101" s="34" t="s">
        <v>96</v>
      </c>
      <c r="H101" s="34" t="s">
        <v>69</v>
      </c>
      <c r="I101" s="34" t="s">
        <v>97</v>
      </c>
      <c r="J101" s="34" t="b">
        <v>0</v>
      </c>
      <c r="M101" s="34" t="b">
        <v>0</v>
      </c>
      <c r="N101" s="34" t="e">
        <f>#REF!</f>
        <v>#REF!</v>
      </c>
      <c r="O101" s="34" t="b">
        <v>1</v>
      </c>
      <c r="Q101" s="25" t="s">
        <v>213</v>
      </c>
      <c r="R101" s="25" t="s">
        <v>242</v>
      </c>
      <c r="S101" s="26">
        <v>44012</v>
      </c>
      <c r="T101" s="26">
        <v>47664</v>
      </c>
      <c r="U101" s="28" t="s">
        <v>117</v>
      </c>
      <c r="V101" s="25">
        <v>10000000</v>
      </c>
      <c r="W101" s="25">
        <v>2</v>
      </c>
      <c r="X101" s="25">
        <v>1.25</v>
      </c>
      <c r="Y101" s="25" t="s">
        <v>243</v>
      </c>
      <c r="Z101" t="e">
        <f t="shared" si="4"/>
        <v>#NUM!</v>
      </c>
      <c r="AA101" t="str">
        <f t="shared" si="5"/>
        <v>A1(Moody's)</v>
      </c>
      <c r="AB101">
        <v>98.907997131347656</v>
      </c>
      <c r="AC101" t="s">
        <v>150</v>
      </c>
      <c r="AD101" t="s">
        <v>259</v>
      </c>
    </row>
    <row r="102" spans="1:30" hidden="1" x14ac:dyDescent="0.25">
      <c r="A102" s="27" t="e">
        <f>_xll.qlSchedule(B102,C102,D102,E102,F102,G102,H102,I102,J102,K102,L102,M102,N102,O102)</f>
        <v>#NUM!</v>
      </c>
      <c r="B102" s="35" t="str">
        <f t="shared" si="3"/>
        <v>XS2201843740Sch</v>
      </c>
      <c r="C102" s="36">
        <v>44032</v>
      </c>
      <c r="D102" s="36">
        <v>45127</v>
      </c>
      <c r="E102" s="34" t="str">
        <f>VLOOKUP(W102,Reference!$A$6:$B$8,2,FALSE)</f>
        <v>6M</v>
      </c>
      <c r="F102" s="35" t="str">
        <f>VLOOKUP(U102,Reference!$C$2:$D$6,2,FALSE)</f>
        <v>UnitedStates::Settlement</v>
      </c>
      <c r="G102" s="34" t="s">
        <v>96</v>
      </c>
      <c r="H102" s="34" t="s">
        <v>69</v>
      </c>
      <c r="I102" s="34" t="s">
        <v>97</v>
      </c>
      <c r="J102" s="34" t="b">
        <v>0</v>
      </c>
      <c r="M102" s="34" t="b">
        <v>0</v>
      </c>
      <c r="N102" s="34" t="e">
        <f>#REF!</f>
        <v>#REF!</v>
      </c>
      <c r="O102" s="34" t="b">
        <v>1</v>
      </c>
      <c r="Q102" s="25" t="s">
        <v>214</v>
      </c>
      <c r="R102" s="25" t="s">
        <v>242</v>
      </c>
      <c r="S102" s="26">
        <v>44032</v>
      </c>
      <c r="T102" s="26">
        <v>45127</v>
      </c>
      <c r="U102" s="28" t="s">
        <v>117</v>
      </c>
      <c r="V102" s="25">
        <v>2000000</v>
      </c>
      <c r="W102" s="25">
        <v>2</v>
      </c>
      <c r="X102" s="25">
        <v>2.125</v>
      </c>
      <c r="Y102" s="25" t="s">
        <v>243</v>
      </c>
      <c r="Z102" t="e">
        <f t="shared" si="4"/>
        <v>#NUM!</v>
      </c>
      <c r="AA102" t="e">
        <f t="shared" si="5"/>
        <v>#N/A</v>
      </c>
      <c r="AB102">
        <v>99.976997375488281</v>
      </c>
      <c r="AC102" t="s">
        <v>191</v>
      </c>
      <c r="AD102" t="s">
        <v>252</v>
      </c>
    </row>
    <row r="103" spans="1:30" hidden="1" x14ac:dyDescent="0.25">
      <c r="A103" s="27" t="e">
        <f>_xll.qlSchedule(B103,C103,D103,E103,F103,G103,H103,I103,J103,K103,L103,M103,N103,O103)</f>
        <v>#NUM!</v>
      </c>
      <c r="B103" s="35" t="str">
        <f t="shared" si="3"/>
        <v>XS2208843503Sch</v>
      </c>
      <c r="C103" s="36">
        <v>44047</v>
      </c>
      <c r="D103" s="36">
        <v>45142</v>
      </c>
      <c r="E103" s="34" t="str">
        <f>VLOOKUP(W103,Reference!$A$6:$B$8,2,FALSE)</f>
        <v>6M</v>
      </c>
      <c r="F103" s="35" t="str">
        <f>VLOOKUP(U103,Reference!$C$2:$D$6,2,FALSE)</f>
        <v>UnitedStates::Settlement</v>
      </c>
      <c r="G103" s="34" t="s">
        <v>96</v>
      </c>
      <c r="H103" s="34" t="s">
        <v>69</v>
      </c>
      <c r="I103" s="34" t="s">
        <v>97</v>
      </c>
      <c r="J103" s="34" t="b">
        <v>0</v>
      </c>
      <c r="M103" s="34" t="b">
        <v>0</v>
      </c>
      <c r="N103" s="34" t="e">
        <f>#REF!</f>
        <v>#REF!</v>
      </c>
      <c r="O103" s="34" t="b">
        <v>1</v>
      </c>
      <c r="Q103" s="25" t="s">
        <v>185</v>
      </c>
      <c r="R103" s="25" t="s">
        <v>242</v>
      </c>
      <c r="S103" s="26">
        <v>44047</v>
      </c>
      <c r="T103" s="26">
        <v>45142</v>
      </c>
      <c r="U103" s="28" t="s">
        <v>117</v>
      </c>
      <c r="V103" s="25">
        <v>500000</v>
      </c>
      <c r="W103" s="25">
        <v>2</v>
      </c>
      <c r="X103" s="25">
        <v>1</v>
      </c>
      <c r="Y103" s="25" t="s">
        <v>243</v>
      </c>
      <c r="Z103" t="e">
        <f t="shared" si="4"/>
        <v>#NUM!</v>
      </c>
      <c r="AA103" t="str">
        <f t="shared" si="5"/>
        <v>A1(Moody's)</v>
      </c>
      <c r="AB103">
        <v>100.0019989013672</v>
      </c>
      <c r="AC103" t="s">
        <v>192</v>
      </c>
      <c r="AD103" t="s">
        <v>254</v>
      </c>
    </row>
    <row r="104" spans="1:30" hidden="1" x14ac:dyDescent="0.25">
      <c r="A104" s="27" t="e">
        <f>_xll.qlSchedule(B104,C104,D104,E104,F104,G104,H104,I104,J104,K104,L104,M104,N104,O104)</f>
        <v>#NUM!</v>
      </c>
      <c r="B104" s="35" t="str">
        <f t="shared" si="3"/>
        <v>XS2213668085Sch</v>
      </c>
      <c r="C104" s="36">
        <v>44062</v>
      </c>
      <c r="D104" s="36">
        <v>47714</v>
      </c>
      <c r="E104" s="34" t="str">
        <f>VLOOKUP(W104,Reference!$A$6:$B$8,2,FALSE)</f>
        <v>6M</v>
      </c>
      <c r="F104" s="35" t="str">
        <f>VLOOKUP(U104,Reference!$C$2:$D$6,2,FALSE)</f>
        <v>UnitedStates::Settlement</v>
      </c>
      <c r="G104" s="34" t="s">
        <v>96</v>
      </c>
      <c r="H104" s="34" t="s">
        <v>69</v>
      </c>
      <c r="I104" s="34" t="s">
        <v>97</v>
      </c>
      <c r="J104" s="34" t="b">
        <v>0</v>
      </c>
      <c r="M104" s="34" t="b">
        <v>0</v>
      </c>
      <c r="N104" s="34" t="e">
        <f>#REF!</f>
        <v>#REF!</v>
      </c>
      <c r="O104" s="34" t="b">
        <v>1</v>
      </c>
      <c r="Q104" s="25" t="s">
        <v>215</v>
      </c>
      <c r="R104" s="25" t="s">
        <v>242</v>
      </c>
      <c r="S104" s="26">
        <v>44062</v>
      </c>
      <c r="T104" s="26">
        <v>47714</v>
      </c>
      <c r="U104" s="28" t="s">
        <v>117</v>
      </c>
      <c r="V104" s="25">
        <v>10000000</v>
      </c>
      <c r="W104" s="25">
        <v>2</v>
      </c>
      <c r="X104" s="25">
        <v>1</v>
      </c>
      <c r="Y104" s="25" t="s">
        <v>243</v>
      </c>
      <c r="Z104" t="e">
        <f t="shared" si="4"/>
        <v>#NUM!</v>
      </c>
      <c r="AA104" t="str">
        <f t="shared" si="5"/>
        <v>Aa3(Moody's)</v>
      </c>
      <c r="AB104">
        <v>96.851997375488281</v>
      </c>
      <c r="AC104" t="s">
        <v>193</v>
      </c>
      <c r="AD104" t="s">
        <v>254</v>
      </c>
    </row>
    <row r="105" spans="1:30" hidden="1" x14ac:dyDescent="0.25">
      <c r="A105" s="27" t="e">
        <f>_xll.qlSchedule(B105,C105,D105,E105,F105,G105,H105,I105,J105,K105,L105,M105,N105,O105)</f>
        <v>#NUM!</v>
      </c>
      <c r="B105" s="35" t="str">
        <f t="shared" si="3"/>
        <v>XS2305450657Sch</v>
      </c>
      <c r="C105" s="36">
        <v>44257</v>
      </c>
      <c r="D105" s="36">
        <v>46083</v>
      </c>
      <c r="E105" s="34" t="str">
        <f>VLOOKUP(W105,Reference!$A$6:$B$8,2,FALSE)</f>
        <v>6M</v>
      </c>
      <c r="F105" s="35" t="str">
        <f>VLOOKUP(U105,Reference!$C$2:$D$6,2,FALSE)</f>
        <v>UnitedStates::Settlement</v>
      </c>
      <c r="G105" s="34" t="s">
        <v>96</v>
      </c>
      <c r="H105" s="34" t="s">
        <v>69</v>
      </c>
      <c r="I105" s="34" t="s">
        <v>97</v>
      </c>
      <c r="J105" s="34" t="b">
        <v>0</v>
      </c>
      <c r="M105" s="34" t="b">
        <v>0</v>
      </c>
      <c r="N105" s="34" t="e">
        <f>#REF!</f>
        <v>#REF!</v>
      </c>
      <c r="O105" s="34" t="b">
        <v>1</v>
      </c>
      <c r="Q105" s="25" t="s">
        <v>216</v>
      </c>
      <c r="R105" s="25" t="s">
        <v>242</v>
      </c>
      <c r="S105" s="26">
        <v>44257</v>
      </c>
      <c r="T105" s="26">
        <v>46083</v>
      </c>
      <c r="U105" s="28" t="s">
        <v>117</v>
      </c>
      <c r="V105" s="25">
        <v>2000000</v>
      </c>
      <c r="W105" s="25">
        <v>2</v>
      </c>
      <c r="X105" s="25">
        <v>1.625</v>
      </c>
      <c r="Y105" s="25" t="s">
        <v>243</v>
      </c>
      <c r="Z105" t="e">
        <f t="shared" si="4"/>
        <v>#NUM!</v>
      </c>
      <c r="AA105" t="e">
        <f t="shared" si="5"/>
        <v>#N/A</v>
      </c>
      <c r="AB105">
        <v>98.244003295898438</v>
      </c>
      <c r="AC105" t="s">
        <v>194</v>
      </c>
      <c r="AD105" t="s">
        <v>251</v>
      </c>
    </row>
    <row r="106" spans="1:30" hidden="1" x14ac:dyDescent="0.25">
      <c r="A106" s="27" t="e">
        <f>_xll.qlSchedule(B106,C106,D106,E106,F106,G106,H106,I106,J106,K106,L106,M106,N106,O106)</f>
        <v>#NUM!</v>
      </c>
      <c r="B106" s="35" t="str">
        <f t="shared" si="3"/>
        <v>XS2334572562Sch</v>
      </c>
      <c r="C106" s="36">
        <v>44314</v>
      </c>
      <c r="D106" s="36">
        <v>46140</v>
      </c>
      <c r="E106" s="34" t="str">
        <f>VLOOKUP(W106,Reference!$A$6:$B$8,2,FALSE)</f>
        <v>6M</v>
      </c>
      <c r="F106" s="35" t="str">
        <f>VLOOKUP(U106,Reference!$C$2:$D$6,2,FALSE)</f>
        <v>UnitedStates::Settlement</v>
      </c>
      <c r="G106" s="34" t="s">
        <v>96</v>
      </c>
      <c r="H106" s="34" t="s">
        <v>69</v>
      </c>
      <c r="I106" s="34" t="s">
        <v>97</v>
      </c>
      <c r="J106" s="34" t="b">
        <v>0</v>
      </c>
      <c r="M106" s="34" t="b">
        <v>0</v>
      </c>
      <c r="N106" s="34" t="e">
        <f>#REF!</f>
        <v>#REF!</v>
      </c>
      <c r="O106" s="34" t="b">
        <v>1</v>
      </c>
      <c r="Q106" s="25" t="s">
        <v>217</v>
      </c>
      <c r="R106" s="25" t="s">
        <v>242</v>
      </c>
      <c r="S106" s="26">
        <v>44314</v>
      </c>
      <c r="T106" s="26">
        <v>46140</v>
      </c>
      <c r="U106" s="28" t="s">
        <v>117</v>
      </c>
      <c r="V106" s="25">
        <v>2000000</v>
      </c>
      <c r="W106" s="25">
        <v>2</v>
      </c>
      <c r="X106" s="25">
        <v>1.25</v>
      </c>
      <c r="Y106" s="25" t="s">
        <v>243</v>
      </c>
      <c r="Z106" t="e">
        <f t="shared" si="4"/>
        <v>#NUM!</v>
      </c>
      <c r="AA106" t="e">
        <f t="shared" si="5"/>
        <v>#N/A</v>
      </c>
      <c r="AB106">
        <v>98.765998840332031</v>
      </c>
      <c r="AC106" t="s">
        <v>195</v>
      </c>
      <c r="AD106" t="s">
        <v>103</v>
      </c>
    </row>
  </sheetData>
  <autoFilter ref="A1:Z106">
    <filterColumn colId="17">
      <filters>
        <filter val="Floating"/>
      </filters>
    </filterColumn>
  </autoFilter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X143"/>
  <sheetViews>
    <sheetView topLeftCell="D1" workbookViewId="0">
      <selection activeCell="K3" sqref="K3"/>
    </sheetView>
  </sheetViews>
  <sheetFormatPr defaultRowHeight="15.75" x14ac:dyDescent="0.25"/>
  <cols>
    <col min="1" max="3" width="15.75" style="25" customWidth="1"/>
    <col min="4" max="4" width="11.625" style="25" customWidth="1"/>
    <col min="5" max="5" width="7" style="25" customWidth="1"/>
    <col min="6" max="6" width="13.5" style="25" customWidth="1"/>
    <col min="7" max="7" width="15.75" style="25" customWidth="1"/>
    <col min="8" max="8" width="11.625" style="25" customWidth="1"/>
    <col min="9" max="9" width="10" style="25" customWidth="1"/>
    <col min="10" max="10" width="15.75" style="25" customWidth="1"/>
    <col min="11" max="11" width="8.625" style="25" customWidth="1"/>
    <col min="12" max="12" width="12.25" style="26" customWidth="1"/>
    <col min="13" max="14" width="15.75" style="25" customWidth="1"/>
    <col min="15" max="15" width="10.5" style="25" customWidth="1"/>
    <col min="16" max="16" width="10.25" style="25" customWidth="1"/>
    <col min="17" max="17" width="9" style="25"/>
    <col min="18" max="18" width="10" style="25" bestFit="1" customWidth="1"/>
    <col min="19" max="27" width="9" style="25"/>
    <col min="28" max="28" width="12.125" style="25" customWidth="1"/>
    <col min="29" max="30" width="9" style="25"/>
    <col min="31" max="31" width="13.5" style="25" customWidth="1"/>
    <col min="32" max="16384" width="9" style="25"/>
  </cols>
  <sheetData>
    <row r="1" spans="1:24" x14ac:dyDescent="0.25">
      <c r="A1" s="31" t="s">
        <v>87</v>
      </c>
      <c r="B1" s="49" t="s">
        <v>89</v>
      </c>
      <c r="C1" s="49" t="s">
        <v>262</v>
      </c>
      <c r="D1" s="49" t="s">
        <v>143</v>
      </c>
      <c r="E1" s="49" t="s">
        <v>263</v>
      </c>
      <c r="F1" s="49" t="s">
        <v>264</v>
      </c>
      <c r="G1" s="49" t="s">
        <v>265</v>
      </c>
      <c r="H1" s="49" t="s">
        <v>266</v>
      </c>
      <c r="I1" s="49" t="s">
        <v>267</v>
      </c>
      <c r="J1" s="49" t="s">
        <v>268</v>
      </c>
      <c r="K1" s="49" t="s">
        <v>36</v>
      </c>
      <c r="L1" s="20" t="s">
        <v>269</v>
      </c>
      <c r="M1" s="49" t="s">
        <v>270</v>
      </c>
      <c r="N1" s="49" t="s">
        <v>271</v>
      </c>
      <c r="O1" s="49" t="s">
        <v>272</v>
      </c>
      <c r="P1" s="49" t="s">
        <v>273</v>
      </c>
      <c r="Q1" s="66" t="s">
        <v>274</v>
      </c>
      <c r="R1" s="66" t="s">
        <v>275</v>
      </c>
      <c r="S1" s="66" t="s">
        <v>42</v>
      </c>
      <c r="T1" s="66" t="s">
        <v>43</v>
      </c>
      <c r="U1" s="66" t="s">
        <v>44</v>
      </c>
    </row>
    <row r="2" spans="1:24" s="70" customFormat="1" x14ac:dyDescent="0.25">
      <c r="A2" s="71" t="str">
        <f>_xll.qlFloatingRateBond(B2,C2,D2,E2,F2,G2,H2,I2,J2,K2,L2,M2,N2,O2,P2,Q2,R2,S2,T2,U2)</f>
        <v>obj_00040#0001</v>
      </c>
      <c r="C2" s="70" t="s">
        <v>147</v>
      </c>
      <c r="D2" s="70" t="s">
        <v>261</v>
      </c>
      <c r="E2" s="70">
        <v>2</v>
      </c>
      <c r="F2" s="70" t="s">
        <v>76</v>
      </c>
      <c r="G2" s="72">
        <f>VLOOKUP(C2,ScheduleObj!$Q$2:$Z$106,6,FALSE)</f>
        <v>15000000</v>
      </c>
      <c r="H2" s="71" t="str">
        <f>VLOOKUP(C2,ScheduleObj!$Q$2:$Z$106,10,FALSE)</f>
        <v>AU3FN0054425Sch#0001</v>
      </c>
      <c r="I2" s="70">
        <v>2</v>
      </c>
      <c r="J2" s="70" t="b">
        <v>0</v>
      </c>
      <c r="K2" s="70" t="s">
        <v>299</v>
      </c>
      <c r="L2" s="73"/>
      <c r="N2" s="71" t="str">
        <f>'ql-AU-ZC'!B74</f>
        <v>AUDIndex#0000</v>
      </c>
      <c r="O2" s="74">
        <f>VLOOKUP(C2,ScheduleObj!$Q$2:$Z$106,9,FALSE)/100</f>
        <v>1.15E-2</v>
      </c>
      <c r="Q2" s="70">
        <v>100</v>
      </c>
      <c r="R2" s="73">
        <f>VLOOKUP(C2,ScheduleObj!$Q$2:$Z$106,3,FALSE)</f>
        <v>43987</v>
      </c>
      <c r="S2" s="70" t="b">
        <v>0</v>
      </c>
      <c r="T2" s="34">
        <f>Pricing!$A$1</f>
        <v>1</v>
      </c>
      <c r="U2" s="70" t="b">
        <v>1</v>
      </c>
      <c r="W2" s="73"/>
      <c r="X2" s="73"/>
    </row>
    <row r="3" spans="1:24" x14ac:dyDescent="0.25">
      <c r="A3" s="27"/>
      <c r="G3" s="67"/>
      <c r="H3" s="27"/>
      <c r="N3" s="27"/>
      <c r="O3" s="34"/>
      <c r="R3" s="26"/>
      <c r="T3" s="34"/>
      <c r="W3" s="26"/>
      <c r="X3" s="26"/>
    </row>
    <row r="4" spans="1:24" x14ac:dyDescent="0.25">
      <c r="A4" s="27"/>
      <c r="G4" s="67"/>
      <c r="H4" s="27"/>
      <c r="N4" s="27"/>
      <c r="O4" s="34"/>
      <c r="R4" s="26"/>
      <c r="T4" s="34"/>
      <c r="W4" s="26"/>
      <c r="X4" s="26"/>
    </row>
    <row r="5" spans="1:24" x14ac:dyDescent="0.25">
      <c r="A5" s="27"/>
      <c r="G5" s="67"/>
      <c r="H5" s="27"/>
      <c r="N5" s="27"/>
      <c r="O5" s="34"/>
      <c r="R5" s="26"/>
      <c r="T5" s="34"/>
    </row>
    <row r="6" spans="1:24" x14ac:dyDescent="0.25">
      <c r="A6" s="27"/>
      <c r="G6" s="67"/>
      <c r="H6" s="27"/>
      <c r="N6" s="27"/>
      <c r="O6" s="34"/>
      <c r="R6" s="26"/>
      <c r="T6" s="34"/>
    </row>
    <row r="7" spans="1:24" x14ac:dyDescent="0.25">
      <c r="A7" s="27"/>
      <c r="G7" s="67"/>
      <c r="H7" s="27"/>
      <c r="N7" s="27"/>
      <c r="O7" s="34"/>
      <c r="R7" s="26"/>
      <c r="T7" s="34"/>
    </row>
    <row r="8" spans="1:24" x14ac:dyDescent="0.25">
      <c r="A8" s="27"/>
      <c r="G8" s="67"/>
      <c r="H8" s="27"/>
      <c r="N8" s="27"/>
      <c r="O8" s="34"/>
      <c r="R8" s="26"/>
      <c r="T8" s="34"/>
    </row>
    <row r="9" spans="1:24" x14ac:dyDescent="0.25">
      <c r="A9" s="27"/>
      <c r="G9" s="67"/>
      <c r="H9" s="27"/>
      <c r="N9" s="27"/>
      <c r="O9" s="34"/>
      <c r="R9" s="26"/>
      <c r="T9" s="34"/>
    </row>
    <row r="10" spans="1:24" x14ac:dyDescent="0.25">
      <c r="A10" s="27"/>
      <c r="G10" s="67"/>
      <c r="H10" s="27"/>
      <c r="N10" s="27"/>
      <c r="O10" s="34"/>
      <c r="R10" s="26"/>
      <c r="T10" s="34"/>
    </row>
    <row r="11" spans="1:24" x14ac:dyDescent="0.25">
      <c r="A11" s="27"/>
      <c r="G11" s="67"/>
      <c r="H11" s="27"/>
      <c r="N11" s="27"/>
      <c r="O11" s="34"/>
      <c r="R11" s="26"/>
      <c r="T11" s="34"/>
    </row>
    <row r="12" spans="1:24" x14ac:dyDescent="0.25">
      <c r="A12" s="27"/>
      <c r="G12" s="67"/>
      <c r="H12" s="27"/>
      <c r="N12" s="27"/>
      <c r="O12" s="34"/>
      <c r="R12" s="26"/>
      <c r="T12" s="34"/>
    </row>
    <row r="13" spans="1:24" x14ac:dyDescent="0.25">
      <c r="A13" s="27"/>
      <c r="G13" s="67"/>
      <c r="H13" s="27"/>
      <c r="N13" s="27"/>
      <c r="O13" s="34"/>
      <c r="R13" s="26"/>
      <c r="T13" s="34"/>
    </row>
    <row r="14" spans="1:24" x14ac:dyDescent="0.25">
      <c r="A14" s="27"/>
      <c r="G14" s="67"/>
      <c r="H14" s="27"/>
      <c r="N14" s="27"/>
      <c r="O14" s="34"/>
      <c r="R14" s="26"/>
      <c r="T14" s="34"/>
    </row>
    <row r="15" spans="1:24" x14ac:dyDescent="0.25">
      <c r="A15" s="27"/>
      <c r="G15" s="67"/>
      <c r="H15" s="27"/>
      <c r="N15" s="27"/>
      <c r="O15" s="34"/>
      <c r="R15" s="26"/>
      <c r="T15" s="34"/>
    </row>
    <row r="16" spans="1:24" x14ac:dyDescent="0.25">
      <c r="A16" s="27"/>
      <c r="G16" s="67"/>
      <c r="H16" s="27"/>
      <c r="N16" s="27"/>
      <c r="O16" s="34"/>
      <c r="R16" s="26"/>
      <c r="T16" s="34"/>
    </row>
    <row r="17" spans="1:20" x14ac:dyDescent="0.25">
      <c r="A17" s="27"/>
      <c r="G17" s="67"/>
      <c r="H17" s="27"/>
      <c r="N17" s="27"/>
      <c r="O17" s="34"/>
      <c r="R17" s="26"/>
      <c r="T17" s="34"/>
    </row>
    <row r="18" spans="1:20" x14ac:dyDescent="0.25">
      <c r="A18" s="27"/>
      <c r="G18" s="67"/>
      <c r="H18" s="27"/>
      <c r="N18" s="27"/>
      <c r="O18" s="34"/>
      <c r="R18" s="26"/>
      <c r="T18" s="34"/>
    </row>
    <row r="19" spans="1:20" x14ac:dyDescent="0.25">
      <c r="A19" s="27"/>
      <c r="G19" s="67"/>
      <c r="H19" s="27"/>
      <c r="N19" s="27"/>
      <c r="O19" s="34"/>
      <c r="R19" s="26"/>
      <c r="T19" s="34"/>
    </row>
    <row r="20" spans="1:20" x14ac:dyDescent="0.25">
      <c r="A20" s="27"/>
      <c r="G20" s="67"/>
      <c r="H20" s="27"/>
      <c r="N20" s="27"/>
      <c r="O20" s="34"/>
      <c r="R20" s="26"/>
      <c r="T20" s="34"/>
    </row>
    <row r="21" spans="1:20" x14ac:dyDescent="0.25">
      <c r="A21" s="27"/>
      <c r="G21" s="67"/>
      <c r="H21" s="27"/>
      <c r="N21" s="27"/>
      <c r="O21" s="34"/>
      <c r="R21" s="26"/>
      <c r="T21" s="34"/>
    </row>
    <row r="22" spans="1:20" x14ac:dyDescent="0.25">
      <c r="A22" s="27"/>
      <c r="G22" s="67"/>
      <c r="H22" s="27"/>
      <c r="N22" s="27"/>
      <c r="O22" s="34"/>
      <c r="R22" s="26"/>
      <c r="T22" s="34"/>
    </row>
    <row r="23" spans="1:20" x14ac:dyDescent="0.25">
      <c r="A23" s="27"/>
      <c r="G23" s="67"/>
      <c r="H23" s="27"/>
      <c r="N23" s="27"/>
      <c r="O23" s="34"/>
      <c r="R23" s="26"/>
      <c r="T23" s="34"/>
    </row>
    <row r="24" spans="1:20" x14ac:dyDescent="0.25">
      <c r="A24" s="27"/>
      <c r="G24" s="67"/>
      <c r="H24" s="27"/>
      <c r="N24" s="27"/>
      <c r="O24" s="34"/>
      <c r="R24" s="26"/>
      <c r="T24" s="34"/>
    </row>
    <row r="25" spans="1:20" x14ac:dyDescent="0.25">
      <c r="A25" s="27"/>
      <c r="G25" s="67"/>
      <c r="H25" s="27"/>
      <c r="N25" s="27"/>
      <c r="O25" s="34"/>
      <c r="R25" s="26"/>
      <c r="T25" s="34"/>
    </row>
    <row r="26" spans="1:20" x14ac:dyDescent="0.25">
      <c r="A26" s="27"/>
      <c r="G26" s="67"/>
      <c r="H26" s="27"/>
      <c r="N26" s="27"/>
      <c r="O26" s="34"/>
      <c r="R26" s="26"/>
      <c r="T26" s="34"/>
    </row>
    <row r="27" spans="1:20" x14ac:dyDescent="0.25">
      <c r="A27" s="27"/>
      <c r="G27" s="67"/>
      <c r="H27" s="27"/>
      <c r="N27" s="27"/>
      <c r="O27" s="34"/>
      <c r="R27" s="26"/>
      <c r="T27" s="34"/>
    </row>
    <row r="28" spans="1:20" x14ac:dyDescent="0.25">
      <c r="A28" s="27"/>
      <c r="G28" s="67"/>
      <c r="H28" s="27"/>
      <c r="N28" s="27"/>
      <c r="O28" s="34"/>
      <c r="R28" s="26"/>
      <c r="T28" s="34"/>
    </row>
    <row r="29" spans="1:20" x14ac:dyDescent="0.25">
      <c r="A29" s="27"/>
      <c r="G29" s="67"/>
      <c r="H29" s="27"/>
      <c r="N29" s="27"/>
      <c r="O29" s="34"/>
      <c r="R29" s="26"/>
      <c r="T29" s="34"/>
    </row>
    <row r="30" spans="1:20" x14ac:dyDescent="0.25">
      <c r="A30" s="27"/>
      <c r="G30" s="67"/>
      <c r="H30" s="27"/>
      <c r="N30" s="27"/>
      <c r="O30" s="34"/>
      <c r="R30" s="26"/>
      <c r="T30" s="34"/>
    </row>
    <row r="31" spans="1:20" x14ac:dyDescent="0.25">
      <c r="A31" s="27"/>
      <c r="G31" s="67"/>
      <c r="H31" s="27"/>
      <c r="N31" s="27"/>
      <c r="O31" s="34"/>
      <c r="R31" s="26"/>
      <c r="T31" s="34"/>
    </row>
    <row r="32" spans="1:20" x14ac:dyDescent="0.25">
      <c r="A32" s="27"/>
      <c r="G32" s="67"/>
      <c r="H32" s="27"/>
      <c r="N32" s="27"/>
      <c r="O32" s="34"/>
      <c r="R32" s="26"/>
      <c r="T32" s="34"/>
    </row>
    <row r="33" spans="1:20" x14ac:dyDescent="0.25">
      <c r="A33" s="27"/>
      <c r="G33" s="67"/>
      <c r="H33" s="27"/>
      <c r="N33" s="27"/>
      <c r="O33" s="34"/>
      <c r="R33" s="26"/>
      <c r="T33" s="34"/>
    </row>
    <row r="34" spans="1:20" x14ac:dyDescent="0.25">
      <c r="A34" s="27"/>
      <c r="G34" s="67"/>
      <c r="H34" s="27"/>
      <c r="N34" s="27"/>
      <c r="O34" s="34"/>
      <c r="R34" s="26"/>
      <c r="T34" s="34"/>
    </row>
    <row r="35" spans="1:20" x14ac:dyDescent="0.25">
      <c r="A35" s="27"/>
      <c r="G35" s="67"/>
      <c r="H35" s="27"/>
      <c r="N35" s="27"/>
      <c r="O35" s="34"/>
      <c r="R35" s="26"/>
      <c r="T35" s="34"/>
    </row>
    <row r="36" spans="1:20" x14ac:dyDescent="0.25">
      <c r="A36" s="27"/>
      <c r="G36" s="67"/>
      <c r="H36" s="27"/>
      <c r="N36" s="27"/>
      <c r="O36" s="34"/>
      <c r="R36" s="26"/>
      <c r="T36" s="34"/>
    </row>
    <row r="37" spans="1:20" x14ac:dyDescent="0.25">
      <c r="A37" s="27"/>
      <c r="G37" s="67"/>
      <c r="H37" s="27"/>
      <c r="N37" s="27"/>
      <c r="O37" s="34"/>
      <c r="R37" s="26"/>
      <c r="T37" s="34"/>
    </row>
    <row r="38" spans="1:20" x14ac:dyDescent="0.25">
      <c r="A38" s="27"/>
      <c r="G38" s="67"/>
      <c r="H38" s="27"/>
      <c r="N38" s="27"/>
      <c r="O38" s="34"/>
      <c r="R38" s="26"/>
      <c r="T38" s="34"/>
    </row>
    <row r="39" spans="1:20" x14ac:dyDescent="0.25">
      <c r="A39" s="27"/>
      <c r="G39" s="67"/>
      <c r="H39" s="27"/>
      <c r="N39" s="27"/>
      <c r="O39" s="34"/>
      <c r="R39" s="26"/>
      <c r="T39" s="34"/>
    </row>
    <row r="40" spans="1:20" x14ac:dyDescent="0.25">
      <c r="A40" s="27"/>
      <c r="G40" s="67"/>
      <c r="H40" s="27"/>
      <c r="N40" s="27"/>
      <c r="O40" s="34"/>
      <c r="R40" s="26"/>
      <c r="T40" s="34"/>
    </row>
    <row r="41" spans="1:20" x14ac:dyDescent="0.25">
      <c r="A41" s="27"/>
      <c r="G41" s="67"/>
      <c r="H41" s="27"/>
      <c r="N41" s="27"/>
      <c r="O41" s="34"/>
      <c r="R41" s="26"/>
      <c r="T41" s="34"/>
    </row>
    <row r="42" spans="1:20" x14ac:dyDescent="0.25">
      <c r="A42" s="27"/>
      <c r="G42" s="67"/>
      <c r="H42" s="27"/>
      <c r="N42" s="27"/>
      <c r="O42" s="34"/>
      <c r="R42" s="26"/>
      <c r="T42" s="34"/>
    </row>
    <row r="43" spans="1:20" x14ac:dyDescent="0.25">
      <c r="A43" s="27"/>
      <c r="G43" s="67"/>
      <c r="H43" s="27"/>
      <c r="N43" s="27"/>
      <c r="O43" s="34"/>
      <c r="R43" s="26"/>
      <c r="T43" s="34"/>
    </row>
    <row r="44" spans="1:20" x14ac:dyDescent="0.25">
      <c r="A44" s="27"/>
      <c r="G44" s="67"/>
      <c r="H44" s="27"/>
      <c r="N44" s="27"/>
      <c r="O44" s="34"/>
      <c r="R44" s="26"/>
      <c r="T44" s="34"/>
    </row>
    <row r="45" spans="1:20" x14ac:dyDescent="0.25">
      <c r="A45" s="27"/>
      <c r="G45" s="67"/>
      <c r="H45" s="27"/>
      <c r="N45" s="27"/>
      <c r="O45" s="34"/>
      <c r="R45" s="26"/>
      <c r="T45" s="34"/>
    </row>
    <row r="46" spans="1:20" x14ac:dyDescent="0.25">
      <c r="A46" s="27"/>
      <c r="G46" s="67"/>
      <c r="H46" s="27"/>
      <c r="N46" s="27"/>
      <c r="O46" s="34"/>
      <c r="R46" s="26"/>
      <c r="T46" s="34"/>
    </row>
    <row r="47" spans="1:20" x14ac:dyDescent="0.25">
      <c r="A47" s="27"/>
      <c r="G47" s="67"/>
      <c r="H47" s="27"/>
      <c r="N47" s="27"/>
      <c r="O47" s="34"/>
      <c r="R47" s="26"/>
      <c r="T47" s="34"/>
    </row>
    <row r="48" spans="1:20" x14ac:dyDescent="0.25">
      <c r="A48" s="27"/>
      <c r="G48" s="67"/>
      <c r="H48" s="27"/>
      <c r="N48" s="27"/>
      <c r="O48" s="34"/>
      <c r="R48" s="26"/>
      <c r="T48" s="34"/>
    </row>
    <row r="49" spans="1:20" x14ac:dyDescent="0.25">
      <c r="A49" s="27"/>
      <c r="G49" s="67"/>
      <c r="H49" s="27"/>
      <c r="N49" s="27"/>
      <c r="O49" s="34"/>
      <c r="R49" s="26"/>
      <c r="T49" s="34"/>
    </row>
    <row r="50" spans="1:20" x14ac:dyDescent="0.25">
      <c r="A50" s="27"/>
      <c r="G50" s="67"/>
      <c r="H50" s="27"/>
      <c r="N50" s="27"/>
      <c r="O50" s="34"/>
      <c r="R50" s="26"/>
      <c r="T50" s="34"/>
    </row>
    <row r="51" spans="1:20" x14ac:dyDescent="0.25">
      <c r="A51" s="27"/>
      <c r="G51" s="67"/>
      <c r="H51" s="27"/>
      <c r="N51" s="27"/>
      <c r="O51" s="34"/>
      <c r="R51" s="26"/>
      <c r="T51" s="34"/>
    </row>
    <row r="52" spans="1:20" x14ac:dyDescent="0.25">
      <c r="A52" s="27"/>
      <c r="G52" s="67"/>
      <c r="H52" s="27"/>
      <c r="N52" s="27"/>
      <c r="O52" s="34"/>
      <c r="R52" s="26"/>
      <c r="T52" s="34"/>
    </row>
    <row r="53" spans="1:20" x14ac:dyDescent="0.25">
      <c r="A53" s="27"/>
      <c r="G53" s="67"/>
      <c r="H53" s="27"/>
      <c r="N53" s="27"/>
      <c r="O53" s="34"/>
      <c r="R53" s="26"/>
      <c r="T53" s="34"/>
    </row>
    <row r="54" spans="1:20" x14ac:dyDescent="0.25">
      <c r="A54" s="27"/>
      <c r="G54" s="67"/>
      <c r="H54" s="27"/>
      <c r="N54" s="27"/>
      <c r="O54" s="34"/>
      <c r="R54" s="26"/>
      <c r="T54" s="34"/>
    </row>
    <row r="55" spans="1:20" x14ac:dyDescent="0.25">
      <c r="A55" s="27"/>
      <c r="G55" s="67"/>
      <c r="H55" s="27"/>
      <c r="N55" s="27"/>
      <c r="O55" s="34"/>
      <c r="R55" s="26"/>
      <c r="T55" s="34"/>
    </row>
    <row r="56" spans="1:20" x14ac:dyDescent="0.25">
      <c r="A56" s="27"/>
      <c r="G56" s="67"/>
      <c r="H56" s="27"/>
      <c r="N56" s="27"/>
      <c r="O56" s="34"/>
      <c r="R56" s="26"/>
      <c r="T56" s="34"/>
    </row>
    <row r="57" spans="1:20" x14ac:dyDescent="0.25">
      <c r="A57" s="27"/>
      <c r="G57" s="67"/>
      <c r="H57" s="27"/>
      <c r="N57" s="27"/>
      <c r="O57" s="34"/>
      <c r="R57" s="26"/>
      <c r="T57" s="34"/>
    </row>
    <row r="58" spans="1:20" x14ac:dyDescent="0.25">
      <c r="A58" s="27"/>
      <c r="G58" s="67"/>
      <c r="H58" s="27"/>
      <c r="N58" s="27"/>
      <c r="O58" s="34"/>
      <c r="R58" s="26"/>
      <c r="T58" s="34"/>
    </row>
    <row r="59" spans="1:20" x14ac:dyDescent="0.25">
      <c r="G59" s="27"/>
    </row>
    <row r="60" spans="1:20" x14ac:dyDescent="0.25">
      <c r="G60" s="27"/>
    </row>
    <row r="61" spans="1:20" x14ac:dyDescent="0.25">
      <c r="G61" s="27"/>
    </row>
    <row r="62" spans="1:20" x14ac:dyDescent="0.25">
      <c r="G62" s="27"/>
    </row>
    <row r="63" spans="1:20" x14ac:dyDescent="0.25">
      <c r="G63" s="27"/>
    </row>
    <row r="64" spans="1:20" x14ac:dyDescent="0.25">
      <c r="G64" s="27"/>
    </row>
    <row r="65" spans="7:7" x14ac:dyDescent="0.25">
      <c r="G65" s="27"/>
    </row>
    <row r="66" spans="7:7" x14ac:dyDescent="0.25">
      <c r="G66" s="27"/>
    </row>
    <row r="67" spans="7:7" x14ac:dyDescent="0.25">
      <c r="G67" s="27"/>
    </row>
    <row r="68" spans="7:7" x14ac:dyDescent="0.25">
      <c r="G68" s="27"/>
    </row>
    <row r="69" spans="7:7" x14ac:dyDescent="0.25">
      <c r="G69" s="27"/>
    </row>
    <row r="70" spans="7:7" x14ac:dyDescent="0.25">
      <c r="G70" s="27"/>
    </row>
    <row r="71" spans="7:7" x14ac:dyDescent="0.25">
      <c r="G71" s="27"/>
    </row>
    <row r="72" spans="7:7" x14ac:dyDescent="0.25">
      <c r="G72" s="27"/>
    </row>
    <row r="73" spans="7:7" x14ac:dyDescent="0.25">
      <c r="G73" s="27"/>
    </row>
    <row r="74" spans="7:7" x14ac:dyDescent="0.25">
      <c r="G74" s="27"/>
    </row>
    <row r="75" spans="7:7" x14ac:dyDescent="0.25">
      <c r="G75" s="27"/>
    </row>
    <row r="76" spans="7:7" x14ac:dyDescent="0.25">
      <c r="G76" s="27"/>
    </row>
    <row r="77" spans="7:7" x14ac:dyDescent="0.25">
      <c r="G77" s="27"/>
    </row>
    <row r="78" spans="7:7" x14ac:dyDescent="0.25">
      <c r="G78" s="27"/>
    </row>
    <row r="79" spans="7:7" x14ac:dyDescent="0.25">
      <c r="G79" s="27"/>
    </row>
    <row r="80" spans="7:7" x14ac:dyDescent="0.25">
      <c r="G80" s="27"/>
    </row>
    <row r="81" spans="7:7" x14ac:dyDescent="0.25">
      <c r="G81" s="27"/>
    </row>
    <row r="82" spans="7:7" x14ac:dyDescent="0.25">
      <c r="G82" s="27"/>
    </row>
    <row r="83" spans="7:7" x14ac:dyDescent="0.25">
      <c r="G83" s="27"/>
    </row>
    <row r="84" spans="7:7" x14ac:dyDescent="0.25">
      <c r="G84" s="27"/>
    </row>
    <row r="85" spans="7:7" x14ac:dyDescent="0.25">
      <c r="G85" s="27"/>
    </row>
    <row r="86" spans="7:7" x14ac:dyDescent="0.25">
      <c r="G86" s="27"/>
    </row>
    <row r="87" spans="7:7" x14ac:dyDescent="0.25">
      <c r="G87" s="27"/>
    </row>
    <row r="88" spans="7:7" x14ac:dyDescent="0.25">
      <c r="G88" s="27"/>
    </row>
    <row r="89" spans="7:7" x14ac:dyDescent="0.25">
      <c r="G89" s="27"/>
    </row>
    <row r="90" spans="7:7" x14ac:dyDescent="0.25">
      <c r="G90" s="27"/>
    </row>
    <row r="91" spans="7:7" x14ac:dyDescent="0.25">
      <c r="G91" s="27"/>
    </row>
    <row r="92" spans="7:7" x14ac:dyDescent="0.25">
      <c r="G92" s="27"/>
    </row>
    <row r="93" spans="7:7" x14ac:dyDescent="0.25">
      <c r="G93" s="27"/>
    </row>
    <row r="94" spans="7:7" x14ac:dyDescent="0.25">
      <c r="G94" s="27"/>
    </row>
    <row r="95" spans="7:7" x14ac:dyDescent="0.25">
      <c r="G95" s="27"/>
    </row>
    <row r="96" spans="7:7" x14ac:dyDescent="0.25">
      <c r="G96" s="27"/>
    </row>
    <row r="97" spans="7:7" x14ac:dyDescent="0.25">
      <c r="G97" s="27"/>
    </row>
    <row r="98" spans="7:7" x14ac:dyDescent="0.25">
      <c r="G98" s="27"/>
    </row>
    <row r="99" spans="7:7" x14ac:dyDescent="0.25">
      <c r="G99" s="27"/>
    </row>
    <row r="100" spans="7:7" x14ac:dyDescent="0.25">
      <c r="G100" s="27"/>
    </row>
    <row r="101" spans="7:7" x14ac:dyDescent="0.25">
      <c r="G101" s="27"/>
    </row>
    <row r="102" spans="7:7" x14ac:dyDescent="0.25">
      <c r="G102" s="27"/>
    </row>
    <row r="103" spans="7:7" x14ac:dyDescent="0.25">
      <c r="G103" s="27"/>
    </row>
    <row r="104" spans="7:7" x14ac:dyDescent="0.25">
      <c r="G104" s="27"/>
    </row>
    <row r="105" spans="7:7" x14ac:dyDescent="0.25">
      <c r="G105" s="27"/>
    </row>
    <row r="106" spans="7:7" x14ac:dyDescent="0.25">
      <c r="G106" s="27"/>
    </row>
    <row r="107" spans="7:7" x14ac:dyDescent="0.25">
      <c r="G107" s="27"/>
    </row>
    <row r="108" spans="7:7" x14ac:dyDescent="0.25">
      <c r="G108" s="27"/>
    </row>
    <row r="109" spans="7:7" x14ac:dyDescent="0.25">
      <c r="G109" s="27"/>
    </row>
    <row r="110" spans="7:7" x14ac:dyDescent="0.25">
      <c r="G110" s="27"/>
    </row>
    <row r="111" spans="7:7" x14ac:dyDescent="0.25">
      <c r="G111" s="27"/>
    </row>
    <row r="112" spans="7:7" x14ac:dyDescent="0.25">
      <c r="G112" s="27"/>
    </row>
    <row r="113" spans="7:7" x14ac:dyDescent="0.25">
      <c r="G113" s="27"/>
    </row>
    <row r="114" spans="7:7" x14ac:dyDescent="0.25">
      <c r="G114" s="27"/>
    </row>
    <row r="115" spans="7:7" x14ac:dyDescent="0.25">
      <c r="G115" s="27"/>
    </row>
    <row r="116" spans="7:7" x14ac:dyDescent="0.25">
      <c r="G116" s="27"/>
    </row>
    <row r="117" spans="7:7" x14ac:dyDescent="0.25">
      <c r="G117" s="27"/>
    </row>
    <row r="118" spans="7:7" x14ac:dyDescent="0.25">
      <c r="G118" s="27"/>
    </row>
    <row r="119" spans="7:7" x14ac:dyDescent="0.25">
      <c r="G119" s="27"/>
    </row>
    <row r="120" spans="7:7" x14ac:dyDescent="0.25">
      <c r="G120" s="27"/>
    </row>
    <row r="121" spans="7:7" x14ac:dyDescent="0.25">
      <c r="G121" s="27"/>
    </row>
    <row r="122" spans="7:7" x14ac:dyDescent="0.25">
      <c r="G122" s="27"/>
    </row>
    <row r="123" spans="7:7" x14ac:dyDescent="0.25">
      <c r="G123" s="27"/>
    </row>
    <row r="124" spans="7:7" x14ac:dyDescent="0.25">
      <c r="G124" s="27"/>
    </row>
    <row r="125" spans="7:7" x14ac:dyDescent="0.25">
      <c r="G125" s="27"/>
    </row>
    <row r="126" spans="7:7" x14ac:dyDescent="0.25">
      <c r="G126" s="27"/>
    </row>
    <row r="127" spans="7:7" x14ac:dyDescent="0.25">
      <c r="G127" s="27"/>
    </row>
    <row r="128" spans="7:7" x14ac:dyDescent="0.25">
      <c r="G128" s="27"/>
    </row>
    <row r="129" spans="7:7" x14ac:dyDescent="0.25">
      <c r="G129" s="27"/>
    </row>
    <row r="130" spans="7:7" x14ac:dyDescent="0.25">
      <c r="G130" s="27"/>
    </row>
    <row r="131" spans="7:7" x14ac:dyDescent="0.25">
      <c r="G131" s="27"/>
    </row>
    <row r="132" spans="7:7" x14ac:dyDescent="0.25">
      <c r="G132" s="27"/>
    </row>
    <row r="133" spans="7:7" x14ac:dyDescent="0.25">
      <c r="G133" s="27"/>
    </row>
    <row r="134" spans="7:7" x14ac:dyDescent="0.25">
      <c r="G134" s="27"/>
    </row>
    <row r="135" spans="7:7" x14ac:dyDescent="0.25">
      <c r="G135" s="27"/>
    </row>
    <row r="136" spans="7:7" x14ac:dyDescent="0.25">
      <c r="G136" s="27"/>
    </row>
    <row r="137" spans="7:7" x14ac:dyDescent="0.25">
      <c r="G137" s="27"/>
    </row>
    <row r="138" spans="7:7" x14ac:dyDescent="0.25">
      <c r="G138" s="27"/>
    </row>
    <row r="139" spans="7:7" x14ac:dyDescent="0.25">
      <c r="G139" s="27"/>
    </row>
    <row r="140" spans="7:7" x14ac:dyDescent="0.25">
      <c r="G140" s="27"/>
    </row>
    <row r="141" spans="7:7" x14ac:dyDescent="0.25">
      <c r="G141" s="27"/>
    </row>
    <row r="142" spans="7:7" x14ac:dyDescent="0.25">
      <c r="G142" s="27"/>
    </row>
    <row r="143" spans="7:7" x14ac:dyDescent="0.25">
      <c r="G143" s="2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G33"/>
  <sheetViews>
    <sheetView tabSelected="1" workbookViewId="0">
      <selection activeCell="B5" sqref="B5"/>
    </sheetView>
  </sheetViews>
  <sheetFormatPr defaultRowHeight="15.75" x14ac:dyDescent="0.25"/>
  <cols>
    <col min="1" max="1" width="16.375" style="25" customWidth="1"/>
    <col min="2" max="2" width="51" style="61" customWidth="1"/>
    <col min="3" max="3" width="12.125" style="25" customWidth="1"/>
    <col min="4" max="4" width="20.125" style="28" customWidth="1"/>
    <col min="5" max="5" width="10.75" style="28" customWidth="1"/>
    <col min="6" max="6" width="14.375" style="25" customWidth="1"/>
    <col min="7" max="7" width="17" style="25" customWidth="1"/>
    <col min="8" max="8" width="14.375" style="25" customWidth="1"/>
    <col min="9" max="9" width="21.75" style="25" customWidth="1"/>
    <col min="10" max="10" width="14.375" style="25" customWidth="1"/>
    <col min="11" max="11" width="13.625" style="25" customWidth="1"/>
    <col min="12" max="12" width="18.125" style="25" customWidth="1"/>
    <col min="13" max="13" width="15.25" style="25" customWidth="1"/>
    <col min="14" max="14" width="17.125" style="25" customWidth="1"/>
    <col min="15" max="15" width="14.375" style="25" customWidth="1"/>
    <col min="16" max="16" width="11.5" style="25" customWidth="1"/>
    <col min="17" max="17" width="11.75" style="25" customWidth="1"/>
    <col min="18" max="18" width="11.25" style="25" customWidth="1"/>
    <col min="19" max="19" width="13.125" style="25" customWidth="1"/>
    <col min="20" max="20" width="17" style="25" customWidth="1"/>
    <col min="21" max="21" width="12" style="25" customWidth="1"/>
    <col min="22" max="24" width="9" style="25"/>
    <col min="25" max="25" width="9.125" style="25" customWidth="1"/>
    <col min="26" max="26" width="8.5" style="25" customWidth="1"/>
    <col min="27" max="27" width="10" style="25" bestFit="1" customWidth="1"/>
    <col min="28" max="29" width="9" style="25"/>
    <col min="30" max="30" width="16.875" style="25" customWidth="1"/>
    <col min="31" max="32" width="9" style="25"/>
    <col min="33" max="33" width="15.875" style="25" bestFit="1" customWidth="1"/>
    <col min="34" max="16384" width="9" style="25"/>
  </cols>
  <sheetData>
    <row r="1" spans="1:33" x14ac:dyDescent="0.25">
      <c r="A1" s="25">
        <v>1</v>
      </c>
      <c r="B1" s="39"/>
      <c r="C1" s="40"/>
      <c r="D1" s="65"/>
      <c r="H1" s="39"/>
      <c r="I1" s="39"/>
      <c r="J1" s="39"/>
      <c r="K1" s="40"/>
      <c r="L1" s="46"/>
      <c r="M1" s="41"/>
      <c r="N1" s="44"/>
      <c r="P1" s="34"/>
      <c r="AG1" s="39"/>
    </row>
    <row r="2" spans="1:33" x14ac:dyDescent="0.25">
      <c r="A2" s="37" t="s">
        <v>112</v>
      </c>
      <c r="B2" s="62" t="s">
        <v>111</v>
      </c>
      <c r="C2" s="32" t="s">
        <v>78</v>
      </c>
      <c r="E2" s="45" t="s">
        <v>104</v>
      </c>
      <c r="F2" s="32" t="s">
        <v>77</v>
      </c>
      <c r="G2" s="32" t="s">
        <v>105</v>
      </c>
      <c r="H2" s="45" t="s">
        <v>107</v>
      </c>
      <c r="I2" s="45" t="s">
        <v>113</v>
      </c>
      <c r="J2" s="45" t="s">
        <v>114</v>
      </c>
      <c r="K2" s="19" t="s">
        <v>110</v>
      </c>
      <c r="L2" s="19" t="s">
        <v>109</v>
      </c>
      <c r="M2" s="19" t="s">
        <v>108</v>
      </c>
      <c r="N2" s="43" t="s">
        <v>260</v>
      </c>
      <c r="O2" s="33" t="s">
        <v>77</v>
      </c>
      <c r="P2" s="33" t="s">
        <v>17</v>
      </c>
      <c r="Q2" s="33" t="s">
        <v>81</v>
      </c>
      <c r="R2" s="33" t="s">
        <v>82</v>
      </c>
      <c r="S2" s="33" t="s">
        <v>83</v>
      </c>
      <c r="T2" s="33" t="s">
        <v>84</v>
      </c>
      <c r="U2" s="33" t="s">
        <v>85</v>
      </c>
      <c r="V2" s="33" t="s">
        <v>86</v>
      </c>
      <c r="W2" s="33" t="s">
        <v>14</v>
      </c>
      <c r="X2" s="28" t="s">
        <v>106</v>
      </c>
      <c r="Y2" s="33" t="s">
        <v>77</v>
      </c>
      <c r="Z2" s="33" t="s">
        <v>80</v>
      </c>
      <c r="AA2" s="33" t="s">
        <v>17</v>
      </c>
      <c r="AB2" s="33" t="s">
        <v>81</v>
      </c>
      <c r="AC2" s="33" t="s">
        <v>82</v>
      </c>
      <c r="AD2" s="33" t="s">
        <v>83</v>
      </c>
      <c r="AE2" s="33" t="s">
        <v>14</v>
      </c>
      <c r="AG2" s="37"/>
    </row>
    <row r="3" spans="1:33" x14ac:dyDescent="0.25">
      <c r="A3" s="47">
        <v>101.99299999999999</v>
      </c>
      <c r="B3" s="61">
        <f>_xll.qlBondCleanPrice(G3,$A$1)</f>
        <v>103.7556821261538</v>
      </c>
      <c r="C3" s="63" t="b">
        <f>_xll.qlInstrumentSetPricingEngine(G3,F3,_xll.ohTrigger($A$1))</f>
        <v>1</v>
      </c>
      <c r="F3" s="75" t="str">
        <f>'ql-AU-ZC'!C42</f>
        <v>Engg#0000</v>
      </c>
      <c r="G3" s="27" t="str">
        <f>FlotBondObj!A2</f>
        <v>obj_00040#0001</v>
      </c>
      <c r="H3" s="48">
        <f>FlotBondObj!G2</f>
        <v>15000000</v>
      </c>
      <c r="J3" s="25" t="s">
        <v>225</v>
      </c>
      <c r="K3" s="78">
        <f>_xll.qlBondBpsFromYield(G3,M3,P3,Q3,R3,AD3,AE3)*H3/100</f>
        <v>5071.0888308498033</v>
      </c>
      <c r="L3" s="42">
        <f>_xll.qlBondDurationFromYield(G3,M3,P3,Q3,R3,"Modified",AD3,AE3)</f>
        <v>3.305290195505695</v>
      </c>
      <c r="M3" s="41">
        <f>_xll.qlBondYieldFromCleanPrice(G3,A3,P3,Q3,R3,S3,T3,U3,V3,W3)</f>
        <v>1.8678055315837262E-2</v>
      </c>
      <c r="N3" s="64" t="e">
        <f>_xll.qlBondZSpreadFromCleanPrice(G3,A3,O3,P3,Q3,R3,S3,T3,U3,V3,W3)/0.01%</f>
        <v>#NUM!</v>
      </c>
      <c r="O3" s="27" t="str">
        <f>'ql-AU-ZC'!B64</f>
        <v>DF#0000</v>
      </c>
      <c r="P3" s="25" t="s">
        <v>300</v>
      </c>
      <c r="Q3" s="25" t="s">
        <v>46</v>
      </c>
      <c r="R3" s="25" t="s">
        <v>220</v>
      </c>
      <c r="S3" s="26">
        <v>44560</v>
      </c>
      <c r="U3" s="25">
        <v>100</v>
      </c>
      <c r="V3" s="25">
        <v>0.05</v>
      </c>
      <c r="W3" s="25">
        <v>1</v>
      </c>
      <c r="X3" s="38">
        <v>101.99299999999999</v>
      </c>
      <c r="Y3" s="27" t="str">
        <f>O3</f>
        <v>DF#0000</v>
      </c>
      <c r="Z3" s="25" t="e">
        <f>N3*0.01%</f>
        <v>#NUM!</v>
      </c>
      <c r="AA3" s="25" t="str">
        <f>P3</f>
        <v>A/365</v>
      </c>
      <c r="AB3" s="25" t="s">
        <v>46</v>
      </c>
      <c r="AC3" s="25" t="str">
        <f>R3</f>
        <v>Quarterly</v>
      </c>
      <c r="AD3" s="26">
        <f>S3</f>
        <v>44560</v>
      </c>
      <c r="AE3" s="25">
        <f>$A$1</f>
        <v>1</v>
      </c>
    </row>
    <row r="4" spans="1:33" x14ac:dyDescent="0.25">
      <c r="B4" s="25" t="str">
        <f>_xll.ohRangeRetrieveError(B3)</f>
        <v/>
      </c>
      <c r="C4" s="25" t="str">
        <f>_xll.ohRangeRetrieveError(C3)</f>
        <v/>
      </c>
      <c r="G4" s="27"/>
      <c r="N4" s="25" t="str">
        <f ca="1">_xll.ohRangeRetrieveError(N3)</f>
        <v>qlBondZSpreadFromCleanPrice - negative time (-0.0383562) given</v>
      </c>
    </row>
    <row r="5" spans="1:33" x14ac:dyDescent="0.25">
      <c r="G5" s="27"/>
    </row>
    <row r="6" spans="1:33" x14ac:dyDescent="0.25">
      <c r="G6" s="27"/>
    </row>
    <row r="7" spans="1:33" x14ac:dyDescent="0.25">
      <c r="C7" s="80"/>
      <c r="G7" s="27"/>
      <c r="S7" s="80"/>
    </row>
    <row r="8" spans="1:33" x14ac:dyDescent="0.25">
      <c r="C8" s="25" t="str">
        <f t="array" ref="C8:S33">_xll.qlBondFlowAnalysis(G3)</f>
        <v>Payment Date</v>
      </c>
      <c r="D8" s="28" t="str">
        <v>Amount</v>
      </c>
      <c r="E8" s="28" t="str">
        <v>Nominal</v>
      </c>
      <c r="F8" s="25" t="str">
        <v>Accrual Start Date</v>
      </c>
      <c r="G8" s="27" t="str">
        <v>Accrual End Date</v>
      </c>
      <c r="H8" s="25" t="str">
        <v>Accrual Days</v>
      </c>
      <c r="I8" s="25" t="str">
        <v>Index</v>
      </c>
      <c r="J8" s="25" t="str">
        <v>Fixing Days</v>
      </c>
      <c r="K8" s="25" t="str">
        <v>Fixing Dates</v>
      </c>
      <c r="L8" s="25" t="str">
        <v>Day Counter</v>
      </c>
      <c r="M8" s="25" t="str">
        <v>Accrual Period</v>
      </c>
      <c r="N8" s="25" t="str">
        <v>Effective Rate</v>
      </c>
      <c r="O8" s="25" t="str">
        <v>Floor</v>
      </c>
      <c r="P8" s="25" t="str">
        <v>Gearing</v>
      </c>
      <c r="Q8" s="25" t="str">
        <v>Index Fixing</v>
      </c>
      <c r="R8" s="25" t="str">
        <v>Conv. Adj.</v>
      </c>
      <c r="S8" s="25" t="str">
        <v>Spread</v>
      </c>
    </row>
    <row r="9" spans="1:33" x14ac:dyDescent="0.25">
      <c r="C9" s="26">
        <v>44081</v>
      </c>
      <c r="D9" s="76">
        <v>48155.737704918021</v>
      </c>
      <c r="E9" s="28">
        <v>15000000</v>
      </c>
      <c r="F9" s="26">
        <v>43987</v>
      </c>
      <c r="G9" s="26">
        <v>44081</v>
      </c>
      <c r="H9" s="25">
        <v>94</v>
      </c>
      <c r="I9" s="25" t="str">
        <v>AUDSW3M Actual/Actual (ISDA)</v>
      </c>
      <c r="J9" s="25">
        <v>2</v>
      </c>
      <c r="K9" s="26">
        <v>43985</v>
      </c>
      <c r="L9" s="25" t="str">
        <v>Actual/Actual (ISDA)</v>
      </c>
      <c r="M9" s="79">
        <v>0.25683060109289613</v>
      </c>
      <c r="N9" s="77">
        <v>1.2500000000000001E-2</v>
      </c>
      <c r="O9" s="25" t="str">
        <v>#N/A</v>
      </c>
      <c r="P9" s="25">
        <v>1</v>
      </c>
      <c r="Q9" s="77">
        <v>1E-3</v>
      </c>
      <c r="R9" s="77">
        <v>8.6736173798840355E-19</v>
      </c>
      <c r="S9" s="25">
        <v>1.15E-2</v>
      </c>
      <c r="T9" s="81">
        <f>Q9+S9</f>
        <v>1.2500000000000001E-2</v>
      </c>
      <c r="U9" s="81">
        <f>(1+T9/4)^4-1</f>
        <v>1.2558715915680141E-2</v>
      </c>
    </row>
    <row r="10" spans="1:33" x14ac:dyDescent="0.25">
      <c r="C10" s="26">
        <v>44172</v>
      </c>
      <c r="D10" s="76">
        <v>46245.901639344273</v>
      </c>
      <c r="E10" s="28">
        <v>15000000</v>
      </c>
      <c r="F10" s="26">
        <v>44081</v>
      </c>
      <c r="G10" s="26">
        <v>44172</v>
      </c>
      <c r="H10" s="25">
        <v>91</v>
      </c>
      <c r="I10" s="25" t="str">
        <v>AUDSW3M Actual/Actual (ISDA)</v>
      </c>
      <c r="J10" s="25">
        <v>2</v>
      </c>
      <c r="K10" s="26">
        <v>44077</v>
      </c>
      <c r="L10" s="25" t="str">
        <v>Actual/Actual (ISDA)</v>
      </c>
      <c r="M10" s="79">
        <v>0.24863387978142082</v>
      </c>
      <c r="N10" s="77">
        <v>1.24E-2</v>
      </c>
      <c r="O10" s="25" t="str">
        <v>#N/A</v>
      </c>
      <c r="P10" s="25">
        <v>1</v>
      </c>
      <c r="Q10" s="77">
        <v>8.9999999999999998E-4</v>
      </c>
      <c r="R10" s="77">
        <v>-2.1684043449710089E-19</v>
      </c>
      <c r="S10" s="25">
        <v>1.15E-2</v>
      </c>
      <c r="T10" s="81">
        <f t="shared" ref="T10:T28" si="0">Q10+S10</f>
        <v>1.24E-2</v>
      </c>
      <c r="U10" s="81">
        <f t="shared" ref="U10:U28" si="1">(1+T10/4)^4-1</f>
        <v>1.2457779256352497E-2</v>
      </c>
    </row>
    <row r="11" spans="1:33" x14ac:dyDescent="0.25">
      <c r="C11" s="26">
        <v>44260</v>
      </c>
      <c r="D11" s="76">
        <v>42246.963058612178</v>
      </c>
      <c r="E11" s="28">
        <v>15000000</v>
      </c>
      <c r="F11" s="26">
        <v>44172</v>
      </c>
      <c r="G11" s="26">
        <v>44260</v>
      </c>
      <c r="H11" s="25">
        <v>88</v>
      </c>
      <c r="I11" s="25" t="str">
        <v>AUDSW3M Actual/Actual (ISDA)</v>
      </c>
      <c r="J11" s="25">
        <v>2</v>
      </c>
      <c r="K11" s="26">
        <v>44168</v>
      </c>
      <c r="L11" s="25" t="str">
        <v>Actual/Actual (ISDA)</v>
      </c>
      <c r="M11" s="79">
        <v>0.24090875065498918</v>
      </c>
      <c r="N11" s="77">
        <v>1.1691E-2</v>
      </c>
      <c r="O11" s="25" t="str">
        <v>#N/A</v>
      </c>
      <c r="P11" s="25">
        <v>1</v>
      </c>
      <c r="Q11" s="77">
        <v>1.9100000000000001E-4</v>
      </c>
      <c r="R11" s="77">
        <v>1.8973538018496328E-19</v>
      </c>
      <c r="S11" s="25">
        <v>1.15E-2</v>
      </c>
      <c r="T11" s="81">
        <f t="shared" si="0"/>
        <v>1.1691E-2</v>
      </c>
      <c r="U11" s="81">
        <f t="shared" si="1"/>
        <v>1.1742354748336847E-2</v>
      </c>
    </row>
    <row r="12" spans="1:33" x14ac:dyDescent="0.25">
      <c r="C12" s="26">
        <v>44354</v>
      </c>
      <c r="D12" s="76">
        <v>45881.013698630144</v>
      </c>
      <c r="E12" s="28">
        <v>15000000</v>
      </c>
      <c r="F12" s="26">
        <v>44260</v>
      </c>
      <c r="G12" s="26">
        <v>44354</v>
      </c>
      <c r="H12" s="25">
        <v>94</v>
      </c>
      <c r="I12" s="25" t="str">
        <v>AUDSW3M Actual/Actual (ISDA)</v>
      </c>
      <c r="J12" s="25">
        <v>2</v>
      </c>
      <c r="K12" s="26">
        <v>44258</v>
      </c>
      <c r="L12" s="25" t="str">
        <v>Actual/Actual (ISDA)</v>
      </c>
      <c r="M12" s="79">
        <v>0.25753424657534252</v>
      </c>
      <c r="N12" s="77">
        <v>1.1877E-2</v>
      </c>
      <c r="O12" s="25" t="str">
        <v>#N/A</v>
      </c>
      <c r="P12" s="25">
        <v>1</v>
      </c>
      <c r="Q12" s="77">
        <v>3.77E-4</v>
      </c>
      <c r="R12" s="77">
        <v>5.9631119486702744E-19</v>
      </c>
      <c r="S12" s="25">
        <v>1.15E-2</v>
      </c>
      <c r="T12" s="81">
        <f t="shared" si="0"/>
        <v>1.1877E-2</v>
      </c>
      <c r="U12" s="81">
        <f t="shared" si="1"/>
        <v>1.1930003464028838E-2</v>
      </c>
    </row>
    <row r="13" spans="1:33" x14ac:dyDescent="0.25">
      <c r="C13" s="26">
        <v>44445</v>
      </c>
      <c r="D13" s="76">
        <v>43941.780821917804</v>
      </c>
      <c r="E13" s="28">
        <v>15000000</v>
      </c>
      <c r="F13" s="26">
        <v>44354</v>
      </c>
      <c r="G13" s="26">
        <v>44445</v>
      </c>
      <c r="H13" s="25">
        <v>91</v>
      </c>
      <c r="I13" s="25" t="str">
        <v>AUDSW3M Actual/Actual (ISDA)</v>
      </c>
      <c r="J13" s="25">
        <v>2</v>
      </c>
      <c r="K13" s="26">
        <v>44350</v>
      </c>
      <c r="L13" s="25" t="str">
        <v>Actual/Actual (ISDA)</v>
      </c>
      <c r="M13" s="79">
        <v>0.24931506849315066</v>
      </c>
      <c r="N13" s="77">
        <v>1.175E-2</v>
      </c>
      <c r="O13" s="25" t="str">
        <v>#N/A</v>
      </c>
      <c r="P13" s="25">
        <v>1</v>
      </c>
      <c r="Q13" s="77">
        <v>2.5000000000000001E-4</v>
      </c>
      <c r="R13" s="77">
        <v>2.1684043449710089E-19</v>
      </c>
      <c r="S13" s="25">
        <v>1.15E-2</v>
      </c>
      <c r="T13" s="81">
        <f t="shared" si="0"/>
        <v>1.175E-2</v>
      </c>
      <c r="U13" s="81">
        <f t="shared" si="1"/>
        <v>1.1801874901606668E-2</v>
      </c>
    </row>
    <row r="14" spans="1:33" x14ac:dyDescent="0.25">
      <c r="C14" s="26">
        <v>44536</v>
      </c>
      <c r="D14" s="76">
        <v>43455.616438356155</v>
      </c>
      <c r="E14" s="28">
        <v>15000000</v>
      </c>
      <c r="F14" s="26">
        <v>44445</v>
      </c>
      <c r="G14" s="26">
        <v>44536</v>
      </c>
      <c r="H14" s="25">
        <v>91</v>
      </c>
      <c r="I14" s="25" t="str">
        <v>AUDSW3M Actual/Actual (ISDA)</v>
      </c>
      <c r="J14" s="25">
        <v>2</v>
      </c>
      <c r="K14" s="26">
        <v>44441</v>
      </c>
      <c r="L14" s="25" t="str">
        <v>Actual/Actual (ISDA)</v>
      </c>
      <c r="M14" s="79">
        <v>0.24931506849315066</v>
      </c>
      <c r="N14" s="77">
        <v>1.162E-2</v>
      </c>
      <c r="O14" s="25" t="str">
        <v>#N/A</v>
      </c>
      <c r="P14" s="25">
        <v>1</v>
      </c>
      <c r="Q14" s="77">
        <v>1.2E-4</v>
      </c>
      <c r="R14" s="77">
        <v>3.1170812458958252E-19</v>
      </c>
      <c r="S14" s="25">
        <v>1.15E-2</v>
      </c>
      <c r="T14" s="81">
        <f t="shared" si="0"/>
        <v>1.162E-2</v>
      </c>
      <c r="U14" s="81">
        <f t="shared" si="1"/>
        <v>1.1670732282687224E-2</v>
      </c>
    </row>
    <row r="15" spans="1:33" x14ac:dyDescent="0.25">
      <c r="C15" s="26">
        <v>44627</v>
      </c>
      <c r="D15" s="76">
        <v>45063.698630136983</v>
      </c>
      <c r="E15" s="28">
        <v>15000000</v>
      </c>
      <c r="F15" s="26">
        <v>44536</v>
      </c>
      <c r="G15" s="26">
        <v>44627</v>
      </c>
      <c r="H15" s="25">
        <v>91</v>
      </c>
      <c r="I15" s="25" t="str">
        <v>AUDSW3M Actual/Actual (ISDA)</v>
      </c>
      <c r="J15" s="25">
        <v>2</v>
      </c>
      <c r="K15" s="26">
        <v>44532</v>
      </c>
      <c r="L15" s="25" t="str">
        <v>Actual/Actual (ISDA)</v>
      </c>
      <c r="M15" s="79">
        <v>0.24931506849315066</v>
      </c>
      <c r="N15" s="77">
        <v>1.205E-2</v>
      </c>
      <c r="O15" s="25" t="str">
        <v>#N/A</v>
      </c>
      <c r="P15" s="25">
        <v>1</v>
      </c>
      <c r="Q15" s="82">
        <v>5.5000000000000003E-4</v>
      </c>
      <c r="R15" s="82">
        <v>1.0842021724855044E-19</v>
      </c>
      <c r="S15" s="80">
        <v>1.15E-2</v>
      </c>
      <c r="T15" s="83">
        <f t="shared" si="0"/>
        <v>1.205E-2</v>
      </c>
      <c r="U15" s="83">
        <f t="shared" si="1"/>
        <v>1.210456037549168E-2</v>
      </c>
    </row>
    <row r="16" spans="1:33" x14ac:dyDescent="0.25">
      <c r="C16" s="26">
        <v>44718</v>
      </c>
      <c r="D16" s="76">
        <v>48351.525074045501</v>
      </c>
      <c r="E16" s="28">
        <v>15000000</v>
      </c>
      <c r="F16" s="26">
        <v>44627</v>
      </c>
      <c r="G16" s="26">
        <v>44718</v>
      </c>
      <c r="H16" s="25">
        <v>91</v>
      </c>
      <c r="I16" s="25" t="str">
        <v>AUDSW3M Actual/Actual (ISDA)</v>
      </c>
      <c r="J16" s="25">
        <v>2</v>
      </c>
      <c r="K16" s="26">
        <v>44623</v>
      </c>
      <c r="L16" s="25" t="str">
        <v>Actual/Actual (ISDA)</v>
      </c>
      <c r="M16" s="79">
        <v>0.24931506849315066</v>
      </c>
      <c r="N16" s="77">
        <v>1.2929162382437076E-2</v>
      </c>
      <c r="O16" s="25" t="str">
        <v>#N/A</v>
      </c>
      <c r="P16" s="25">
        <v>1</v>
      </c>
      <c r="Q16" s="77">
        <v>1.4291623824370769E-3</v>
      </c>
      <c r="R16" s="77">
        <v>-6.5052130349130266E-19</v>
      </c>
      <c r="S16" s="25">
        <v>1.15E-2</v>
      </c>
      <c r="T16" s="81">
        <f t="shared" si="0"/>
        <v>1.2929162382437076E-2</v>
      </c>
      <c r="U16" s="81">
        <f t="shared" si="1"/>
        <v>1.2991983786600381E-2</v>
      </c>
    </row>
    <row r="17" spans="3:21" x14ac:dyDescent="0.25">
      <c r="C17" s="26">
        <v>44809</v>
      </c>
      <c r="D17" s="76">
        <v>64173.132808600712</v>
      </c>
      <c r="E17" s="28">
        <v>15000000</v>
      </c>
      <c r="F17" s="26">
        <v>44718</v>
      </c>
      <c r="G17" s="26">
        <v>44809</v>
      </c>
      <c r="H17" s="25">
        <v>91</v>
      </c>
      <c r="I17" s="25" t="str">
        <v>AUDSW3M Actual/Actual (ISDA)</v>
      </c>
      <c r="J17" s="25">
        <v>2</v>
      </c>
      <c r="K17" s="26">
        <v>44714</v>
      </c>
      <c r="L17" s="25" t="str">
        <v>Actual/Actual (ISDA)</v>
      </c>
      <c r="M17" s="79">
        <v>0.24931506849315066</v>
      </c>
      <c r="N17" s="77">
        <v>1.7159848699735723E-2</v>
      </c>
      <c r="O17" s="25" t="str">
        <v>#N/A</v>
      </c>
      <c r="P17" s="25">
        <v>1</v>
      </c>
      <c r="Q17" s="77">
        <v>5.6598486997357228E-3</v>
      </c>
      <c r="R17" s="77">
        <v>0</v>
      </c>
      <c r="S17" s="25">
        <v>1.15E-2</v>
      </c>
      <c r="T17" s="81">
        <f t="shared" si="0"/>
        <v>1.7159848699735723E-2</v>
      </c>
      <c r="U17" s="81">
        <f t="shared" si="1"/>
        <v>1.7270587497211443E-2</v>
      </c>
    </row>
    <row r="18" spans="3:21" x14ac:dyDescent="0.25">
      <c r="C18" s="26">
        <v>44900</v>
      </c>
      <c r="D18" s="76">
        <v>64957.255563294129</v>
      </c>
      <c r="E18" s="28">
        <v>15000000</v>
      </c>
      <c r="F18" s="26">
        <v>44809</v>
      </c>
      <c r="G18" s="26">
        <v>44900</v>
      </c>
      <c r="H18" s="25">
        <v>91</v>
      </c>
      <c r="I18" s="25" t="str">
        <v>AUDSW3M Actual/Actual (ISDA)</v>
      </c>
      <c r="J18" s="25">
        <v>2</v>
      </c>
      <c r="K18" s="26">
        <v>44805</v>
      </c>
      <c r="L18" s="25" t="str">
        <v>Actual/Actual (ISDA)</v>
      </c>
      <c r="M18" s="79">
        <v>0.24931506849315066</v>
      </c>
      <c r="N18" s="77">
        <v>1.7369522549891839E-2</v>
      </c>
      <c r="O18" s="25" t="str">
        <v>#N/A</v>
      </c>
      <c r="P18" s="25">
        <v>1</v>
      </c>
      <c r="Q18" s="77">
        <v>5.8695225498918381E-3</v>
      </c>
      <c r="R18" s="77">
        <v>8.6736173798840355E-19</v>
      </c>
      <c r="S18" s="25">
        <v>1.15E-2</v>
      </c>
      <c r="T18" s="81">
        <f t="shared" si="0"/>
        <v>1.7369522549891839E-2</v>
      </c>
      <c r="U18" s="81">
        <f t="shared" si="1"/>
        <v>1.7482988047454739E-2</v>
      </c>
    </row>
    <row r="19" spans="3:21" x14ac:dyDescent="0.25">
      <c r="C19" s="26">
        <v>44991</v>
      </c>
      <c r="D19" s="76">
        <v>85927.102980910902</v>
      </c>
      <c r="E19" s="28">
        <v>15000000</v>
      </c>
      <c r="F19" s="26">
        <v>44900</v>
      </c>
      <c r="G19" s="26">
        <v>44991</v>
      </c>
      <c r="H19" s="25">
        <v>91</v>
      </c>
      <c r="I19" s="25" t="str">
        <v>AUDSW3M Actual/Actual (ISDA)</v>
      </c>
      <c r="J19" s="25">
        <v>2</v>
      </c>
      <c r="K19" s="26">
        <v>44896</v>
      </c>
      <c r="L19" s="25" t="str">
        <v>Actual/Actual (ISDA)</v>
      </c>
      <c r="M19" s="79">
        <v>0.24931506849315069</v>
      </c>
      <c r="N19" s="77">
        <v>2.2976844386836979E-2</v>
      </c>
      <c r="O19" s="25" t="str">
        <v>#N/A</v>
      </c>
      <c r="P19" s="25">
        <v>1</v>
      </c>
      <c r="Q19" s="77">
        <v>1.1476844386836979E-2</v>
      </c>
      <c r="R19" s="77">
        <v>0</v>
      </c>
      <c r="S19" s="25">
        <v>1.15E-2</v>
      </c>
      <c r="T19" s="81">
        <f t="shared" si="0"/>
        <v>2.2976844386836979E-2</v>
      </c>
      <c r="U19" s="81">
        <f t="shared" si="1"/>
        <v>2.3175579385375844E-2</v>
      </c>
    </row>
    <row r="20" spans="3:21" x14ac:dyDescent="0.25">
      <c r="C20" s="26">
        <v>45082</v>
      </c>
      <c r="D20" s="76">
        <v>83398.010687346978</v>
      </c>
      <c r="E20" s="28">
        <v>15000000</v>
      </c>
      <c r="F20" s="26">
        <v>44991</v>
      </c>
      <c r="G20" s="26">
        <v>45082</v>
      </c>
      <c r="H20" s="25">
        <v>91</v>
      </c>
      <c r="I20" s="25" t="str">
        <v>AUDSW3M Actual/Actual (ISDA)</v>
      </c>
      <c r="J20" s="25">
        <v>2</v>
      </c>
      <c r="K20" s="26">
        <v>44987</v>
      </c>
      <c r="L20" s="25" t="str">
        <v>Actual/Actual (ISDA)</v>
      </c>
      <c r="M20" s="79">
        <v>0.24931506849315072</v>
      </c>
      <c r="N20" s="77">
        <v>2.2300566960352854E-2</v>
      </c>
      <c r="O20" s="25" t="str">
        <v>#N/A</v>
      </c>
      <c r="P20" s="25">
        <v>1</v>
      </c>
      <c r="Q20" s="77">
        <v>1.0800566960352856E-2</v>
      </c>
      <c r="R20" s="77">
        <v>-1.7347234759768071E-18</v>
      </c>
      <c r="S20" s="25">
        <v>1.15E-2</v>
      </c>
      <c r="T20" s="81">
        <f t="shared" si="0"/>
        <v>2.2300566960352854E-2</v>
      </c>
      <c r="U20" s="81">
        <f t="shared" si="1"/>
        <v>2.2487754309792329E-2</v>
      </c>
    </row>
    <row r="21" spans="3:21" x14ac:dyDescent="0.25">
      <c r="C21" s="26">
        <v>45174</v>
      </c>
      <c r="D21" s="76">
        <v>91658.77207107174</v>
      </c>
      <c r="E21" s="28">
        <v>15000000</v>
      </c>
      <c r="F21" s="26">
        <v>45082</v>
      </c>
      <c r="G21" s="26">
        <v>45174</v>
      </c>
      <c r="H21" s="25">
        <v>92</v>
      </c>
      <c r="I21" s="25" t="str">
        <v>AUDSW3M Actual/Actual (ISDA)</v>
      </c>
      <c r="J21" s="25">
        <v>2</v>
      </c>
      <c r="K21" s="26">
        <v>45078</v>
      </c>
      <c r="L21" s="25" t="str">
        <v>Actual/Actual (ISDA)</v>
      </c>
      <c r="M21" s="79">
        <v>0.25205479452054791</v>
      </c>
      <c r="N21" s="77">
        <v>2.4243081018797963E-2</v>
      </c>
      <c r="O21" s="25" t="str">
        <v>#N/A</v>
      </c>
      <c r="P21" s="25">
        <v>1</v>
      </c>
      <c r="Q21" s="77">
        <v>1.2743081018797965E-2</v>
      </c>
      <c r="R21" s="77">
        <v>-1.7347234759768071E-18</v>
      </c>
      <c r="S21" s="25">
        <v>1.15E-2</v>
      </c>
      <c r="T21" s="81">
        <f t="shared" si="0"/>
        <v>2.4243081018797963E-2</v>
      </c>
      <c r="U21" s="81">
        <f t="shared" si="1"/>
        <v>2.4464370504133637E-2</v>
      </c>
    </row>
    <row r="22" spans="3:21" x14ac:dyDescent="0.25">
      <c r="C22" s="26">
        <v>45265</v>
      </c>
      <c r="D22" s="76">
        <v>97928.797389266518</v>
      </c>
      <c r="E22" s="28">
        <v>15000000</v>
      </c>
      <c r="F22" s="26">
        <v>45174</v>
      </c>
      <c r="G22" s="26">
        <v>45265</v>
      </c>
      <c r="H22" s="25">
        <v>91</v>
      </c>
      <c r="I22" s="25" t="str">
        <v>AUDSW3M Actual/Actual (ISDA)</v>
      </c>
      <c r="J22" s="25">
        <v>2</v>
      </c>
      <c r="K22" s="26">
        <v>45170</v>
      </c>
      <c r="L22" s="25" t="str">
        <v>Actual/Actual (ISDA)</v>
      </c>
      <c r="M22" s="79">
        <v>0.24931506849315066</v>
      </c>
      <c r="N22" s="77">
        <v>2.6186088679181159E-2</v>
      </c>
      <c r="O22" s="25" t="str">
        <v>#N/A</v>
      </c>
      <c r="P22" s="25">
        <v>1</v>
      </c>
      <c r="Q22" s="77">
        <v>1.4686088679181161E-2</v>
      </c>
      <c r="R22" s="77">
        <v>-1.7347234759768071E-18</v>
      </c>
      <c r="S22" s="25">
        <v>1.15E-2</v>
      </c>
      <c r="T22" s="81">
        <f t="shared" si="0"/>
        <v>2.6186088679181159E-2</v>
      </c>
      <c r="U22" s="81">
        <f t="shared" si="1"/>
        <v>2.6444354486976795E-2</v>
      </c>
    </row>
    <row r="23" spans="3:21" x14ac:dyDescent="0.25">
      <c r="C23" s="26">
        <v>45356</v>
      </c>
      <c r="D23" s="76">
        <v>104178.95024421685</v>
      </c>
      <c r="E23" s="28">
        <v>15000000</v>
      </c>
      <c r="F23" s="26">
        <v>45265</v>
      </c>
      <c r="G23" s="26">
        <v>45356</v>
      </c>
      <c r="H23" s="25">
        <v>91</v>
      </c>
      <c r="I23" s="25" t="str">
        <v>AUDSW3M Actual/Actual (ISDA)</v>
      </c>
      <c r="J23" s="25">
        <v>2</v>
      </c>
      <c r="K23" s="26">
        <v>45261</v>
      </c>
      <c r="L23" s="25" t="str">
        <v>Actual/Actual (ISDA)</v>
      </c>
      <c r="M23" s="79">
        <v>0.24883599071786811</v>
      </c>
      <c r="N23" s="77">
        <v>2.7911008088412105E-2</v>
      </c>
      <c r="O23" s="25" t="str">
        <v>#N/A</v>
      </c>
      <c r="P23" s="25">
        <v>1</v>
      </c>
      <c r="Q23" s="77">
        <v>1.6411008088412105E-2</v>
      </c>
      <c r="R23" s="77">
        <v>0</v>
      </c>
      <c r="S23" s="25">
        <v>1.15E-2</v>
      </c>
      <c r="T23" s="81">
        <f t="shared" si="0"/>
        <v>2.7911008088412105E-2</v>
      </c>
      <c r="U23" s="81">
        <f t="shared" si="1"/>
        <v>2.8204503558447724E-2</v>
      </c>
    </row>
    <row r="24" spans="3:21" x14ac:dyDescent="0.25">
      <c r="C24" s="26">
        <v>45448</v>
      </c>
      <c r="D24" s="76">
        <v>111592.40290365819</v>
      </c>
      <c r="E24" s="28">
        <v>15000000</v>
      </c>
      <c r="F24" s="26">
        <v>45356</v>
      </c>
      <c r="G24" s="26">
        <v>45448</v>
      </c>
      <c r="H24" s="25">
        <v>92</v>
      </c>
      <c r="I24" s="25" t="str">
        <v>AUDSW3M Actual/Actual (ISDA)</v>
      </c>
      <c r="J24" s="25">
        <v>2</v>
      </c>
      <c r="K24" s="26">
        <v>45352</v>
      </c>
      <c r="L24" s="25" t="str">
        <v>Actual/Actual (ISDA)</v>
      </c>
      <c r="M24" s="79">
        <v>0.25136612021857924</v>
      </c>
      <c r="N24" s="77">
        <v>2.9596245987491953E-2</v>
      </c>
      <c r="O24" s="25" t="str">
        <v>#N/A</v>
      </c>
      <c r="P24" s="25">
        <v>1</v>
      </c>
      <c r="Q24" s="77">
        <v>1.8096245987491953E-2</v>
      </c>
      <c r="R24" s="77">
        <v>0</v>
      </c>
      <c r="S24" s="25">
        <v>1.15E-2</v>
      </c>
      <c r="T24" s="81">
        <f t="shared" si="0"/>
        <v>2.9596245987491953E-2</v>
      </c>
      <c r="U24" s="81">
        <f t="shared" si="1"/>
        <v>2.9926345930205045E-2</v>
      </c>
    </row>
    <row r="25" spans="3:21" x14ac:dyDescent="0.25">
      <c r="C25" s="26">
        <v>45540</v>
      </c>
      <c r="D25" s="76">
        <v>118601.93061952702</v>
      </c>
      <c r="E25" s="28">
        <v>15000000</v>
      </c>
      <c r="F25" s="26">
        <v>45448</v>
      </c>
      <c r="G25" s="26">
        <v>45540</v>
      </c>
      <c r="H25" s="25">
        <v>92</v>
      </c>
      <c r="I25" s="25" t="str">
        <v>AUDSW3M Actual/Actual (ISDA)</v>
      </c>
      <c r="J25" s="25">
        <v>2</v>
      </c>
      <c r="K25" s="26">
        <v>45446</v>
      </c>
      <c r="L25" s="25" t="str">
        <v>Actual/Actual (ISDA)</v>
      </c>
      <c r="M25" s="79">
        <v>0.25136612021857918</v>
      </c>
      <c r="N25" s="77">
        <v>3.1455294642570214E-2</v>
      </c>
      <c r="O25" s="25" t="str">
        <v>#N/A</v>
      </c>
      <c r="P25" s="25">
        <v>1</v>
      </c>
      <c r="Q25" s="77">
        <v>1.9955294642570211E-2</v>
      </c>
      <c r="R25" s="77">
        <v>3.4694469519536142E-18</v>
      </c>
      <c r="S25" s="25">
        <v>1.15E-2</v>
      </c>
      <c r="T25" s="81">
        <f t="shared" si="0"/>
        <v>3.1455294642570214E-2</v>
      </c>
      <c r="U25" s="81">
        <f t="shared" si="1"/>
        <v>3.1828281988809159E-2</v>
      </c>
    </row>
    <row r="26" spans="3:21" x14ac:dyDescent="0.25">
      <c r="C26" s="26">
        <v>45631</v>
      </c>
      <c r="D26" s="76">
        <v>124209.21626054839</v>
      </c>
      <c r="E26" s="28">
        <v>15000000</v>
      </c>
      <c r="F26" s="26">
        <v>45540</v>
      </c>
      <c r="G26" s="26">
        <v>45631</v>
      </c>
      <c r="H26" s="25">
        <v>91</v>
      </c>
      <c r="I26" s="25" t="str">
        <v>AUDSW3M Actual/Actual (ISDA)</v>
      </c>
      <c r="J26" s="25">
        <v>2</v>
      </c>
      <c r="K26" s="26">
        <v>45538</v>
      </c>
      <c r="L26" s="25" t="str">
        <v>Actual/Actual (ISDA)</v>
      </c>
      <c r="M26" s="79">
        <v>0.24863387978142082</v>
      </c>
      <c r="N26" s="77">
        <v>3.3304449195136046E-2</v>
      </c>
      <c r="O26" s="25" t="str">
        <v>#N/A</v>
      </c>
      <c r="P26" s="25">
        <v>1</v>
      </c>
      <c r="Q26" s="77">
        <v>2.1804449195136046E-2</v>
      </c>
      <c r="R26" s="77">
        <v>0</v>
      </c>
      <c r="S26" s="25">
        <v>1.15E-2</v>
      </c>
      <c r="T26" s="81">
        <f t="shared" si="0"/>
        <v>3.3304449195136046E-2</v>
      </c>
      <c r="U26" s="81">
        <f t="shared" si="1"/>
        <v>3.3722707679544106E-2</v>
      </c>
    </row>
    <row r="27" spans="3:21" x14ac:dyDescent="0.25">
      <c r="C27" s="26">
        <v>45721</v>
      </c>
      <c r="D27" s="76">
        <v>123298.05308678992</v>
      </c>
      <c r="E27" s="28">
        <v>15000000</v>
      </c>
      <c r="F27" s="25">
        <v>45631</v>
      </c>
      <c r="G27" s="25">
        <v>45721</v>
      </c>
      <c r="H27" s="25">
        <v>90</v>
      </c>
      <c r="I27" s="25" t="str">
        <v>AUDSW3M Actual/Actual (ISDA)</v>
      </c>
      <c r="J27" s="25">
        <v>2</v>
      </c>
      <c r="K27" s="25">
        <v>45629</v>
      </c>
      <c r="L27" s="25" t="str">
        <v>Actual/Actual (ISDA)</v>
      </c>
      <c r="M27" s="25">
        <v>0.2463732315293061</v>
      </c>
      <c r="N27" s="77">
        <v>3.3363487399840519E-2</v>
      </c>
      <c r="O27" s="25" t="str">
        <v>#N/A</v>
      </c>
      <c r="P27" s="25">
        <v>1</v>
      </c>
      <c r="Q27" s="77">
        <v>2.1863487399840519E-2</v>
      </c>
      <c r="R27" s="77">
        <v>0</v>
      </c>
      <c r="S27" s="25">
        <v>1.15E-2</v>
      </c>
      <c r="T27" s="81">
        <f t="shared" si="0"/>
        <v>3.3363487399840519E-2</v>
      </c>
      <c r="U27" s="81">
        <f t="shared" si="1"/>
        <v>3.3783234201747003E-2</v>
      </c>
    </row>
    <row r="28" spans="3:21" x14ac:dyDescent="0.25">
      <c r="C28" s="26">
        <v>45813</v>
      </c>
      <c r="D28" s="76">
        <v>125445.4710768873</v>
      </c>
      <c r="E28" s="28">
        <v>15000000</v>
      </c>
      <c r="F28" s="25">
        <v>45721</v>
      </c>
      <c r="G28" s="25">
        <v>45813</v>
      </c>
      <c r="H28" s="25">
        <v>92</v>
      </c>
      <c r="I28" s="25" t="str">
        <v>AUDSW3M Actual/Actual (ISDA)</v>
      </c>
      <c r="J28" s="25">
        <v>2</v>
      </c>
      <c r="K28" s="25">
        <v>45719</v>
      </c>
      <c r="L28" s="25" t="str">
        <v>Actual/Actual (ISDA)</v>
      </c>
      <c r="M28" s="25">
        <v>0.25205479452054796</v>
      </c>
      <c r="N28" s="77">
        <v>3.3179418074683956E-2</v>
      </c>
      <c r="O28" s="25" t="str">
        <v>#N/A</v>
      </c>
      <c r="P28" s="25">
        <v>1</v>
      </c>
      <c r="Q28" s="77">
        <v>2.1679418074683956E-2</v>
      </c>
      <c r="R28" s="77">
        <v>0</v>
      </c>
      <c r="S28" s="25">
        <v>1.15E-2</v>
      </c>
      <c r="T28" s="81">
        <f t="shared" si="0"/>
        <v>3.3179418074683956E-2</v>
      </c>
      <c r="U28" s="81">
        <f t="shared" si="1"/>
        <v>3.3594533374643687E-2</v>
      </c>
    </row>
    <row r="29" spans="3:21" x14ac:dyDescent="0.25">
      <c r="C29" s="26">
        <v>45813</v>
      </c>
      <c r="D29" s="76">
        <v>15000000</v>
      </c>
      <c r="E29" s="28" t="str">
        <v>#N/A</v>
      </c>
      <c r="F29" s="25" t="str">
        <v>#N/A</v>
      </c>
      <c r="G29" s="25" t="str">
        <v>#N/A</v>
      </c>
      <c r="H29" s="25" t="str">
        <v>#N/A</v>
      </c>
      <c r="I29" s="25" t="str">
        <v>#N/A</v>
      </c>
      <c r="J29" s="25" t="str">
        <v>#N/A</v>
      </c>
      <c r="K29" s="25" t="str">
        <v>#N/A</v>
      </c>
      <c r="L29" s="25" t="str">
        <v>#N/A</v>
      </c>
      <c r="M29" s="25" t="str">
        <v>#N/A</v>
      </c>
      <c r="N29" s="25" t="str">
        <v>#N/A</v>
      </c>
      <c r="O29" s="25" t="str">
        <v>#N/A</v>
      </c>
      <c r="P29" s="25" t="str">
        <v>#N/A</v>
      </c>
      <c r="Q29" s="25" t="str">
        <v>#N/A</v>
      </c>
      <c r="R29" s="25" t="str">
        <v>#N/A</v>
      </c>
      <c r="S29" s="25" t="str">
        <v>#N/A</v>
      </c>
    </row>
    <row r="30" spans="3:21" x14ac:dyDescent="0.25">
      <c r="C30" s="25" t="e">
        <v>#N/A</v>
      </c>
      <c r="D30" s="28" t="e">
        <v>#N/A</v>
      </c>
      <c r="E30" s="28" t="e">
        <v>#N/A</v>
      </c>
      <c r="F30" s="25" t="e">
        <v>#N/A</v>
      </c>
      <c r="G30" s="25" t="e">
        <v>#N/A</v>
      </c>
      <c r="H30" s="25" t="e">
        <v>#N/A</v>
      </c>
      <c r="I30" s="25" t="e">
        <v>#N/A</v>
      </c>
      <c r="J30" s="25" t="e">
        <v>#N/A</v>
      </c>
      <c r="K30" s="25" t="e">
        <v>#N/A</v>
      </c>
      <c r="L30" s="25" t="e">
        <v>#N/A</v>
      </c>
      <c r="M30" s="25" t="e">
        <v>#N/A</v>
      </c>
      <c r="N30" s="25" t="e">
        <v>#N/A</v>
      </c>
      <c r="O30" s="25" t="e">
        <v>#N/A</v>
      </c>
      <c r="P30" s="25" t="e">
        <v>#N/A</v>
      </c>
      <c r="Q30" s="25" t="e">
        <v>#N/A</v>
      </c>
      <c r="R30" s="25" t="e">
        <v>#N/A</v>
      </c>
      <c r="S30" s="25" t="e">
        <v>#N/A</v>
      </c>
    </row>
    <row r="31" spans="3:21" x14ac:dyDescent="0.25">
      <c r="C31" s="25" t="e">
        <v>#N/A</v>
      </c>
      <c r="D31" s="28" t="e">
        <v>#N/A</v>
      </c>
      <c r="E31" s="28" t="e">
        <v>#N/A</v>
      </c>
      <c r="F31" s="25" t="e">
        <v>#N/A</v>
      </c>
      <c r="G31" s="25" t="e">
        <v>#N/A</v>
      </c>
      <c r="H31" s="25" t="e">
        <v>#N/A</v>
      </c>
      <c r="I31" s="25" t="e">
        <v>#N/A</v>
      </c>
      <c r="J31" s="25" t="e">
        <v>#N/A</v>
      </c>
      <c r="K31" s="25" t="e">
        <v>#N/A</v>
      </c>
      <c r="L31" s="25" t="e">
        <v>#N/A</v>
      </c>
      <c r="M31" s="25" t="e">
        <v>#N/A</v>
      </c>
      <c r="N31" s="25" t="e">
        <v>#N/A</v>
      </c>
      <c r="O31" s="25" t="e">
        <v>#N/A</v>
      </c>
      <c r="P31" s="25" t="e">
        <v>#N/A</v>
      </c>
      <c r="Q31" s="25" t="e">
        <v>#N/A</v>
      </c>
      <c r="R31" s="25" t="e">
        <v>#N/A</v>
      </c>
      <c r="S31" s="25" t="e">
        <v>#N/A</v>
      </c>
    </row>
    <row r="32" spans="3:21" x14ac:dyDescent="0.25">
      <c r="C32" s="25" t="e">
        <v>#N/A</v>
      </c>
      <c r="D32" s="28" t="e">
        <v>#N/A</v>
      </c>
      <c r="E32" s="28" t="e">
        <v>#N/A</v>
      </c>
      <c r="F32" s="25" t="e">
        <v>#N/A</v>
      </c>
      <c r="G32" s="25" t="e">
        <v>#N/A</v>
      </c>
      <c r="H32" s="25" t="e">
        <v>#N/A</v>
      </c>
      <c r="I32" s="25" t="e">
        <v>#N/A</v>
      </c>
      <c r="J32" s="25" t="e">
        <v>#N/A</v>
      </c>
      <c r="K32" s="25" t="e">
        <v>#N/A</v>
      </c>
      <c r="L32" s="25" t="e">
        <v>#N/A</v>
      </c>
      <c r="M32" s="25" t="e">
        <v>#N/A</v>
      </c>
      <c r="N32" s="25" t="e">
        <v>#N/A</v>
      </c>
      <c r="O32" s="25" t="e">
        <v>#N/A</v>
      </c>
      <c r="P32" s="25" t="e">
        <v>#N/A</v>
      </c>
      <c r="Q32" s="25" t="e">
        <v>#N/A</v>
      </c>
      <c r="R32" s="25" t="e">
        <v>#N/A</v>
      </c>
      <c r="S32" s="25" t="e">
        <v>#N/A</v>
      </c>
    </row>
    <row r="33" spans="3:19" x14ac:dyDescent="0.25">
      <c r="C33" s="25" t="e">
        <v>#N/A</v>
      </c>
      <c r="D33" s="28" t="e">
        <v>#N/A</v>
      </c>
      <c r="E33" s="28" t="e">
        <v>#N/A</v>
      </c>
      <c r="F33" s="25" t="e">
        <v>#N/A</v>
      </c>
      <c r="G33" s="25" t="e">
        <v>#N/A</v>
      </c>
      <c r="H33" s="25" t="e">
        <v>#N/A</v>
      </c>
      <c r="I33" s="25" t="e">
        <v>#N/A</v>
      </c>
      <c r="J33" s="25" t="e">
        <v>#N/A</v>
      </c>
      <c r="K33" s="25" t="e">
        <v>#N/A</v>
      </c>
      <c r="L33" s="25" t="e">
        <v>#N/A</v>
      </c>
      <c r="M33" s="25" t="e">
        <v>#N/A</v>
      </c>
      <c r="N33" s="25" t="e">
        <v>#N/A</v>
      </c>
      <c r="O33" s="25" t="e">
        <v>#N/A</v>
      </c>
      <c r="P33" s="25" t="e">
        <v>#N/A</v>
      </c>
      <c r="Q33" s="25" t="e">
        <v>#N/A</v>
      </c>
      <c r="R33" s="25" t="e">
        <v>#N/A</v>
      </c>
      <c r="S33" s="25" t="e">
        <v>#N/A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Reference</vt:lpstr>
      <vt:lpstr>ql-AU-ZC</vt:lpstr>
      <vt:lpstr>ScheduleObj</vt:lpstr>
      <vt:lpstr>FlotBondObj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簡志豪</dc:creator>
  <cp:lastModifiedBy>簡志豪</cp:lastModifiedBy>
  <dcterms:created xsi:type="dcterms:W3CDTF">2021-03-02T01:34:07Z</dcterms:created>
  <dcterms:modified xsi:type="dcterms:W3CDTF">2022-01-13T10:20:27Z</dcterms:modified>
</cp:coreProperties>
</file>