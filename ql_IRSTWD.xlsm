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hchien\Desktop\QuantLib_Project\"/>
    </mc:Choice>
  </mc:AlternateContent>
  <bookViews>
    <workbookView xWindow="-330" yWindow="5040" windowWidth="15600" windowHeight="5580" activeTab="1"/>
  </bookViews>
  <sheets>
    <sheet name="ZeroCurve" sheetId="66" r:id="rId1"/>
    <sheet name="IRS-MtM" sheetId="49" r:id="rId2"/>
  </sheets>
  <functionGroups builtInGroupCount="18"/>
  <definedNames>
    <definedName name="_xlnm._FilterDatabase" localSheetId="1" hidden="1">'IRS-MtM'!$A$1:$V$24</definedName>
    <definedName name="AUpdate">1</definedName>
    <definedName name="BUpdate">1</definedName>
    <definedName name="GUpdate">0</definedName>
    <definedName name="TUpdate">1</definedName>
  </definedNames>
  <calcPr calcId="162913"/>
</workbook>
</file>

<file path=xl/calcChain.xml><?xml version="1.0" encoding="utf-8"?>
<calcChain xmlns="http://schemas.openxmlformats.org/spreadsheetml/2006/main">
  <c r="B24" i="49" l="1"/>
  <c r="Q8" i="66"/>
  <c r="B23" i="49"/>
  <c r="B22" i="49"/>
  <c r="B21" i="49"/>
  <c r="B20" i="49"/>
  <c r="B18" i="49"/>
  <c r="M8" i="66" l="1"/>
  <c r="H2" i="49"/>
  <c r="AA29" i="66"/>
  <c r="AA30" i="66"/>
  <c r="AA31" i="66"/>
  <c r="AA32" i="66"/>
  <c r="AA33" i="66"/>
  <c r="AA34" i="66"/>
  <c r="AA28" i="66"/>
  <c r="U21" i="66"/>
  <c r="U22" i="66"/>
  <c r="U23" i="66"/>
  <c r="U24" i="66"/>
  <c r="U20" i="66"/>
  <c r="Q4" i="66"/>
  <c r="Q5" i="66"/>
  <c r="Q6" i="66"/>
  <c r="Q7" i="66"/>
  <c r="Q9" i="66"/>
  <c r="Q10" i="66"/>
  <c r="Q11" i="66"/>
  <c r="Q12" i="66"/>
  <c r="Q13" i="66"/>
  <c r="Q14" i="66"/>
  <c r="Q3" i="66"/>
  <c r="J9" i="66"/>
  <c r="J10" i="66"/>
  <c r="J12" i="66"/>
  <c r="J13" i="66"/>
  <c r="J8" i="66"/>
  <c r="J14" i="66"/>
  <c r="J11" i="66"/>
  <c r="B3" i="66"/>
  <c r="B2" i="66"/>
  <c r="M28" i="66" l="1"/>
  <c r="M31" i="66"/>
  <c r="M34" i="66"/>
  <c r="M33" i="66"/>
  <c r="M32" i="66"/>
  <c r="M30" i="66"/>
  <c r="M29" i="66"/>
  <c r="B21" i="66"/>
  <c r="I8" i="49" l="1"/>
  <c r="N5" i="49" s="1"/>
  <c r="C5" i="49"/>
  <c r="D2" i="49"/>
  <c r="D5" i="49" s="1"/>
  <c r="A5" i="49"/>
  <c r="O11" i="49" l="1"/>
  <c r="I70" i="66"/>
  <c r="G70" i="66"/>
  <c r="I62" i="66"/>
  <c r="G62" i="66"/>
  <c r="E67" i="66"/>
  <c r="D61" i="66"/>
  <c r="B72" i="66"/>
  <c r="B49" i="66"/>
  <c r="H14" i="49" l="1"/>
  <c r="B14" i="49"/>
  <c r="A18" i="49" l="1"/>
  <c r="G8" i="49"/>
  <c r="H11" i="49" s="1"/>
  <c r="D8" i="49"/>
  <c r="B11" i="49"/>
  <c r="B8" i="49"/>
  <c r="B5" i="49"/>
  <c r="F8" i="49" l="1"/>
  <c r="C11" i="49"/>
  <c r="D11" i="49"/>
  <c r="E8" i="49" l="1"/>
  <c r="A8" i="49"/>
  <c r="C14" i="49" l="1"/>
  <c r="E11" i="49"/>
  <c r="M4" i="66"/>
  <c r="M5" i="66"/>
  <c r="M6" i="66"/>
  <c r="M7" i="66"/>
  <c r="M9" i="66"/>
  <c r="M10" i="66"/>
  <c r="M11" i="66"/>
  <c r="M12" i="66"/>
  <c r="M13" i="66"/>
  <c r="M14" i="66"/>
  <c r="M3" i="66"/>
  <c r="B38" i="66"/>
  <c r="J7" i="66"/>
  <c r="J5" i="66"/>
  <c r="J4" i="66"/>
  <c r="J6" i="66"/>
  <c r="J3" i="66"/>
  <c r="B9" i="66"/>
  <c r="M24" i="66" l="1"/>
  <c r="T33" i="66"/>
  <c r="T34" i="66"/>
  <c r="T29" i="66"/>
  <c r="T30" i="66"/>
  <c r="T28" i="66"/>
  <c r="T31" i="66"/>
  <c r="T32" i="66"/>
  <c r="M20" i="66"/>
  <c r="M23" i="66"/>
  <c r="M22" i="66"/>
  <c r="M21" i="66"/>
  <c r="J24" i="66"/>
  <c r="J28" i="66"/>
  <c r="J23" i="66"/>
  <c r="J21" i="66"/>
  <c r="J22" i="66"/>
  <c r="J20" i="66"/>
  <c r="J33" i="66"/>
  <c r="J32" i="66"/>
  <c r="J34" i="66"/>
  <c r="J30" i="66"/>
  <c r="J29" i="66"/>
  <c r="J31" i="66"/>
  <c r="I11" i="66" l="1"/>
  <c r="I9" i="66"/>
  <c r="I10" i="66"/>
  <c r="I14" i="66"/>
  <c r="I12" i="66"/>
  <c r="I13" i="66"/>
  <c r="I8" i="66"/>
  <c r="I7" i="66"/>
  <c r="I6" i="66"/>
  <c r="I4" i="66"/>
  <c r="I5" i="66"/>
  <c r="I3" i="66"/>
  <c r="K28" i="66"/>
  <c r="E65" i="66" l="1"/>
  <c r="D59" i="66"/>
  <c r="E55" i="66"/>
  <c r="D55" i="66"/>
  <c r="I64" i="66"/>
  <c r="I57" i="66" l="1"/>
  <c r="H19" i="49"/>
  <c r="I55" i="66"/>
  <c r="B26" i="66" l="1"/>
  <c r="E3" i="66" a="1"/>
  <c r="B43" i="66"/>
  <c r="E12" i="66"/>
  <c r="E9" i="66"/>
  <c r="E7" i="66"/>
  <c r="E15" i="66"/>
  <c r="E13" i="66"/>
  <c r="E4" i="66"/>
  <c r="E8" i="66"/>
  <c r="E10" i="66"/>
  <c r="E14" i="66"/>
  <c r="E5" i="66"/>
  <c r="E6" i="66"/>
  <c r="E3" i="66"/>
  <c r="E11" i="66"/>
  <c r="B70" i="66"/>
  <c r="B60" i="66"/>
  <c r="K11" i="49"/>
  <c r="F16" i="49"/>
  <c r="H7" i="66"/>
  <c r="H4" i="66"/>
  <c r="H12" i="66"/>
  <c r="E18" i="49"/>
  <c r="H9" i="66"/>
  <c r="H14" i="66"/>
  <c r="H8" i="66"/>
  <c r="H10" i="66"/>
  <c r="H5" i="66"/>
  <c r="H15" i="66"/>
  <c r="H13" i="66"/>
  <c r="H3" i="66"/>
  <c r="A11" i="49"/>
  <c r="H6" i="66"/>
  <c r="H11" i="66"/>
  <c r="B59" i="66"/>
  <c r="D12" i="66"/>
  <c r="D4" i="66"/>
  <c r="D14" i="49"/>
  <c r="D11" i="66"/>
  <c r="D6" i="66"/>
  <c r="D3" i="66"/>
  <c r="D13" i="66"/>
  <c r="D15" i="66"/>
  <c r="D5" i="66"/>
  <c r="D8" i="66"/>
  <c r="D10" i="66"/>
  <c r="D9" i="66"/>
  <c r="D7" i="66"/>
  <c r="D14" i="66"/>
  <c r="H18" i="49"/>
  <c r="A14" i="49"/>
  <c r="A26" i="49" a="1"/>
  <c r="A49" i="49" a="1"/>
  <c r="D49" i="49"/>
  <c r="P61" i="49"/>
  <c r="N52" i="49"/>
  <c r="J60" i="49"/>
  <c r="B55" i="49"/>
  <c r="P56" i="49"/>
  <c r="F58" i="49"/>
  <c r="N68" i="49"/>
  <c r="N70" i="49"/>
  <c r="M65" i="49"/>
  <c r="Q67" i="49"/>
  <c r="K56" i="49"/>
  <c r="F69" i="49"/>
  <c r="G53" i="49"/>
  <c r="H69" i="49"/>
  <c r="H64" i="49"/>
  <c r="J69" i="49"/>
  <c r="K70" i="49"/>
  <c r="G62" i="49"/>
  <c r="I57" i="49"/>
  <c r="I62" i="49"/>
  <c r="M52" i="49"/>
  <c r="H65" i="49"/>
  <c r="F56" i="49"/>
  <c r="N64" i="49"/>
  <c r="M59" i="49"/>
  <c r="G63" i="49"/>
  <c r="L64" i="49"/>
  <c r="N54" i="49"/>
  <c r="H62" i="49"/>
  <c r="O63" i="49"/>
  <c r="A65" i="49"/>
  <c r="M70" i="49"/>
  <c r="F49" i="49"/>
  <c r="A50" i="49"/>
  <c r="P64" i="49"/>
  <c r="G69" i="49"/>
  <c r="K62" i="49"/>
  <c r="G61" i="49"/>
  <c r="E58" i="49"/>
  <c r="O70" i="49"/>
  <c r="O68" i="49"/>
  <c r="L62" i="49"/>
  <c r="P55" i="49"/>
  <c r="F52" i="49"/>
  <c r="J63" i="49"/>
  <c r="K69" i="49"/>
  <c r="O52" i="49"/>
  <c r="B53" i="49"/>
  <c r="E65" i="49"/>
  <c r="F61" i="49"/>
  <c r="J57" i="49"/>
  <c r="A52" i="49"/>
  <c r="K55" i="49"/>
  <c r="P58" i="49"/>
  <c r="H63" i="49"/>
  <c r="P59" i="49"/>
  <c r="E61" i="49"/>
  <c r="E70" i="49"/>
  <c r="K63" i="49"/>
  <c r="P67" i="49"/>
  <c r="O59" i="49"/>
  <c r="F54" i="49"/>
  <c r="A36" i="49"/>
  <c r="G28" i="49"/>
  <c r="O31" i="49"/>
  <c r="I26" i="49"/>
  <c r="D39" i="49"/>
  <c r="B35" i="49"/>
  <c r="A35" i="49"/>
  <c r="Q28" i="49"/>
  <c r="L41" i="49"/>
  <c r="A40" i="49"/>
  <c r="I37" i="49"/>
  <c r="I38" i="49"/>
  <c r="F34" i="49"/>
  <c r="F33" i="49"/>
  <c r="P42" i="49"/>
  <c r="F32" i="49"/>
  <c r="C34" i="49"/>
  <c r="C45" i="49"/>
  <c r="B47" i="49"/>
  <c r="H46" i="49"/>
  <c r="F47" i="49"/>
  <c r="C43" i="49"/>
  <c r="F51" i="49"/>
  <c r="A64" i="49"/>
  <c r="P54" i="49"/>
  <c r="B63" i="49"/>
  <c r="B58" i="49"/>
  <c r="N60" i="49"/>
  <c r="C62" i="49"/>
  <c r="K51" i="49"/>
  <c r="G57" i="49"/>
  <c r="A56" i="49"/>
  <c r="H57" i="49"/>
  <c r="M58" i="49"/>
  <c r="K49" i="49"/>
  <c r="J56" i="49"/>
  <c r="G50" i="49"/>
  <c r="O49" i="49"/>
  <c r="J51" i="49"/>
  <c r="P57" i="49"/>
  <c r="D66" i="49"/>
  <c r="H68" i="49"/>
  <c r="L49" i="49"/>
  <c r="O54" i="49"/>
  <c r="J67" i="49"/>
  <c r="N50" i="49"/>
  <c r="F67" i="49"/>
  <c r="F62" i="49"/>
  <c r="A67" i="49"/>
  <c r="B68" i="49"/>
  <c r="C59" i="49"/>
  <c r="E69" i="49"/>
  <c r="Q51" i="49"/>
  <c r="J49" i="49"/>
  <c r="C53" i="49"/>
  <c r="L55" i="49"/>
  <c r="A59" i="49"/>
  <c r="H49" i="49"/>
  <c r="I69" i="49"/>
  <c r="O66" i="49"/>
  <c r="H66" i="49"/>
  <c r="P65" i="49"/>
  <c r="O57" i="49"/>
  <c r="I70" i="49"/>
  <c r="K57" i="49"/>
  <c r="C60" i="49"/>
  <c r="H58" i="49"/>
  <c r="A53" i="49"/>
  <c r="A63" i="49"/>
  <c r="O55" i="49"/>
  <c r="J61" i="49"/>
  <c r="B64" i="49"/>
  <c r="O65" i="49"/>
  <c r="H51" i="49"/>
  <c r="E56" i="49"/>
  <c r="P52" i="49"/>
  <c r="Q63" i="49"/>
  <c r="C70" i="49"/>
  <c r="F55" i="49"/>
  <c r="F57" i="49"/>
  <c r="D60" i="49"/>
  <c r="M63" i="49"/>
  <c r="E51" i="49"/>
  <c r="N55" i="49"/>
  <c r="G54" i="49"/>
  <c r="C38" i="49"/>
  <c r="Q32" i="49"/>
  <c r="Q33" i="49"/>
  <c r="K28" i="49"/>
  <c r="F41" i="49"/>
  <c r="F39" i="49"/>
  <c r="C37" i="49"/>
  <c r="B31" i="49"/>
  <c r="N43" i="49"/>
  <c r="P26" i="49"/>
  <c r="K39" i="49"/>
  <c r="M42" i="49"/>
  <c r="J38" i="49"/>
  <c r="J37" i="49"/>
  <c r="B46" i="49"/>
  <c r="J36" i="49"/>
  <c r="G38" i="49"/>
  <c r="C33" i="49"/>
  <c r="K36" i="49"/>
  <c r="C26" i="49"/>
  <c r="G34" i="49"/>
  <c r="Q45" i="49"/>
  <c r="H53" i="49"/>
  <c r="C66" i="49"/>
  <c r="A57" i="49"/>
  <c r="K65" i="49"/>
  <c r="K60" i="49"/>
  <c r="K64" i="49"/>
  <c r="Q65" i="49"/>
  <c r="H56" i="49"/>
  <c r="Q64" i="49"/>
  <c r="H67" i="49"/>
  <c r="G68" i="49"/>
  <c r="O60" i="49"/>
  <c r="M51" i="49"/>
  <c r="E59" i="49"/>
  <c r="J53" i="49"/>
  <c r="L54" i="49"/>
  <c r="G56" i="49"/>
  <c r="J65" i="49"/>
  <c r="D69" i="49"/>
  <c r="Q59" i="49"/>
  <c r="J62" i="49"/>
  <c r="Q56" i="49"/>
  <c r="L69" i="49"/>
  <c r="Q53" i="49"/>
  <c r="O69" i="49"/>
  <c r="O64" i="49"/>
  <c r="B70" i="49"/>
  <c r="C50" i="49"/>
  <c r="P62" i="49"/>
  <c r="I59" i="49"/>
  <c r="I64" i="49"/>
  <c r="N53" i="49"/>
  <c r="C49" i="49"/>
  <c r="A61" i="49"/>
  <c r="K66" i="49"/>
  <c r="E66" i="49"/>
  <c r="P69" i="49"/>
  <c r="E49" i="49"/>
  <c r="N49" i="49"/>
  <c r="M50" i="49"/>
  <c r="I65" i="49"/>
  <c r="P70" i="49"/>
  <c r="E60" i="49"/>
  <c r="G64" i="49"/>
  <c r="I63" i="49"/>
  <c r="I61" i="49"/>
  <c r="J52" i="49"/>
  <c r="D58" i="49"/>
  <c r="H52" i="49"/>
  <c r="N57" i="49"/>
  <c r="G66" i="49"/>
  <c r="I51" i="49"/>
  <c r="I60" i="49"/>
  <c r="O58" i="49"/>
  <c r="M53" i="49"/>
  <c r="E64" i="49"/>
  <c r="C58" i="49"/>
  <c r="N65" i="49"/>
  <c r="D56" i="49"/>
  <c r="N63" i="49"/>
  <c r="M67" i="49"/>
  <c r="C55" i="49"/>
  <c r="J27" i="49"/>
  <c r="E40" i="49"/>
  <c r="D37" i="49"/>
  <c r="B36" i="49"/>
  <c r="M30" i="49"/>
  <c r="H43" i="49"/>
  <c r="J26" i="49"/>
  <c r="E39" i="49"/>
  <c r="D33" i="49"/>
  <c r="P45" i="49"/>
  <c r="A29" i="49"/>
  <c r="M41" i="49"/>
  <c r="Q46" i="49"/>
  <c r="N42" i="49"/>
  <c r="F26" i="49"/>
  <c r="J28" i="49"/>
  <c r="N40" i="49"/>
  <c r="I42" i="49"/>
  <c r="Q44" i="49"/>
  <c r="I47" i="49"/>
  <c r="G30" i="49"/>
  <c r="D26" i="49"/>
  <c r="E26" i="49"/>
  <c r="J55" i="49"/>
  <c r="E68" i="49"/>
  <c r="O51" i="49"/>
  <c r="C68" i="49"/>
  <c r="C63" i="49"/>
  <c r="A68" i="49"/>
  <c r="C69" i="49"/>
  <c r="G60" i="49"/>
  <c r="I50" i="49"/>
  <c r="N56" i="49"/>
  <c r="E50" i="49"/>
  <c r="Q62" i="49"/>
  <c r="O53" i="49"/>
  <c r="N61" i="49"/>
  <c r="M56" i="49"/>
  <c r="Q58" i="49"/>
  <c r="F60" i="49"/>
  <c r="G49" i="49"/>
  <c r="K52" i="49"/>
  <c r="H70" i="49"/>
  <c r="H50" i="49"/>
  <c r="B59" i="49"/>
  <c r="Q49" i="49"/>
  <c r="C57" i="49"/>
  <c r="O50" i="49"/>
  <c r="J50" i="49"/>
  <c r="E52" i="49"/>
  <c r="D59" i="49"/>
  <c r="L66" i="49"/>
  <c r="Q69" i="49"/>
  <c r="C52" i="49"/>
  <c r="A58" i="49"/>
  <c r="I55" i="49"/>
  <c r="B66" i="49"/>
  <c r="Q54" i="49"/>
  <c r="C65" i="49"/>
  <c r="P49" i="49"/>
  <c r="I53" i="49"/>
  <c r="C56" i="49"/>
  <c r="K59" i="49"/>
  <c r="B51" i="49"/>
  <c r="Q70" i="49"/>
  <c r="K61" i="49"/>
  <c r="K68" i="49"/>
  <c r="J68" i="49"/>
  <c r="I68" i="49"/>
  <c r="B61" i="49"/>
  <c r="L58" i="49"/>
  <c r="H54" i="49"/>
  <c r="N51" i="49"/>
  <c r="Q50" i="49"/>
  <c r="D53" i="49"/>
  <c r="M64" i="49"/>
  <c r="P63" i="49"/>
  <c r="B62" i="49"/>
  <c r="E53" i="49"/>
  <c r="A60" i="49"/>
  <c r="A70" i="49"/>
  <c r="J70" i="49"/>
  <c r="F66" i="49"/>
  <c r="M62" i="49"/>
  <c r="C51" i="49"/>
  <c r="L29" i="49"/>
  <c r="G42" i="49"/>
  <c r="H41" i="49"/>
  <c r="D38" i="49"/>
  <c r="O32" i="49"/>
  <c r="J45" i="49"/>
  <c r="L28" i="49"/>
  <c r="G41" i="49"/>
  <c r="F35" i="49"/>
  <c r="K26" i="49"/>
  <c r="C31" i="49"/>
  <c r="O43" i="49"/>
  <c r="L33" i="49"/>
  <c r="K45" i="49"/>
  <c r="J30" i="49"/>
  <c r="A37" i="49"/>
  <c r="E44" i="49"/>
  <c r="L45" i="49"/>
  <c r="N33" i="49"/>
  <c r="L36" i="49"/>
  <c r="K34" i="49"/>
  <c r="H30" i="49"/>
  <c r="N29" i="49"/>
  <c r="N59" i="49"/>
  <c r="L50" i="49"/>
  <c r="Q57" i="49"/>
  <c r="P51" i="49"/>
  <c r="D52" i="49"/>
  <c r="P53" i="49"/>
  <c r="M61" i="49"/>
  <c r="L67" i="49"/>
  <c r="K53" i="49"/>
  <c r="O56" i="49"/>
  <c r="I54" i="49"/>
  <c r="D67" i="49"/>
  <c r="D50" i="49"/>
  <c r="P66" i="49"/>
  <c r="O61" i="49"/>
  <c r="J66" i="49"/>
  <c r="K67" i="49"/>
  <c r="J58" i="49"/>
  <c r="F68" i="49"/>
  <c r="I49" i="49"/>
  <c r="K50" i="49"/>
  <c r="F63" i="49"/>
  <c r="D54" i="49"/>
  <c r="D62" i="49"/>
  <c r="D57" i="49"/>
  <c r="J59" i="49"/>
  <c r="P60" i="49"/>
  <c r="B50" i="49"/>
  <c r="E54" i="49"/>
  <c r="D51" i="49"/>
  <c r="L52" i="49"/>
  <c r="I66" i="49"/>
  <c r="A66" i="49"/>
  <c r="F65" i="49"/>
  <c r="E57" i="49"/>
  <c r="P68" i="49"/>
  <c r="G58" i="49"/>
  <c r="B56" i="49"/>
  <c r="A49" i="49"/>
  <c r="I56" i="49"/>
  <c r="Q66" i="49"/>
  <c r="J54" i="49"/>
  <c r="L51" i="49"/>
  <c r="E55" i="49"/>
  <c r="I58" i="49"/>
  <c r="O62" i="49"/>
  <c r="K58" i="49"/>
  <c r="G59" i="49"/>
  <c r="K54" i="49"/>
  <c r="D70" i="49"/>
  <c r="F50" i="49"/>
  <c r="C67" i="49"/>
  <c r="G51" i="49"/>
  <c r="Q52" i="49"/>
  <c r="H55" i="49"/>
  <c r="M68" i="49"/>
  <c r="M60" i="49"/>
  <c r="B60" i="49"/>
  <c r="N67" i="49"/>
  <c r="H59" i="49"/>
  <c r="L68" i="49"/>
  <c r="F70" i="49"/>
  <c r="P33" i="49"/>
  <c r="K46" i="49"/>
  <c r="M29" i="49"/>
  <c r="H42" i="49"/>
  <c r="B37" i="49"/>
  <c r="O30" i="49"/>
  <c r="P32" i="49"/>
  <c r="O26" i="49"/>
  <c r="J39" i="49"/>
  <c r="N35" i="49"/>
  <c r="G35" i="49"/>
  <c r="E34" i="49"/>
  <c r="B30" i="49"/>
  <c r="B29" i="49"/>
  <c r="A39" i="49"/>
  <c r="B28" i="49"/>
  <c r="P29" i="49"/>
  <c r="M37" i="49"/>
  <c r="Q35" i="49"/>
  <c r="N44" i="49"/>
  <c r="B43" i="49"/>
  <c r="P38" i="49"/>
  <c r="E38" i="49"/>
  <c r="L57" i="49"/>
  <c r="F53" i="49"/>
  <c r="Q55" i="49"/>
  <c r="C61" i="49"/>
  <c r="A54" i="49"/>
  <c r="J64" i="49"/>
  <c r="C54" i="49"/>
  <c r="P50" i="49"/>
  <c r="D65" i="49"/>
  <c r="B69" i="49"/>
  <c r="I67" i="49"/>
  <c r="Q34" i="49"/>
  <c r="E33" i="49"/>
  <c r="H47" i="49"/>
  <c r="A34" i="49"/>
  <c r="J46" i="49"/>
  <c r="E37" i="49"/>
  <c r="B39" i="49"/>
  <c r="E35" i="49"/>
  <c r="M38" i="49"/>
  <c r="K40" i="49"/>
  <c r="H36" i="49"/>
  <c r="H35" i="49"/>
  <c r="H44" i="49"/>
  <c r="H34" i="49"/>
  <c r="E36" i="49"/>
  <c r="N26" i="49"/>
  <c r="E30" i="49"/>
  <c r="F44" i="49"/>
  <c r="E46" i="49"/>
  <c r="B41" i="49"/>
  <c r="B40" i="49"/>
  <c r="L31" i="49"/>
  <c r="E28" i="49"/>
  <c r="K38" i="49"/>
  <c r="A47" i="49"/>
  <c r="G33" i="49"/>
  <c r="J42" i="49"/>
  <c r="G46" i="49"/>
  <c r="N47" i="49"/>
  <c r="D42" i="49"/>
  <c r="A42" i="49"/>
  <c r="O36" i="49"/>
  <c r="O35" i="49"/>
  <c r="B44" i="49"/>
  <c r="E43" i="49"/>
  <c r="Q41" i="49"/>
  <c r="F46" i="49"/>
  <c r="P40" i="49"/>
  <c r="B27" i="49"/>
  <c r="I30" i="49"/>
  <c r="M34" i="49"/>
  <c r="N39" i="49"/>
  <c r="C28" i="49"/>
  <c r="G70" i="49"/>
  <c r="D64" i="49"/>
  <c r="F64" i="49"/>
  <c r="A62" i="49"/>
  <c r="G55" i="49"/>
  <c r="E62" i="49"/>
  <c r="M49" i="49"/>
  <c r="A51" i="49"/>
  <c r="M55" i="49"/>
  <c r="L61" i="49"/>
  <c r="L53" i="49"/>
  <c r="L47" i="49"/>
  <c r="A30" i="49"/>
  <c r="E29" i="49"/>
  <c r="A27" i="49"/>
  <c r="Q29" i="49"/>
  <c r="I41" i="49"/>
  <c r="Q42" i="49"/>
  <c r="I46" i="49"/>
  <c r="B26" i="49"/>
  <c r="O44" i="49"/>
  <c r="L40" i="49"/>
  <c r="L39" i="49"/>
  <c r="K47" i="49"/>
  <c r="L38" i="49"/>
  <c r="I40" i="49"/>
  <c r="I39" i="49"/>
  <c r="L42" i="49"/>
  <c r="H32" i="49"/>
  <c r="M40" i="49"/>
  <c r="B34" i="49"/>
  <c r="O46" i="49"/>
  <c r="O33" i="49"/>
  <c r="I32" i="49"/>
  <c r="F28" i="49"/>
  <c r="A28" i="49"/>
  <c r="K37" i="49"/>
  <c r="L26" i="49"/>
  <c r="I28" i="49"/>
  <c r="P34" i="49"/>
  <c r="M31" i="49"/>
  <c r="E32" i="49"/>
  <c r="O29" i="49"/>
  <c r="L43" i="49"/>
  <c r="F43" i="49"/>
  <c r="P47" i="49"/>
  <c r="J43" i="49"/>
  <c r="Q31" i="49"/>
  <c r="H31" i="49"/>
  <c r="B32" i="49"/>
  <c r="H40" i="49"/>
  <c r="M33" i="49"/>
  <c r="O40" i="49"/>
  <c r="Q38" i="49"/>
  <c r="L65" i="49"/>
  <c r="B52" i="49"/>
  <c r="N69" i="49"/>
  <c r="Q68" i="49"/>
  <c r="H37" i="49"/>
  <c r="M39" i="49"/>
  <c r="C39" i="49"/>
  <c r="Q27" i="49"/>
  <c r="O47" i="49"/>
  <c r="K29" i="49"/>
  <c r="G47" i="49"/>
  <c r="J41" i="49"/>
  <c r="G40" i="49"/>
  <c r="D41" i="49"/>
  <c r="E45" i="49"/>
  <c r="O45" i="49"/>
  <c r="M46" i="49"/>
  <c r="O42" i="49"/>
  <c r="J40" i="49"/>
  <c r="A55" i="49"/>
  <c r="E63" i="49"/>
  <c r="F59" i="49"/>
  <c r="D63" i="49"/>
  <c r="B57" i="49"/>
  <c r="Q60" i="49"/>
  <c r="H61" i="49"/>
  <c r="I52" i="49"/>
  <c r="L63" i="49"/>
  <c r="L60" i="49"/>
  <c r="N31" i="49"/>
  <c r="N30" i="49"/>
  <c r="C42" i="49"/>
  <c r="G45" i="49"/>
  <c r="E31" i="49"/>
  <c r="H38" i="49"/>
  <c r="M44" i="49"/>
  <c r="C46" i="49"/>
  <c r="P35" i="49"/>
  <c r="N38" i="49"/>
  <c r="H29" i="49"/>
  <c r="J44" i="49"/>
  <c r="H28" i="49"/>
  <c r="N32" i="49"/>
  <c r="K42" i="49"/>
  <c r="A44" i="49"/>
  <c r="H27" i="49"/>
  <c r="F30" i="49"/>
  <c r="F37" i="49"/>
  <c r="K33" i="49"/>
  <c r="F42" i="49"/>
  <c r="H33" i="49"/>
  <c r="I34" i="49"/>
  <c r="M36" i="49"/>
  <c r="J32" i="49"/>
  <c r="P31" i="49"/>
  <c r="N41" i="49"/>
  <c r="P30" i="49"/>
  <c r="M32" i="49"/>
  <c r="A43" i="49"/>
  <c r="P43" i="49"/>
  <c r="G29" i="49"/>
  <c r="F38" i="49"/>
  <c r="D29" i="49"/>
  <c r="M43" i="49"/>
  <c r="L27" i="49"/>
  <c r="Q47" i="49"/>
  <c r="O39" i="49"/>
  <c r="E27" i="49"/>
  <c r="I27" i="49"/>
  <c r="I29" i="49"/>
  <c r="E47" i="49"/>
  <c r="D40" i="49"/>
  <c r="Q37" i="49"/>
  <c r="C64" i="49"/>
  <c r="D68" i="49"/>
  <c r="K27" i="49"/>
  <c r="O38" i="49"/>
  <c r="K30" i="49"/>
  <c r="C32" i="49"/>
  <c r="P36" i="49"/>
  <c r="I33" i="49"/>
  <c r="F29" i="49"/>
  <c r="C27" i="49"/>
  <c r="A41" i="49"/>
  <c r="G39" i="49"/>
  <c r="A46" i="49"/>
  <c r="B45" i="49"/>
  <c r="D27" i="49"/>
  <c r="D36" i="49"/>
  <c r="Q39" i="49"/>
  <c r="L70" i="49"/>
  <c r="O67" i="49"/>
  <c r="N62" i="49"/>
  <c r="D61" i="49"/>
  <c r="M66" i="49"/>
  <c r="M57" i="49"/>
  <c r="B67" i="49"/>
  <c r="M54" i="49"/>
  <c r="H60" i="49"/>
  <c r="L56" i="49"/>
  <c r="I44" i="49"/>
  <c r="I43" i="49"/>
  <c r="M47" i="49"/>
  <c r="M26" i="49"/>
  <c r="I35" i="49"/>
  <c r="M45" i="49"/>
  <c r="G26" i="49"/>
  <c r="L30" i="49"/>
  <c r="P46" i="49"/>
  <c r="P27" i="49"/>
  <c r="P37" i="49"/>
  <c r="L46" i="49"/>
  <c r="L32" i="49"/>
  <c r="E41" i="49"/>
  <c r="N45" i="49"/>
  <c r="D47" i="49"/>
  <c r="C40" i="49"/>
  <c r="G44" i="49"/>
  <c r="H39" i="49"/>
  <c r="B42" i="49"/>
  <c r="O27" i="49"/>
  <c r="O41" i="49"/>
  <c r="J34" i="49"/>
  <c r="Q40" i="49"/>
  <c r="N36" i="49"/>
  <c r="C36" i="49"/>
  <c r="A45" i="49"/>
  <c r="C35" i="49"/>
  <c r="Q36" i="49"/>
  <c r="P28" i="49"/>
  <c r="G32" i="49"/>
  <c r="O37" i="49"/>
  <c r="I45" i="49"/>
  <c r="L37" i="49"/>
  <c r="H45" i="49"/>
  <c r="D44" i="49"/>
  <c r="D28" i="49"/>
  <c r="F45" i="49"/>
  <c r="Q26" i="49"/>
  <c r="Q30" i="49"/>
  <c r="F31" i="49"/>
  <c r="C44" i="49"/>
  <c r="M35" i="49"/>
  <c r="G37" i="49"/>
  <c r="G52" i="49"/>
  <c r="M69" i="49"/>
  <c r="E67" i="49"/>
  <c r="G65" i="49"/>
  <c r="N34" i="49"/>
  <c r="N28" i="49"/>
  <c r="B38" i="49"/>
  <c r="F27" i="49"/>
  <c r="N27" i="49"/>
  <c r="D35" i="49"/>
  <c r="K43" i="49"/>
  <c r="D45" i="49"/>
  <c r="H26" i="49"/>
  <c r="K41" i="49"/>
  <c r="K35" i="49"/>
  <c r="M27" i="49"/>
  <c r="L35" i="49"/>
  <c r="Q43" i="49"/>
  <c r="B49" i="49"/>
  <c r="B65" i="49"/>
  <c r="B54" i="49"/>
  <c r="L59" i="49"/>
  <c r="Q61" i="49"/>
  <c r="G67" i="49"/>
  <c r="D55" i="49"/>
  <c r="N58" i="49"/>
  <c r="A69" i="49"/>
  <c r="N66" i="49"/>
  <c r="F40" i="49"/>
  <c r="J31" i="49"/>
  <c r="L44" i="49"/>
  <c r="L34" i="49"/>
  <c r="G43" i="49"/>
  <c r="A33" i="49"/>
  <c r="O34" i="49"/>
  <c r="D46" i="49"/>
  <c r="A26" i="49"/>
  <c r="G36" i="49"/>
  <c r="D32" i="49"/>
  <c r="D31" i="49"/>
  <c r="C41" i="49"/>
  <c r="D30" i="49"/>
  <c r="A32" i="49"/>
  <c r="P41" i="49"/>
  <c r="E42" i="49"/>
  <c r="B33" i="49"/>
  <c r="N37" i="49"/>
  <c r="K32" i="49"/>
  <c r="K31" i="49"/>
  <c r="A31" i="49"/>
  <c r="O28" i="49"/>
  <c r="C30" i="49"/>
  <c r="P44" i="49"/>
  <c r="C29" i="49"/>
  <c r="D34" i="49"/>
  <c r="D43" i="49"/>
  <c r="K44" i="49"/>
  <c r="J29" i="49"/>
  <c r="J33" i="49"/>
  <c r="M28" i="49"/>
  <c r="G27" i="49"/>
  <c r="F36" i="49"/>
  <c r="J47" i="49"/>
  <c r="G31" i="49"/>
  <c r="I36" i="49"/>
  <c r="A38" i="49"/>
  <c r="N46" i="49"/>
  <c r="I31" i="49"/>
  <c r="P39" i="49"/>
  <c r="C47" i="49"/>
  <c r="J35" i="49"/>
  <c r="G3" i="66" a="1"/>
  <c r="G3" i="66"/>
  <c r="G4" i="66"/>
  <c r="G5" i="66"/>
  <c r="G6" i="66"/>
  <c r="G7" i="66"/>
  <c r="G8" i="66"/>
  <c r="G9" i="66"/>
  <c r="G10" i="66"/>
  <c r="G11" i="66"/>
  <c r="G12" i="66"/>
  <c r="G13" i="66"/>
  <c r="G14" i="66"/>
  <c r="G15" i="66"/>
  <c r="F3" i="66" a="1"/>
  <c r="F7" i="66"/>
  <c r="F15" i="66"/>
  <c r="F13" i="66"/>
  <c r="F4" i="66"/>
  <c r="F8" i="66"/>
  <c r="F10" i="66"/>
  <c r="F14" i="66"/>
  <c r="F5" i="66"/>
  <c r="F6" i="66"/>
  <c r="F3" i="66"/>
  <c r="F11" i="66"/>
  <c r="F12" i="66"/>
  <c r="F9" i="66"/>
  <c r="G64" i="66"/>
  <c r="G57" i="66"/>
  <c r="G55" i="66"/>
  <c r="D18" i="49"/>
  <c r="C18" i="49"/>
</calcChain>
</file>

<file path=xl/connections.xml><?xml version="1.0" encoding="utf-8"?>
<connections xmlns="http://schemas.openxmlformats.org/spreadsheetml/2006/main">
  <connection id="1" name="tr_holding_exchange_20181107" type="6" refreshedVersion="4" background="1" saveData="1">
    <textPr prompt="0" codePage="65001" sourceFile="\\wnspwfis05\ERM\AlgoDailyBatch\CSA-MtM\Position\tr_holding_exchange_2018110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r_holding_exchange_20181108" type="6" refreshedVersion="4" background="1" saveData="1">
    <textPr prompt="0" codePage="65001" sourceFile="\\wnspwfis05\ERM\AlgoDailyBatch\CSA-MtM\Position\tr_holding_exchange_2018110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tr_holding_exchange_20181112" type="6" refreshedVersion="4" background="1" saveData="1">
    <textPr prompt="0" codePage="65001" sourceFile="\\wnspwfis05\ERM\AlgoDailyBatch\CSA-MtM\Position\tr_holding_exchange_2018111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tr_holding_exchange_20181113" type="6" refreshedVersion="4" background="1" saveData="1">
    <textPr prompt="0" codePage="65001" sourceFile="\\wnspwfis05\ERM\AlgoDailyBatch\CSA-MtM\Position\tr_holding_exchange_20181113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tr_holding_exchange_20181119" type="6" refreshedVersion="4" background="1" saveData="1">
    <textPr prompt="0" codePage="65001" sourceFile="\\wnspwfis05\ERM\AlgoDailyBatch\CSA-MtM\Position\tr_holding_exchange_20181119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r_holding_exchange_20181120" type="6" refreshedVersion="4" background="1" saveData="1">
    <textPr prompt="0" codePage="65001" sourceFile="\\wnspwfis05\ERM\AlgoDailyBatch\CSA-MtM\Position\tr_holding_exchange_2018112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tr_holding_exchange_20181121" type="6" refreshedVersion="4" background="1" saveData="1">
    <textPr prompt="0" codePage="65001" sourceFile="\\wnspwfis05\ERM\AlgoDailyBatch\CSA-MtM\Position\tr_holding_exchange_2018112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tr_holding_exchange_20181122" type="6" refreshedVersion="4" background="1" saveData="1">
    <textPr prompt="0" codePage="65001" sourceFile="\\wnspwfis05\ERM\AlgoDailyBatch\CSA-MtM\Position\tr_holding_exchange_2018112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tr_holding_exchange_20181123" type="6" refreshedVersion="4" background="1" saveData="1">
    <textPr prompt="0" codePage="65001" sourceFile="\\wnspwfis05\ERM\AlgoDailyBatch\CSA-MtM\Position\tr_holding_exchange_20181123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tr_holding_exchange_20181126" type="6" refreshedVersion="4" background="1" saveData="1">
    <textPr prompt="0" codePage="65001" sourceFile="\\wnspwfis05\ERM\AlgoDailyBatch\CSA-MtM\Position\tr_holding_exchange_20181126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tr_holding_exchange_20181127" type="6" refreshedVersion="0" background="1">
    <textPr prompt="0" sourceFile="\\wnspwfis05\ERM\AlgoDailyBatch\CSA-MtM\Position\tr_holding_exchange_20181127.csv">
      <textFields>
        <textField/>
      </textFields>
    </textPr>
  </connection>
  <connection id="12" name="tr_holding_exchange_201811271" type="6" refreshedVersion="4" background="1" saveData="1">
    <textPr prompt="0" codePage="65001" sourceFile="\\wnspwfis05\ERM\AlgoDailyBatch\CSA-MtM\Position\tr_holding_exchange_2018112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tr_holding_exchange_201811272" type="6" refreshedVersion="4" background="1" saveData="1">
    <textPr prompt="0" codePage="65001" sourceFile="\\wnspwfis05\ERM\AlgoDailyBatch\CSA-MtM\Position\tr_holding_exchange_2018112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tr_holding_exchange_20181128" type="6" refreshedVersion="4" background="1" saveData="1">
    <textPr prompt="0" codePage="65001" sourceFile="\\wnspwfis05\ERM\AlgoDailyBatch\CSA-MtM\Position\tr_holding_exchange_2018112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tr_holding_exchange_20181129" type="6" refreshedVersion="4" background="1" saveData="1">
    <textPr prompt="0" codePage="65001" sourceFile="\\wnspwfis05\ERM\AlgoDailyBatch\CSA-MtM\Position\tr_holding_exchange_20181129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tr_holding_exchange_20181130" type="6" refreshedVersion="4" background="1" saveData="1">
    <textPr prompt="0" codePage="65001" sourceFile="\\wnspwfis05\ERM\AlgoDailyBatch\CSA-MtM\Position\tr_holding_exchange_2018113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tr_holding_exchange_201811301" type="6" refreshedVersion="4" background="1" saveData="1">
    <textPr prompt="0" codePage="65001" sourceFile="\\wnspwfis05\ERM\AlgoDailyBatch\CSA-MtM\Position\tr_holding_exchange_2018113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tr_holding_exchange_20181203" type="6" refreshedVersion="4" background="1" saveData="1">
    <textPr prompt="0" codePage="65001" sourceFile="\\wnspwfis05\ERM\AlgoDailyBatch\CSA-MtM\Position\tr_holding_exchange_20181203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tr_holding_exchange_20181204" type="6" refreshedVersion="4" background="1" saveData="1">
    <textPr prompt="0" codePage="65001" sourceFile="\\wnspwfis05\ERM\AlgoDailyBatch\CSA-MtM\Position\tr_holding_exchange_20181204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tr_holding_exchange_20181206" type="6" refreshedVersion="4" background="1" saveData="1">
    <textPr prompt="0" codePage="65001" sourceFile="\\wnspwfis05\ERM\AlgoDailyBatch\CSA-MtM\Position\tr_holding_exchange_20181206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tr_holding_exchange_201812061" type="6" refreshedVersion="4" background="1" saveData="1">
    <textPr prompt="0" codePage="65001" sourceFile="\\wnspwfis05\ERM\AlgoDailyBatch\CSA-MtM\Position\tr_holding_exchange_20181206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tr_holding_exchange_20181207" type="6" refreshedVersion="4" background="1" saveData="1">
    <textPr prompt="0" codePage="65001" sourceFile="\\wnspwfis05\ERM\AlgoDailyBatch\CSA-MtM\Position\tr_holding_exchange_2018120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tr_holding_exchange_20181210" type="6" refreshedVersion="4" background="1" saveData="1">
    <textPr prompt="0" codePage="65001" sourceFile="\\wnspwfis05\ERM\AlgoDailyBatch\CSA-MtM\Position\tr_holding_exchange_2018121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tr_holding_exchange_20181211" type="6" refreshedVersion="4" background="1" saveData="1">
    <textPr prompt="0" codePage="65001" sourceFile="\\wnspwfis05\ERM\AlgoDailyBatch\CSA-MtM\Position\tr_holding_exchange_2018121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tr_holding_exchange_20181212" type="6" refreshedVersion="4" background="1" saveData="1">
    <textPr prompt="0" codePage="65001" sourceFile="\\wnspwfis05\ERM\AlgoDailyBatch\CSA-MtM\Position\tr_holding_exchange_2018121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tr_holding_exchange_20181214" type="6" refreshedVersion="4" background="1" saveData="1">
    <textPr prompt="0" codePage="65001" sourceFile="\\wnspwfis05\ERM\AlgoDailyBatch\CSA-MtM\Position\tr_holding_exchange_20181214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tr_holding_exchange_20181217" type="6" refreshedVersion="4" background="1" saveData="1">
    <textPr prompt="0" codePage="65001" sourceFile="\\wnspwfis05\ERM\AlgoDailyBatch\CSA-MtM\Position\tr_holding_exchange_2018121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tr_holding_exchange_20181218" type="6" refreshedVersion="4" background="1" saveData="1">
    <textPr prompt="0" codePage="65001" sourceFile="\\wnspwfis05\ERM\AlgoDailyBatch\CSA-MtM\Position\tr_holding_exchange_2018121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tr_holding_exchange_20181220" type="6" refreshedVersion="4" background="1" saveData="1">
    <textPr prompt="0" codePage="65001" sourceFile="\\wnspwfis05\ERM\AlgoDailyBatch\CSA-MtM\Position\tr_holding_exchange_2018122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tr_holding_exchange_20181221" type="6" refreshedVersion="4" background="1" saveData="1">
    <textPr prompt="0" codePage="65001" sourceFile="\\wnspwfis05\ERM\AlgoDailyBatch\CSA-MtM\Position\tr_holding_exchange_2018122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tr_holding_exchange_201812211" type="6" refreshedVersion="4" background="1" saveData="1">
    <textPr prompt="0" codePage="65001" sourceFile="\\wnspwfis05\ERM\AlgoDailyBatch\CSA-MtM\Position\tr_holding_exchange_2018122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tr_holding_exchange_20181222" type="6" refreshedVersion="4" background="1">
    <textPr prompt="0" codePage="65001" sourceFile="\\wnspwfis05\ERM\AlgoDailyBatch\CSA-MtM\Position\tr_holding_exchange_2018122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tr_holding_exchange_201812221" type="6" refreshedVersion="4" background="1" saveData="1">
    <textPr prompt="0" codePage="65001" sourceFile="\\wnspwfis05\ERM\AlgoDailyBatch\CSA-MtM\Position\tr_holding_exchange_2018122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tr_holding_exchange_20181225" type="6" refreshedVersion="4" background="1" saveData="1">
    <textPr prompt="0" codePage="65001" sourceFile="\\wnspwfis05\ERM\AlgoDailyBatch\CSA-MtM\Position\tr_holding_exchange_20181225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tr_holding_exchange_20181227" type="6" refreshedVersion="4" background="1" saveData="1">
    <textPr prompt="0" codePage="65001" sourceFile="\\wnspwfis05\ERM\AlgoDailyBatch\CSA-MtM\Position\tr_holding_exchange_2018122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tr_holding_exchange_20181228" type="6" refreshedVersion="4" background="1" saveData="1">
    <textPr prompt="0" codePage="65001" sourceFile="\\wnspwfis05\ERM\AlgoDailyBatch\CSA-MtM\Position\tr_holding_exchange_2018122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tr_holding_exchange_201812281" type="6" refreshedVersion="4" background="1" saveData="1">
    <textPr prompt="0" codePage="65001" sourceFile="\\wnspwfis05\ERM\AlgoDailyBatch\CSA-MtM\Position\tr_holding_exchange_2018122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tr_holding_exchange_20190102" type="6" refreshedVersion="4" background="1">
    <textPr prompt="0" codePage="65001" sourceFile="\\wnspwfis05\ERM\AlgoDailyBatch\CSA-MtM\Position\tr_holding_exchange_2019010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tr_holding_exchange_201901021" type="6" refreshedVersion="4" background="1" saveData="1">
    <textPr prompt="0" codePage="65001" sourceFile="\\wnspwfis05\ERM\AlgoDailyBatch\CSA-MtM\Position\tr_holding_exchange_2019010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tr_holding_exchange_201901022" type="6" refreshedVersion="4" background="1" saveData="1">
    <textPr prompt="0" codePage="65001" sourceFile="\\wnspwfis05\ERM\AlgoDailyBatch\CSA-MtM\Position\tr_holding_exchange_2019010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tr_holding_exchange_201901023" type="6" refreshedVersion="4" background="1" saveData="1">
    <textPr prompt="0" codePage="65001" sourceFile="\\wnspwfis05\ERM\AlgoDailyBatch\CSA-MtM\Position\tr_holding_exchange_2019010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tr_holding_exchange_20190103" type="6" refreshedVersion="4" background="1" saveData="1">
    <textPr prompt="0" codePage="65001" sourceFile="\\wnspwfis05\ERM\AlgoDailyBatch\CSA-MtM\Position\tr_holding_exchange_20190103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tr_holding_exchange_20190107" type="6" refreshedVersion="4" background="1" saveData="1">
    <textPr prompt="0" codePage="65001" sourceFile="\\wnspwfis05\ERM\AlgoDailyBatch\CSA-MtM\Position\tr_holding_exchange_2019010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tr_holding_exchange_20190108" type="6" refreshedVersion="4" background="1" saveData="1">
    <textPr prompt="0" codePage="65001" sourceFile="\\wnspwfis05\ERM\AlgoDailyBatch\CSA-MtM\Position\tr_holding_exchange_2019010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tr_holding_exchange_201901081" type="6" refreshedVersion="4" background="1" saveData="1">
    <textPr prompt="0" codePage="65001" sourceFile="\\wnspwfis05\ERM\AlgoDailyBatch\CSA-MtM\Position\tr_holding_exchange_2019010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tr_holding_exchange_20190109" type="6" refreshedVersion="4" background="1" saveData="1">
    <textPr prompt="0" codePage="65001" sourceFile="\\wnspwfis05\ERM\AlgoDailyBatch\CSA-MtM\Position\tr_holding_exchange_20190109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tr_holding_exchange_20190110" type="6" refreshedVersion="4" background="1" saveData="1">
    <textPr prompt="0" codePage="65001" sourceFile="\\wnspwfis05\ERM\AlgoDailyBatch\CSA-MtM\Position\tr_holding_exchange_2019011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tr_holding_exchange_201901101" type="6" refreshedVersion="4" background="1" saveData="1">
    <textPr prompt="0" codePage="65001" sourceFile="\\wnspwfis05\ERM\AlgoDailyBatch\CSA-MtM\Position\tr_holding_exchange_2019011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tr_holding_exchange_20190111" type="6" refreshedVersion="4" background="1" saveData="1">
    <textPr prompt="0" codePage="65001" sourceFile="\\wnspwfis05\ERM\AlgoDailyBatch\CSA-MtM\Position\tr_holding_exchange_2019011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tr_holding_exchange_201901111" type="6" refreshedVersion="4" background="1" saveData="1">
    <textPr prompt="0" codePage="65001" sourceFile="\\wnspwfis05\ERM\AlgoDailyBatch\CSA-MtM\Position\tr_holding_exchange_2019011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tr_holding_exchange_20190114" type="6" refreshedVersion="4" background="1" saveData="1">
    <textPr prompt="0" codePage="65001" sourceFile="\\wnspwfis05\ERM\AlgoDailyBatch\CSA-MtM\Position\tr_holding_exchange_20190114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r_holding_exchange_20190115" type="6" refreshedVersion="4" background="1" saveData="1">
    <textPr prompt="0" codePage="65001" sourceFile="\\wnspwfis05\ERM\AlgoDailyBatch\CSA-MtM\Position\tr_holding_exchange_20190115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tr_holding_exchange_20190116" type="6" refreshedVersion="4" background="1" saveData="1">
    <textPr prompt="0" codePage="65001" sourceFile="\\wnspwfis05\ERM\AlgoDailyBatch\CSA-MtM\Position\tr_holding_exchange_20190116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tr_holding_exchange_20190118" type="6" refreshedVersion="4" background="1" saveData="1">
    <textPr prompt="0" codePage="65001" sourceFile="\\wnspwfis05\ERM\AlgoDailyBatch\CSA-MtM\Position\tr_holding_exchange_2019011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tr_holding_exchange_20190121" type="6" refreshedVersion="4" background="1" saveData="1">
    <textPr prompt="0" codePage="65001" sourceFile="\\wnspwfis05\ERM\AlgoDailyBatch\CSA-MtM\Position\tr_holding_exchange_2019012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tr_holding_exchange_20190122" type="6" refreshedVersion="4" background="1" saveData="1">
    <textPr prompt="0" codePage="65001" sourceFile="\\wnspwfis05\ERM\AlgoDailyBatch\CSA-MtM\Position\tr_holding_exchange_2019012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tr_holding_exchange_20190123" type="6" refreshedVersion="4" background="1" saveData="1">
    <textPr prompt="0" codePage="65001" sourceFile="\\wnspwfis05\ERM\AlgoDailyBatch\CSA-MtM\Position\tr_holding_exchange_20190123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tr_holding_exchange_201901231" type="6" refreshedVersion="4" background="1" saveData="1">
    <textPr prompt="0" codePage="65001" sourceFile="\\wnspwfis05\ERM\AlgoDailyBatch\CSA-MtM\Position\tr_holding_exchange_20190123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tr_holding_exchange_20190124" type="6" refreshedVersion="4" background="1" saveData="1">
    <textPr prompt="0" codePage="65001" sourceFile="\\wnspwfis05\ERM\AlgoDailyBatch\CSA-MtM\Position\tr_holding_exchange_20190124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tr_holding_exchange_20190129" type="6" refreshedVersion="4" background="1" saveData="1">
    <textPr prompt="0" codePage="65001" sourceFile="\\wnspwfis05\ERM\AlgoDailyBatch\CSA-MtM\Position\tr_holding_exchange_20190129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tr_holding_exchange_20190131" type="6" refreshedVersion="4" background="1" saveData="1">
    <textPr prompt="0" codePage="65001" sourceFile="\\wnspwfis05\ERM\AlgoDailyBatch\CSA-MtM\Position\tr_holding_exchange_2019013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tr_holding_exchange_201901311" type="6" refreshedVersion="4" background="1" saveData="1">
    <textPr prompt="0" codePage="65001" sourceFile="\\wnspwfis05\ERM\AlgoDailyBatch\CSA-MtM\Position\tr_holding_exchange_2019013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tr_holding_exchange_20190215" type="6" refreshedVersion="4" background="1" saveData="1">
    <textPr prompt="0" codePage="65001" sourceFile="\\wnspwfis05\ERM\AlgoDailyBatch\CSA-MtM\Position\tr_holding_exchange_20190215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tr_holding_exchange_20190218" type="6" refreshedVersion="4" background="1" saveData="1">
    <textPr prompt="0" codePage="65001" sourceFile="\\wnspwfis05\ERM\AlgoDailyBatch\CSA-MtM\Position\tr_holding_exchange_2019021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tr_holding_exchange_201902181" type="6" refreshedVersion="4" background="1" saveData="1">
    <textPr prompt="0" codePage="65001" sourceFile="\\wnspwfis05\ERM\AlgoDailyBatch\CSA-MtM\Position\tr_holding_exchange_2019021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tr_holding_exchange_20190219" type="6" refreshedVersion="4" background="1" saveData="1">
    <textPr prompt="0" codePage="65001" sourceFile="\\wnspwfis05\ERM\AlgoDailyBatch\CSA-MtM\Position\tr_holding_exchange_20190219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tr_holding_exchange_20190220" type="6" refreshedVersion="4" background="1" saveData="1">
    <textPr prompt="0" codePage="65001" sourceFile="\\wnspwfis05\ERM\AlgoDailyBatch\CSA-MtM\Position\tr_holding_exchange_2019022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tr_holding_exchange_201902201" type="6" refreshedVersion="4" background="1" saveData="1">
    <textPr prompt="0" codePage="65001" sourceFile="\\wnspwfis05\ERM\AlgoDailyBatch\CSA-MtM\Position\tr_holding_exchange_2019022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tr_holding_exchange_20190221" type="6" refreshedVersion="4" background="1" saveData="1">
    <textPr prompt="0" codePage="65001" sourceFile="\\wnspwfis05\ERM\AlgoDailyBatch\CSA-MtM\Position\tr_holding_exchange_2019022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tr_holding_exchange_20190222" type="6" refreshedVersion="4" background="1" saveData="1">
    <textPr prompt="0" codePage="65001" sourceFile="\\wnspwfis05\ERM\AlgoDailyBatch\CSA-MtM\Position\tr_holding_exchange_2019022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tr_holding_exchange_20190225" type="6" refreshedVersion="4" background="1" saveData="1">
    <textPr prompt="0" codePage="65001" sourceFile="\\wnspwfis05\ERM\AlgoDailyBatch\CSA-MtM\Position\tr_holding_exchange_20190225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tr_holding_exchange_20190226" type="6" refreshedVersion="4" background="1" saveData="1">
    <textPr prompt="0" codePage="65001" sourceFile="\\wnspwfis05\ERM\AlgoDailyBatch\CSA-MtM\Position\tr_holding_exchange_20190226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tr_holding_exchange_20190304" type="6" refreshedVersion="4" background="1" saveData="1">
    <textPr prompt="0" codePage="65001" sourceFile="\\wnspwfis05\ERM\AlgoDailyBatch\CSA-MtM\Position\tr_holding_exchange_20190304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tr_holding_exchange_20190305" type="6" refreshedVersion="4" background="1" saveData="1">
    <textPr prompt="0" codePage="65001" sourceFile="\\wnspwfis05\ERM\AlgoDailyBatch\CSA-MtM\Position\tr_holding_exchange_20190305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tr_holding_exchange_20190308" type="6" refreshedVersion="4" background="1" saveData="1">
    <textPr prompt="0" codePage="65001" sourceFile="\\wnspwfis05\ERM\AlgoDailyBatch\CSA-MtM\Position\tr_holding_exchange_2019030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tr_holding_exchange_20190311" type="6" refreshedVersion="4" background="1" saveData="1">
    <textPr prompt="0" codePage="65001" sourceFile="\\wnspwfis05\ERM\AlgoDailyBatch\CSA-MtM\Position\tr_holding_exchange_2019031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tr_holding_exchange_20190312" type="6" refreshedVersion="4" background="1" saveData="1">
    <textPr prompt="0" codePage="65001" sourceFile="\\wnspwfis05\ERM\AlgoDailyBatch\CSA-MtM\Position\tr_holding_exchange_2019031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tr_holding_exchange_20190313" type="6" refreshedVersion="4" background="1" saveData="1">
    <textPr prompt="0" codePage="65001" sourceFile="\\wnspwfis05\ERM\AlgoDailyBatch\CSA-MtM\Position\tr_holding_exchange_20190313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tr_holding_exchange_20190314" type="6" refreshedVersion="4" background="1" saveData="1">
    <textPr prompt="0" codePage="65001" sourceFile="\\wnspwfis05\ERM\AlgoDailyBatch\CSA-MtM\Position\tr_holding_exchange_20190314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tr_holding_exchange_20190318" type="6" refreshedVersion="4" background="1" saveData="1">
    <textPr prompt="0" codePage="65001" sourceFile="\\wnspwfis05\ERM\AlgoDailyBatch\CSA-MtM\Position\tr_holding_exchange_2019031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tr_holding_exchange_20190319" type="6" refreshedVersion="4" background="1" saveData="1">
    <textPr prompt="0" codePage="65001" sourceFile="\\wnspwfis05\ERM\AlgoDailyBatch\CSA-MtM\Position\tr_holding_exchange_20190319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tr_holding_exchange_20190321" type="6" refreshedVersion="4" background="1" saveData="1">
    <textPr prompt="0" codePage="65001" sourceFile="\\wnspwfis05\ERM\AlgoDailyBatch\CSA-MtM\Position\tr_holding_exchange_2019032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tr_holding_exchange_20190327" type="6" refreshedVersion="4" background="1" saveData="1">
    <textPr prompt="0" codePage="65001" sourceFile="\\wnspwfis05\ERM\AlgoDailyBatch\CSA-MtM\Position\tr_holding_exchange_2019032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tr_holding_exchange_201903271" type="6" refreshedVersion="4" background="1" saveData="1">
    <textPr prompt="0" codePage="65001" sourceFile="\\wnspwfis05\ERM\AlgoDailyBatch\CSA-MtM\Position\tr_holding_exchange_2019032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<sst xmlns="http://schemas.openxmlformats.org/spreadsheetml/2006/main" count="349" uniqueCount="179">
  <si>
    <t>TWD</t>
  </si>
  <si>
    <t>USD</t>
  </si>
  <si>
    <t>Maturity Date</t>
  </si>
  <si>
    <t>actual/365</t>
  </si>
  <si>
    <t>Trade Date</t>
    <phoneticPr fontId="1" type="noConversion"/>
  </si>
  <si>
    <t>Counterparty</t>
  </si>
  <si>
    <t>ERM_Name</t>
  </si>
  <si>
    <t>Fixed_Coupon</t>
  </si>
  <si>
    <t>Floating_Formula</t>
  </si>
  <si>
    <t>Floating_DAYC</t>
  </si>
  <si>
    <t>Fixed_DAYC</t>
  </si>
  <si>
    <t>Fixed_Cury</t>
  </si>
  <si>
    <t>Floating_Cury</t>
  </si>
  <si>
    <t>Fixed_Pay</t>
  </si>
  <si>
    <t>Floating_Pay</t>
  </si>
  <si>
    <t>Fixed_DF</t>
  </si>
  <si>
    <t>Floating_DF</t>
  </si>
  <si>
    <t>Effective Date</t>
  </si>
  <si>
    <t>Fixed_Notional</t>
  </si>
  <si>
    <t>Floating_Notional</t>
  </si>
  <si>
    <t>TermToExchange</t>
  </si>
  <si>
    <t>Tenor</t>
  </si>
  <si>
    <t>1M</t>
  </si>
  <si>
    <t>2M</t>
  </si>
  <si>
    <t>3M</t>
  </si>
  <si>
    <t>1Y</t>
  </si>
  <si>
    <t>2Y</t>
  </si>
  <si>
    <t>3Y</t>
  </si>
  <si>
    <t>4Y</t>
  </si>
  <si>
    <t>5Y</t>
  </si>
  <si>
    <t>1W</t>
  </si>
  <si>
    <t>7Y</t>
  </si>
  <si>
    <t>10Y</t>
  </si>
  <si>
    <t>TPBKTWTPFMG</t>
  </si>
  <si>
    <t>TWD_Libor_3M</t>
    <phoneticPr fontId="1" type="noConversion"/>
  </si>
  <si>
    <t>TWD_IRS_Curve</t>
    <phoneticPr fontId="1" type="noConversion"/>
  </si>
  <si>
    <t>3M</t>
    <phoneticPr fontId="1" type="noConversion"/>
  </si>
  <si>
    <t>2W</t>
  </si>
  <si>
    <t>Evaluation Date</t>
    <phoneticPr fontId="31" type="noConversion"/>
  </si>
  <si>
    <t>SetEvaluationDate</t>
    <phoneticPr fontId="31" type="noConversion"/>
  </si>
  <si>
    <t>SettingsEvaluationDate</t>
    <phoneticPr fontId="31" type="noConversion"/>
  </si>
  <si>
    <t>Trigger</t>
    <phoneticPr fontId="31" type="noConversion"/>
  </si>
  <si>
    <t>ObjectId</t>
    <phoneticPr fontId="31" type="noConversion"/>
  </si>
  <si>
    <t>FamilyName</t>
    <phoneticPr fontId="31" type="noConversion"/>
  </si>
  <si>
    <t>Tenor</t>
    <phoneticPr fontId="31" type="noConversion"/>
  </si>
  <si>
    <t>FixingDays</t>
    <phoneticPr fontId="31" type="noConversion"/>
  </si>
  <si>
    <t>Currency</t>
    <phoneticPr fontId="31" type="noConversion"/>
  </si>
  <si>
    <t>Calendar</t>
    <phoneticPr fontId="31" type="noConversion"/>
  </si>
  <si>
    <t>BDayConvention</t>
    <phoneticPr fontId="31" type="noConversion"/>
  </si>
  <si>
    <t>EndofMonth</t>
    <phoneticPr fontId="31" type="noConversion"/>
  </si>
  <si>
    <t>DayCounter</t>
    <phoneticPr fontId="31" type="noConversion"/>
  </si>
  <si>
    <t>FwdCurve</t>
    <phoneticPr fontId="31" type="noConversion"/>
  </si>
  <si>
    <t>Permanent</t>
    <phoneticPr fontId="31" type="noConversion"/>
  </si>
  <si>
    <t>Overwrite</t>
    <phoneticPr fontId="31" type="noConversion"/>
  </si>
  <si>
    <t>Days</t>
    <phoneticPr fontId="31" type="noConversion"/>
  </si>
  <si>
    <t>Date</t>
    <phoneticPr fontId="31" type="noConversion"/>
  </si>
  <si>
    <t>zero rate</t>
    <phoneticPr fontId="31" type="noConversion"/>
  </si>
  <si>
    <t>DF</t>
    <phoneticPr fontId="32" type="noConversion"/>
  </si>
  <si>
    <t>Helper Obj</t>
    <phoneticPr fontId="31" type="noConversion"/>
  </si>
  <si>
    <t>QutoeObj</t>
    <phoneticPr fontId="31" type="noConversion"/>
  </si>
  <si>
    <t>ObjectID</t>
    <phoneticPr fontId="31" type="noConversion"/>
  </si>
  <si>
    <t>Quote</t>
    <phoneticPr fontId="31" type="noConversion"/>
  </si>
  <si>
    <t>TickValue</t>
    <phoneticPr fontId="31" type="noConversion"/>
  </si>
  <si>
    <t>EndOfMonth</t>
    <phoneticPr fontId="31" type="noConversion"/>
  </si>
  <si>
    <t>qlDepositRateHelper2</t>
    <phoneticPr fontId="31" type="noConversion"/>
  </si>
  <si>
    <t>Rate</t>
    <phoneticPr fontId="31" type="noConversion"/>
  </si>
  <si>
    <t>Convention</t>
    <phoneticPr fontId="31" type="noConversion"/>
  </si>
  <si>
    <t>SettlDays</t>
    <phoneticPr fontId="31" type="noConversion"/>
  </si>
  <si>
    <t>FixedLegFrequency</t>
    <phoneticPr fontId="31" type="noConversion"/>
  </si>
  <si>
    <t>FixedLegConvention</t>
    <phoneticPr fontId="31" type="noConversion"/>
  </si>
  <si>
    <t>FixedLegDayCounter</t>
    <phoneticPr fontId="31" type="noConversion"/>
  </si>
  <si>
    <t>IborIndex</t>
    <phoneticPr fontId="31" type="noConversion"/>
  </si>
  <si>
    <t>Spread</t>
    <phoneticPr fontId="31" type="noConversion"/>
  </si>
  <si>
    <t>ForwardStart</t>
    <phoneticPr fontId="31" type="noConversion"/>
  </si>
  <si>
    <t>DiscountingCurve</t>
    <phoneticPr fontId="31" type="noConversion"/>
  </si>
  <si>
    <t>PillarDate</t>
    <phoneticPr fontId="31" type="noConversion"/>
  </si>
  <si>
    <t>CustomPillarDate</t>
    <phoneticPr fontId="31" type="noConversion"/>
  </si>
  <si>
    <t>0D</t>
  </si>
  <si>
    <t>ZeroYield</t>
  </si>
  <si>
    <t>Linear</t>
  </si>
  <si>
    <t>YieldTSZeroRate</t>
    <phoneticPr fontId="32" type="noConversion"/>
  </si>
  <si>
    <t>Dates</t>
    <phoneticPr fontId="31" type="noConversion"/>
  </si>
  <si>
    <t>ResultDayCounter</t>
    <phoneticPr fontId="31" type="noConversion"/>
  </si>
  <si>
    <t>Compounding</t>
    <phoneticPr fontId="31" type="noConversion"/>
  </si>
  <si>
    <t>Frequency</t>
    <phoneticPr fontId="31" type="noConversion"/>
  </si>
  <si>
    <t>AllowExtrapolation</t>
    <phoneticPr fontId="31" type="noConversion"/>
  </si>
  <si>
    <t>ObjectID</t>
  </si>
  <si>
    <t>Permanent</t>
  </si>
  <si>
    <t>Trigger</t>
  </si>
  <si>
    <t>TWD</t>
    <phoneticPr fontId="32" type="noConversion"/>
  </si>
  <si>
    <t>Error</t>
    <phoneticPr fontId="31" type="noConversion"/>
  </si>
  <si>
    <t>Taiwan::TSEC</t>
  </si>
  <si>
    <t>F</t>
  </si>
  <si>
    <t>A/365F</t>
  </si>
  <si>
    <t>Quarterly</t>
  </si>
  <si>
    <t>TAIBOR</t>
    <phoneticPr fontId="32" type="noConversion"/>
  </si>
  <si>
    <t>CPIndex</t>
  </si>
  <si>
    <t>MF</t>
  </si>
  <si>
    <t>qlPiecewiseYieldCurve</t>
    <phoneticPr fontId="31" type="noConversion"/>
  </si>
  <si>
    <t>ObjectId</t>
  </si>
  <si>
    <t>Ndays</t>
  </si>
  <si>
    <t>Calendar</t>
  </si>
  <si>
    <t>RateHelpers</t>
  </si>
  <si>
    <t>DayCounter</t>
  </si>
  <si>
    <t>Jumps</t>
  </si>
  <si>
    <t>JumpDates</t>
  </si>
  <si>
    <t>Accuracy</t>
  </si>
  <si>
    <t>TraitsID</t>
  </si>
  <si>
    <t>InterpolatiorID</t>
  </si>
  <si>
    <t>Overwrite</t>
  </si>
  <si>
    <t>TWDZC</t>
  </si>
  <si>
    <t>LIBOR</t>
    <phoneticPr fontId="32" type="noConversion"/>
  </si>
  <si>
    <t>YieldCurve</t>
    <phoneticPr fontId="31" type="noConversion"/>
  </si>
  <si>
    <t>TAIBOR3M</t>
  </si>
  <si>
    <t>LIBOR3M</t>
  </si>
  <si>
    <t>DiscountingEng</t>
    <phoneticPr fontId="31" type="noConversion"/>
  </si>
  <si>
    <t>YieldCurve</t>
  </si>
  <si>
    <t>IncludeSettlDate</t>
  </si>
  <si>
    <t>SettlementDate</t>
  </si>
  <si>
    <t>NpvDate</t>
  </si>
  <si>
    <t>Discount Curve</t>
    <phoneticPr fontId="31" type="noConversion"/>
  </si>
  <si>
    <t>RateDates</t>
    <phoneticPr fontId="31" type="noConversion"/>
  </si>
  <si>
    <t>CurveDiscounts</t>
    <phoneticPr fontId="31" type="noConversion"/>
  </si>
  <si>
    <t>TWDIRSDF</t>
  </si>
  <si>
    <t>USDIRSDF</t>
  </si>
  <si>
    <t>A/365</t>
  </si>
  <si>
    <t>30/360</t>
  </si>
  <si>
    <t>TWDDFEng</t>
    <phoneticPr fontId="31" type="noConversion"/>
  </si>
  <si>
    <t>USDDFEng</t>
    <phoneticPr fontId="31" type="noConversion"/>
  </si>
  <si>
    <t>FixedRateLeg</t>
  </si>
  <si>
    <t>PaymentBDC</t>
  </si>
  <si>
    <t>Nominals</t>
  </si>
  <si>
    <t>ScheduleID</t>
  </si>
  <si>
    <t>Coupons</t>
  </si>
  <si>
    <t>FloatingLeg</t>
  </si>
  <si>
    <t>FixingDays</t>
  </si>
  <si>
    <t>IsInArrears</t>
  </si>
  <si>
    <t>Floors</t>
  </si>
  <si>
    <t>Gearings</t>
  </si>
  <si>
    <t>IborIndex</t>
  </si>
  <si>
    <t>Spreads</t>
  </si>
  <si>
    <t>Caps</t>
  </si>
  <si>
    <t>Schedule</t>
  </si>
  <si>
    <t>EffectiveDate</t>
  </si>
  <si>
    <t>TerminationDate</t>
  </si>
  <si>
    <t>Convention</t>
  </si>
  <si>
    <t>TermDateConv</t>
  </si>
  <si>
    <t>GenRule</t>
  </si>
  <si>
    <t>EndOfMonth</t>
  </si>
  <si>
    <t>FirstDate</t>
  </si>
  <si>
    <t>NextToLastDate</t>
  </si>
  <si>
    <t>Forward</t>
  </si>
  <si>
    <t>UnitedStates::Settlement</t>
  </si>
  <si>
    <t>Swap Engine</t>
    <phoneticPr fontId="31" type="noConversion"/>
  </si>
  <si>
    <t>AddFixing</t>
  </si>
  <si>
    <t>NPV</t>
    <phoneticPr fontId="1" type="noConversion"/>
  </si>
  <si>
    <t>SetPricingEngine</t>
    <phoneticPr fontId="1" type="noConversion"/>
  </si>
  <si>
    <t>NB</t>
    <phoneticPr fontId="1" type="noConversion"/>
  </si>
  <si>
    <t>Payer</t>
    <phoneticPr fontId="1" type="noConversion"/>
  </si>
  <si>
    <t>TWD</t>
    <phoneticPr fontId="1" type="noConversion"/>
  </si>
  <si>
    <t>LIBOR</t>
    <phoneticPr fontId="32" type="noConversion"/>
  </si>
  <si>
    <t>USD</t>
    <phoneticPr fontId="32" type="noConversion"/>
  </si>
  <si>
    <t>A/360</t>
    <phoneticPr fontId="32" type="noConversion"/>
  </si>
  <si>
    <t>USLIBOR3M</t>
    <phoneticPr fontId="32" type="noConversion"/>
  </si>
  <si>
    <t>MtM-TWD-Quantlib</t>
    <phoneticPr fontId="1" type="noConversion"/>
  </si>
  <si>
    <t>MtM-Org-Quantlib</t>
    <phoneticPr fontId="1" type="noConversion"/>
  </si>
  <si>
    <t>re-calculate</t>
    <phoneticPr fontId="32" type="noConversion"/>
  </si>
  <si>
    <t>Murex</t>
    <phoneticPr fontId="1" type="noConversion"/>
  </si>
  <si>
    <t>Forward</t>
    <phoneticPr fontId="31" type="noConversion"/>
  </si>
  <si>
    <t>VirtualPortfolio</t>
    <phoneticPr fontId="1" type="noConversion"/>
  </si>
  <si>
    <t>First Leg</t>
    <phoneticPr fontId="1" type="noConversion"/>
  </si>
  <si>
    <t>Second Leg</t>
    <phoneticPr fontId="1" type="noConversion"/>
  </si>
  <si>
    <t>qlSwapRateHelper2 - Error converting parameter 'Rate' : 'ObjectHandler error: attempt to retrieve object with unknown ID 'obj_00001'</t>
  </si>
  <si>
    <t>Simple</t>
    <phoneticPr fontId="31" type="noConversion"/>
  </si>
  <si>
    <t>Fixed Leg</t>
    <phoneticPr fontId="1" type="noConversion"/>
  </si>
  <si>
    <t>Fixed Leg</t>
    <phoneticPr fontId="1" type="noConversion"/>
  </si>
  <si>
    <t>Floating Leg</t>
    <phoneticPr fontId="1" type="noConversion"/>
  </si>
  <si>
    <t>A/365</t>
    <phoneticPr fontId="31" type="noConversion"/>
  </si>
  <si>
    <t>F</t>
    <phoneticPr fontId="3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</si>
</sst>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76" formatCode="_(* #,##0.00_);_(* \(#,##0.00\);_(* &quot;-&quot;??_);_(@_)"/>
    <numFmt numFmtId="177" formatCode="_-[$€-2]* #,##0.00_-;\-[$€-2]* #,##0.00_-;_-[$€-2]* &quot;-&quot;??_-"/>
    <numFmt numFmtId="178" formatCode="0.0000_ "/>
    <numFmt numFmtId="179" formatCode="0.0000%"/>
    <numFmt numFmtId="180" formatCode="0_ "/>
    <numFmt numFmtId="181" formatCode="0_);[Red]\(0\)"/>
    <numFmt numFmtId="182" formatCode="#,##0_ ;[Red]\-#,##0\ "/>
    <numFmt numFmtId="183" formatCode="0.00000%"/>
    <numFmt numFmtId="184" formatCode="yyyymmdd"/>
    <numFmt numFmtId="185" formatCode="0.00000000_ "/>
    <numFmt numFmtId="186" formatCode="_(* #,##0_);_(* \(#,##0\);_(* &quot;-&quot;??_);_(@_)"/>
    <numFmt numFmtId="187" formatCode="0.000000"/>
    <numFmt numFmtId="188" formatCode="0.000%"/>
    <numFmt numFmtId="189" formatCode="0.00_ "/>
    <numFmt numFmtId="190" formatCode="#,##0_);[Red]\(#,##0\)"/>
  </numFmts>
  <fonts count="40" x14ac:knownFonts="1">
    <font>
      <sz val="12"/>
      <color theme="1"/>
      <name val="Calibri"/>
      <family val="2"/>
      <charset val="136"/>
    </font>
    <font>
      <sz val="9"/>
      <name val="Calibri"/>
      <family val="2"/>
      <charset val="136"/>
    </font>
    <font>
      <sz val="12"/>
      <name val="Verdana"/>
      <family val="2"/>
    </font>
    <font>
      <sz val="10"/>
      <name val="MS Sans Serif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name val="Times New Roman"/>
      <family val="1"/>
    </font>
    <font>
      <sz val="12"/>
      <color indexed="1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sz val="12"/>
      <color indexed="10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theme="1"/>
      <name val="Calibri"/>
      <family val="2"/>
      <charset val="136"/>
    </font>
    <font>
      <sz val="12"/>
      <color theme="0"/>
      <name val="Calibri"/>
      <family val="2"/>
      <charset val="136"/>
    </font>
    <font>
      <sz val="12"/>
      <color theme="0"/>
      <name val="Calibri"/>
      <family val="2"/>
    </font>
    <font>
      <b/>
      <sz val="12"/>
      <color theme="1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sz val="11"/>
      <color theme="8" tint="-0.499984740745262"/>
      <name val="Calibri"/>
      <family val="2"/>
      <charset val="136"/>
    </font>
    <font>
      <sz val="11"/>
      <color theme="8" tint="-0.499984740745262"/>
      <name val="Calibri"/>
      <family val="2"/>
    </font>
    <font>
      <b/>
      <sz val="11"/>
      <color theme="0"/>
      <name val="Calibri"/>
      <family val="2"/>
    </font>
    <font>
      <b/>
      <sz val="11"/>
      <color indexed="12"/>
      <name val="Calibri"/>
      <family val="2"/>
    </font>
    <font>
      <sz val="9"/>
      <name val="新細明體"/>
      <family val="1"/>
      <charset val="136"/>
    </font>
    <font>
      <sz val="9"/>
      <name val="新細明體"/>
      <family val="2"/>
      <charset val="136"/>
      <scheme val="minor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theme="9" tint="-0.249977111117893"/>
      <name val="Calibri"/>
      <family val="2"/>
    </font>
    <font>
      <sz val="12"/>
      <color theme="1"/>
      <name val="Calibri"/>
      <family val="2"/>
    </font>
    <font>
      <b/>
      <sz val="12"/>
      <color rgb="FFFF0000"/>
      <name val="Calibri"/>
      <family val="2"/>
    </font>
    <font>
      <sz val="11"/>
      <color rgb="FFFF0000"/>
      <name val="Calibri"/>
      <family val="2"/>
      <charset val="136"/>
    </font>
    <font>
      <b/>
      <sz val="12"/>
      <color theme="7" tint="-0.249977111117893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9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46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9">
    <xf numFmtId="0" fontId="0" fillId="0" borderId="0">
      <alignment vertical="center"/>
    </xf>
    <xf numFmtId="0" fontId="2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/>
    <xf numFmtId="0" fontId="3" fillId="0" borderId="0"/>
    <xf numFmtId="176" fontId="2" fillId="0" borderId="0" applyFon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0" fillId="11" borderId="2" applyNumberFormat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6" fillId="4" borderId="4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7" borderId="2" applyNumberFormat="0" applyAlignment="0" applyProtection="0">
      <alignment vertical="center"/>
    </xf>
    <xf numFmtId="0" fontId="18" fillId="11" borderId="8" applyNumberFormat="0" applyAlignment="0" applyProtection="0">
      <alignment vertical="center"/>
    </xf>
    <xf numFmtId="0" fontId="19" fillId="16" borderId="9" applyNumberFormat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</cellStyleXfs>
  <cellXfs count="111">
    <xf numFmtId="0" fontId="0" fillId="0" borderId="0" xfId="0">
      <alignment vertical="center"/>
    </xf>
    <xf numFmtId="182" fontId="0" fillId="0" borderId="0" xfId="0" applyNumberFormat="1">
      <alignment vertical="center"/>
    </xf>
    <xf numFmtId="182" fontId="23" fillId="22" borderId="0" xfId="0" applyNumberFormat="1" applyFont="1" applyFill="1" applyAlignment="1">
      <alignment horizontal="center" vertical="center"/>
    </xf>
    <xf numFmtId="0" fontId="25" fillId="0" borderId="0" xfId="0" applyFont="1">
      <alignment vertical="center"/>
    </xf>
    <xf numFmtId="0" fontId="25" fillId="0" borderId="0" xfId="0" applyFont="1" applyAlignment="1">
      <alignment horizontal="center" vertical="center"/>
    </xf>
    <xf numFmtId="182" fontId="24" fillId="20" borderId="0" xfId="0" applyNumberFormat="1" applyFont="1" applyFill="1">
      <alignment vertical="center"/>
    </xf>
    <xf numFmtId="0" fontId="27" fillId="20" borderId="0" xfId="0" applyFont="1" applyFill="1" applyAlignment="1">
      <alignment horizontal="right" vertical="center"/>
    </xf>
    <xf numFmtId="180" fontId="22" fillId="18" borderId="0" xfId="0" applyNumberFormat="1" applyFont="1" applyFill="1" applyAlignment="1">
      <alignment horizontal="right" vertical="center"/>
    </xf>
    <xf numFmtId="176" fontId="23" fillId="18" borderId="0" xfId="47" applyFont="1" applyFill="1" applyAlignment="1">
      <alignment horizontal="right" vertical="center"/>
    </xf>
    <xf numFmtId="0" fontId="23" fillId="18" borderId="0" xfId="0" applyFont="1" applyFill="1" applyAlignment="1">
      <alignment horizontal="right" vertical="center"/>
    </xf>
    <xf numFmtId="49" fontId="23" fillId="18" borderId="0" xfId="0" applyNumberFormat="1" applyFont="1" applyFill="1" applyAlignment="1">
      <alignment horizontal="right" vertical="center"/>
    </xf>
    <xf numFmtId="180" fontId="27" fillId="20" borderId="0" xfId="0" applyNumberFormat="1" applyFont="1" applyFill="1" applyAlignment="1">
      <alignment horizontal="right" vertical="center"/>
    </xf>
    <xf numFmtId="184" fontId="27" fillId="20" borderId="0" xfId="0" applyNumberFormat="1" applyFont="1" applyFill="1" applyAlignment="1">
      <alignment horizontal="right" vertical="center"/>
    </xf>
    <xf numFmtId="180" fontId="27" fillId="0" borderId="0" xfId="0" applyNumberFormat="1" applyFont="1" applyAlignment="1">
      <alignment horizontal="right" vertical="center"/>
    </xf>
    <xf numFmtId="0" fontId="27" fillId="0" borderId="0" xfId="0" applyFont="1" applyAlignment="1">
      <alignment horizontal="right" vertical="center"/>
    </xf>
    <xf numFmtId="49" fontId="28" fillId="0" borderId="0" xfId="0" applyNumberFormat="1" applyFont="1" applyAlignment="1">
      <alignment horizontal="right" vertical="center"/>
    </xf>
    <xf numFmtId="176" fontId="28" fillId="0" borderId="0" xfId="47" applyFont="1" applyAlignment="1">
      <alignment horizontal="right" vertical="center"/>
    </xf>
    <xf numFmtId="0" fontId="30" fillId="0" borderId="0" xfId="0" applyFont="1" applyBorder="1">
      <alignment vertical="center"/>
    </xf>
    <xf numFmtId="0" fontId="30" fillId="0" borderId="0" xfId="0" applyFont="1" applyFill="1" applyBorder="1" applyAlignment="1">
      <alignment horizontal="left" vertical="center"/>
    </xf>
    <xf numFmtId="0" fontId="30" fillId="0" borderId="0" xfId="0" applyFont="1" applyBorder="1" applyAlignment="1">
      <alignment horizontal="left" vertical="center"/>
    </xf>
    <xf numFmtId="14" fontId="25" fillId="0" borderId="0" xfId="0" applyNumberFormat="1" applyFont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25" fillId="24" borderId="0" xfId="0" applyFont="1" applyFill="1" applyAlignment="1">
      <alignment horizontal="left" vertical="center"/>
    </xf>
    <xf numFmtId="181" fontId="25" fillId="24" borderId="0" xfId="0" applyNumberFormat="1" applyFont="1" applyFill="1" applyAlignment="1">
      <alignment horizontal="left" vertical="center"/>
    </xf>
    <xf numFmtId="0" fontId="25" fillId="24" borderId="0" xfId="0" applyFont="1" applyFill="1">
      <alignment vertical="center"/>
    </xf>
    <xf numFmtId="0" fontId="26" fillId="25" borderId="0" xfId="0" applyFont="1" applyFill="1">
      <alignment vertical="center"/>
    </xf>
    <xf numFmtId="0" fontId="33" fillId="0" borderId="0" xfId="0" applyFont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14" fontId="25" fillId="0" borderId="0" xfId="0" applyNumberFormat="1" applyFont="1" applyAlignment="1">
      <alignment horizontal="left" vertical="center"/>
    </xf>
    <xf numFmtId="0" fontId="33" fillId="0" borderId="0" xfId="0" applyFont="1" applyBorder="1" applyAlignment="1">
      <alignment horizontal="center" vertical="center"/>
    </xf>
    <xf numFmtId="183" fontId="25" fillId="0" borderId="0" xfId="48" applyNumberFormat="1" applyFont="1">
      <alignment vertical="center"/>
    </xf>
    <xf numFmtId="0" fontId="34" fillId="0" borderId="0" xfId="0" applyFont="1">
      <alignment vertical="center"/>
    </xf>
    <xf numFmtId="0" fontId="30" fillId="19" borderId="0" xfId="0" applyFont="1" applyFill="1" applyBorder="1" applyAlignment="1">
      <alignment horizontal="center" vertical="center"/>
    </xf>
    <xf numFmtId="0" fontId="25" fillId="24" borderId="0" xfId="0" applyFont="1" applyFill="1" applyAlignment="1">
      <alignment horizontal="center" vertical="center"/>
    </xf>
    <xf numFmtId="181" fontId="25" fillId="24" borderId="0" xfId="0" applyNumberFormat="1" applyFont="1" applyFill="1" applyAlignment="1">
      <alignment horizontal="center" vertical="center"/>
    </xf>
    <xf numFmtId="0" fontId="35" fillId="0" borderId="0" xfId="0" applyFont="1">
      <alignment vertical="center"/>
    </xf>
    <xf numFmtId="0" fontId="29" fillId="23" borderId="10" xfId="0" applyFont="1" applyFill="1" applyBorder="1" applyAlignment="1">
      <alignment horizontal="center" vertical="center"/>
    </xf>
    <xf numFmtId="0" fontId="29" fillId="23" borderId="14" xfId="0" applyFont="1" applyFill="1" applyBorder="1" applyAlignment="1">
      <alignment horizontal="center" vertical="center"/>
    </xf>
    <xf numFmtId="0" fontId="29" fillId="23" borderId="11" xfId="0" applyFont="1" applyFill="1" applyBorder="1" applyAlignment="1">
      <alignment horizontal="center" vertical="center"/>
    </xf>
    <xf numFmtId="14" fontId="25" fillId="21" borderId="0" xfId="0" applyNumberFormat="1" applyFont="1" applyFill="1" applyBorder="1">
      <alignment vertical="center"/>
    </xf>
    <xf numFmtId="183" fontId="25" fillId="21" borderId="0" xfId="48" applyNumberFormat="1" applyFont="1" applyFill="1" applyBorder="1">
      <alignment vertical="center"/>
    </xf>
    <xf numFmtId="14" fontId="25" fillId="21" borderId="15" xfId="0" applyNumberFormat="1" applyFont="1" applyFill="1" applyBorder="1">
      <alignment vertical="center"/>
    </xf>
    <xf numFmtId="183" fontId="25" fillId="21" borderId="15" xfId="48" applyNumberFormat="1" applyFont="1" applyFill="1" applyBorder="1">
      <alignment vertical="center"/>
    </xf>
    <xf numFmtId="0" fontId="24" fillId="0" borderId="0" xfId="0" applyFont="1">
      <alignment vertical="center"/>
    </xf>
    <xf numFmtId="0" fontId="34" fillId="0" borderId="0" xfId="0" applyFont="1" applyAlignment="1">
      <alignment horizontal="center" vertical="center"/>
    </xf>
    <xf numFmtId="0" fontId="25" fillId="0" borderId="16" xfId="0" applyFont="1" applyBorder="1">
      <alignment vertical="center"/>
    </xf>
    <xf numFmtId="0" fontId="25" fillId="0" borderId="12" xfId="0" applyFont="1" applyBorder="1">
      <alignment vertical="center"/>
    </xf>
    <xf numFmtId="0" fontId="33" fillId="0" borderId="0" xfId="0" applyFont="1" applyAlignment="1">
      <alignment horizontal="center" vertical="center"/>
    </xf>
    <xf numFmtId="0" fontId="25" fillId="0" borderId="18" xfId="0" applyFont="1" applyBorder="1">
      <alignment vertical="center"/>
    </xf>
    <xf numFmtId="0" fontId="30" fillId="0" borderId="19" xfId="0" applyFont="1" applyBorder="1" applyAlignment="1">
      <alignment horizontal="left" vertical="center"/>
    </xf>
    <xf numFmtId="0" fontId="30" fillId="0" borderId="20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6" xfId="0" applyFont="1" applyBorder="1" applyAlignment="1">
      <alignment horizontal="left" vertical="center"/>
    </xf>
    <xf numFmtId="0" fontId="30" fillId="0" borderId="12" xfId="0" applyFont="1" applyBorder="1" applyAlignment="1">
      <alignment horizontal="left" vertical="center"/>
    </xf>
    <xf numFmtId="0" fontId="25" fillId="24" borderId="0" xfId="0" applyFont="1" applyFill="1" applyBorder="1" applyAlignment="1">
      <alignment horizontal="left" vertical="center"/>
    </xf>
    <xf numFmtId="0" fontId="25" fillId="24" borderId="17" xfId="0" applyFont="1" applyFill="1" applyBorder="1" applyAlignment="1">
      <alignment horizontal="left" vertical="center"/>
    </xf>
    <xf numFmtId="0" fontId="25" fillId="24" borderId="15" xfId="0" applyFont="1" applyFill="1" applyBorder="1" applyAlignment="1">
      <alignment horizontal="left" vertical="center"/>
    </xf>
    <xf numFmtId="0" fontId="25" fillId="24" borderId="13" xfId="0" applyFont="1" applyFill="1" applyBorder="1" applyAlignment="1">
      <alignment horizontal="left" vertical="center"/>
    </xf>
    <xf numFmtId="0" fontId="36" fillId="0" borderId="0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3" fillId="0" borderId="0" xfId="0" applyFont="1" applyBorder="1">
      <alignment vertical="center"/>
    </xf>
    <xf numFmtId="0" fontId="33" fillId="0" borderId="17" xfId="0" applyFont="1" applyBorder="1">
      <alignment vertical="center"/>
    </xf>
    <xf numFmtId="0" fontId="25" fillId="0" borderId="0" xfId="0" applyFont="1" applyBorder="1">
      <alignment vertical="center"/>
    </xf>
    <xf numFmtId="0" fontId="25" fillId="0" borderId="17" xfId="0" applyFont="1" applyBorder="1">
      <alignment vertical="center"/>
    </xf>
    <xf numFmtId="0" fontId="33" fillId="0" borderId="14" xfId="0" applyFont="1" applyBorder="1">
      <alignment vertical="center"/>
    </xf>
    <xf numFmtId="0" fontId="33" fillId="0" borderId="11" xfId="0" applyFont="1" applyBorder="1">
      <alignment vertical="center"/>
    </xf>
    <xf numFmtId="0" fontId="25" fillId="26" borderId="0" xfId="0" applyFont="1" applyFill="1" applyBorder="1">
      <alignment vertical="center"/>
    </xf>
    <xf numFmtId="0" fontId="25" fillId="26" borderId="17" xfId="0" applyFont="1" applyFill="1" applyBorder="1">
      <alignment vertical="center"/>
    </xf>
    <xf numFmtId="0" fontId="33" fillId="0" borderId="21" xfId="0" applyFont="1" applyBorder="1" applyAlignment="1">
      <alignment horizontal="left" vertical="center"/>
    </xf>
    <xf numFmtId="0" fontId="25" fillId="0" borderId="22" xfId="0" applyFont="1" applyBorder="1" applyAlignment="1">
      <alignment horizontal="center" vertical="center"/>
    </xf>
    <xf numFmtId="0" fontId="33" fillId="0" borderId="22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33" fillId="0" borderId="21" xfId="0" applyFont="1" applyBorder="1" applyAlignment="1">
      <alignment horizontal="center" vertical="center"/>
    </xf>
    <xf numFmtId="178" fontId="27" fillId="20" borderId="0" xfId="0" applyNumberFormat="1" applyFont="1" applyFill="1" applyAlignment="1">
      <alignment horizontal="right" vertical="center"/>
    </xf>
    <xf numFmtId="14" fontId="27" fillId="20" borderId="0" xfId="0" applyNumberFormat="1" applyFont="1" applyFill="1" applyAlignment="1">
      <alignment horizontal="right" vertical="center"/>
    </xf>
    <xf numFmtId="180" fontId="27" fillId="20" borderId="0" xfId="0" applyNumberFormat="1" applyFont="1" applyFill="1" applyAlignment="1">
      <alignment horizontal="center" vertical="center"/>
    </xf>
    <xf numFmtId="0" fontId="27" fillId="20" borderId="0" xfId="0" applyFont="1" applyFill="1" applyAlignment="1">
      <alignment horizontal="center" vertical="center"/>
    </xf>
    <xf numFmtId="180" fontId="27" fillId="20" borderId="0" xfId="0" applyNumberFormat="1" applyFont="1" applyFill="1" applyAlignment="1">
      <alignment horizontal="left" vertical="center"/>
    </xf>
    <xf numFmtId="0" fontId="37" fillId="0" borderId="0" xfId="0" applyFont="1">
      <alignment vertical="center"/>
    </xf>
    <xf numFmtId="180" fontId="38" fillId="20" borderId="0" xfId="0" applyNumberFormat="1" applyFont="1" applyFill="1" applyAlignment="1">
      <alignment horizontal="right" vertical="center"/>
    </xf>
    <xf numFmtId="0" fontId="33" fillId="19" borderId="0" xfId="0" applyFont="1" applyFill="1" applyAlignment="1">
      <alignment horizontal="right" vertical="center"/>
    </xf>
    <xf numFmtId="180" fontId="33" fillId="20" borderId="0" xfId="0" applyNumberFormat="1" applyFont="1" applyFill="1" applyAlignment="1">
      <alignment horizontal="left" vertical="center"/>
    </xf>
    <xf numFmtId="179" fontId="27" fillId="20" borderId="0" xfId="48" applyNumberFormat="1" applyFont="1" applyFill="1" applyAlignment="1">
      <alignment horizontal="right" vertical="center"/>
    </xf>
    <xf numFmtId="0" fontId="24" fillId="0" borderId="0" xfId="0" applyFon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22" fillId="18" borderId="0" xfId="0" applyNumberFormat="1" applyFont="1" applyFill="1" applyAlignment="1">
      <alignment horizontal="center" vertical="center"/>
    </xf>
    <xf numFmtId="180" fontId="33" fillId="20" borderId="0" xfId="0" applyNumberFormat="1" applyFont="1" applyFill="1" applyAlignment="1">
      <alignment horizontal="center" vertical="center"/>
    </xf>
    <xf numFmtId="180" fontId="27" fillId="27" borderId="0" xfId="0" applyNumberFormat="1" applyFont="1" applyFill="1" applyAlignment="1">
      <alignment horizontal="center" vertical="center"/>
    </xf>
    <xf numFmtId="180" fontId="27" fillId="27" borderId="0" xfId="0" applyNumberFormat="1" applyFont="1" applyFill="1" applyAlignment="1">
      <alignment horizontal="right" vertical="center"/>
    </xf>
    <xf numFmtId="180" fontId="33" fillId="27" borderId="0" xfId="0" applyNumberFormat="1" applyFont="1" applyFill="1" applyAlignment="1">
      <alignment horizontal="center" vertical="center"/>
    </xf>
    <xf numFmtId="180" fontId="33" fillId="27" borderId="0" xfId="0" applyNumberFormat="1" applyFont="1" applyFill="1" applyAlignment="1">
      <alignment horizontal="right" vertical="center"/>
    </xf>
    <xf numFmtId="14" fontId="27" fillId="27" borderId="0" xfId="0" applyNumberFormat="1" applyFont="1" applyFill="1" applyAlignment="1">
      <alignment horizontal="right" vertical="center"/>
    </xf>
    <xf numFmtId="179" fontId="27" fillId="27" borderId="0" xfId="48" applyNumberFormat="1" applyFont="1" applyFill="1" applyAlignment="1">
      <alignment horizontal="right" vertical="center"/>
    </xf>
    <xf numFmtId="187" fontId="25" fillId="0" borderId="0" xfId="0" applyNumberFormat="1" applyFont="1">
      <alignment vertical="center"/>
    </xf>
    <xf numFmtId="185" fontId="25" fillId="21" borderId="0" xfId="48" applyNumberFormat="1" applyFont="1" applyFill="1" applyBorder="1">
      <alignment vertical="center"/>
    </xf>
    <xf numFmtId="183" fontId="25" fillId="21" borderId="17" xfId="48" applyNumberFormat="1" applyFont="1" applyFill="1" applyBorder="1">
      <alignment vertical="center"/>
    </xf>
    <xf numFmtId="185" fontId="25" fillId="21" borderId="15" xfId="48" applyNumberFormat="1" applyFont="1" applyFill="1" applyBorder="1">
      <alignment vertical="center"/>
    </xf>
    <xf numFmtId="183" fontId="25" fillId="21" borderId="13" xfId="48" applyNumberFormat="1" applyFont="1" applyFill="1" applyBorder="1">
      <alignment vertical="center"/>
    </xf>
    <xf numFmtId="186" fontId="27" fillId="20" borderId="0" xfId="47" applyNumberFormat="1" applyFont="1" applyFill="1" applyAlignment="1">
      <alignment horizontal="right" vertical="center"/>
    </xf>
    <xf numFmtId="14" fontId="27" fillId="0" borderId="0" xfId="0" applyNumberFormat="1" applyFont="1" applyAlignment="1">
      <alignment horizontal="right" vertical="center"/>
    </xf>
    <xf numFmtId="179" fontId="28" fillId="0" borderId="0" xfId="48" applyNumberFormat="1" applyFont="1" applyAlignment="1">
      <alignment horizontal="right" vertical="center"/>
    </xf>
    <xf numFmtId="186" fontId="27" fillId="20" borderId="0" xfId="0" applyNumberFormat="1" applyFont="1" applyFill="1" applyAlignment="1">
      <alignment horizontal="right" vertical="center"/>
    </xf>
    <xf numFmtId="188" fontId="27" fillId="20" borderId="0" xfId="48" applyNumberFormat="1" applyFont="1" applyFill="1" applyAlignment="1">
      <alignment horizontal="right" vertical="center"/>
    </xf>
    <xf numFmtId="189" fontId="27" fillId="20" borderId="0" xfId="0" applyNumberFormat="1" applyFont="1" applyFill="1" applyAlignment="1">
      <alignment horizontal="right" vertical="center"/>
    </xf>
    <xf numFmtId="190" fontId="27" fillId="0" borderId="0" xfId="0" applyNumberFormat="1" applyFont="1" applyAlignment="1">
      <alignment horizontal="right" vertical="center"/>
    </xf>
    <xf numFmtId="179" fontId="33" fillId="0" borderId="0" xfId="48" applyNumberFormat="1" applyFont="1" applyAlignment="1">
      <alignment horizontal="right" vertical="center"/>
    </xf>
    <xf numFmtId="182" fontId="39" fillId="19" borderId="0" xfId="47" applyNumberFormat="1" applyFont="1" applyFill="1" applyAlignment="1">
      <alignment horizontal="center" vertical="center"/>
    </xf>
    <xf numFmtId="180" fontId="38" fillId="0" borderId="0" xfId="0" applyNumberFormat="1" applyFont="1" applyAlignment="1">
      <alignment horizontal="right" vertical="center"/>
    </xf>
    <xf numFmtId="180" fontId="34" fillId="0" borderId="0" xfId="0" applyNumberFormat="1" applyFont="1" applyAlignment="1">
      <alignment horizontal="right" vertical="center"/>
    </xf>
    <xf numFmtId="180" fontId="38" fillId="19" borderId="0" xfId="0" applyNumberFormat="1" applyFont="1" applyFill="1" applyAlignment="1">
      <alignment horizontal="right" vertical="center"/>
    </xf>
    <xf numFmtId="186" fontId="34" fillId="19" borderId="0" xfId="47" applyNumberFormat="1" applyFont="1" applyFill="1" applyAlignment="1">
      <alignment horizontal="right" vertical="center"/>
    </xf>
  </cellXfs>
  <cellStyles count="49">
    <cellStyle name="20% - 輔色1 2" xfId="2"/>
    <cellStyle name="20% - 輔色2 2" xfId="3"/>
    <cellStyle name="20% - 輔色3 2" xfId="4"/>
    <cellStyle name="20% - 輔色4 2" xfId="5"/>
    <cellStyle name="20% - 輔色5 2" xfId="6"/>
    <cellStyle name="20% - 輔色6 2" xfId="7"/>
    <cellStyle name="40% - 輔色1 2" xfId="8"/>
    <cellStyle name="40% - 輔色2 2" xfId="9"/>
    <cellStyle name="40% - 輔色3 2" xfId="10"/>
    <cellStyle name="40% - 輔色4 2" xfId="11"/>
    <cellStyle name="40% - 輔色5 2" xfId="12"/>
    <cellStyle name="40% - 輔色6 2" xfId="13"/>
    <cellStyle name="60% - 輔色1 2" xfId="14"/>
    <cellStyle name="60% - 輔色2 2" xfId="15"/>
    <cellStyle name="60% - 輔色3 2" xfId="16"/>
    <cellStyle name="60% - 輔色4 2" xfId="17"/>
    <cellStyle name="60% - 輔色5 2" xfId="18"/>
    <cellStyle name="60% - 輔色6 2" xfId="19"/>
    <cellStyle name="Euro" xfId="20"/>
    <cellStyle name="Normal_aaSwpi" xfId="21"/>
    <cellStyle name="一般" xfId="0" builtinId="0"/>
    <cellStyle name="一般 2" xfId="1"/>
    <cellStyle name="千分位" xfId="47" builtinId="3"/>
    <cellStyle name="千分位 2" xfId="22"/>
    <cellStyle name="中等 2" xfId="23"/>
    <cellStyle name="合計 2" xfId="24"/>
    <cellStyle name="好 2" xfId="25"/>
    <cellStyle name="百分比" xfId="48" builtinId="5"/>
    <cellStyle name="百分比 2" xfId="26"/>
    <cellStyle name="計算方式 2" xfId="27"/>
    <cellStyle name="連結的儲存格 2" xfId="28"/>
    <cellStyle name="備註 2" xfId="29"/>
    <cellStyle name="說明文字 2" xfId="30"/>
    <cellStyle name="輔色1 2" xfId="31"/>
    <cellStyle name="輔色2 2" xfId="32"/>
    <cellStyle name="輔色3 2" xfId="33"/>
    <cellStyle name="輔色4 2" xfId="34"/>
    <cellStyle name="輔色5 2" xfId="35"/>
    <cellStyle name="輔色6 2" xfId="36"/>
    <cellStyle name="標題 1 2" xfId="38"/>
    <cellStyle name="標題 2 2" xfId="39"/>
    <cellStyle name="標題 3 2" xfId="40"/>
    <cellStyle name="標題 4 2" xfId="41"/>
    <cellStyle name="標題 5" xfId="37"/>
    <cellStyle name="輸入 2" xfId="42"/>
    <cellStyle name="輸出 2" xfId="43"/>
    <cellStyle name="檢查儲存格 2" xfId="44"/>
    <cellStyle name="壞 2" xfId="45"/>
    <cellStyle name="警告文字 2" xfId="4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220588</xdr:colOff>
      <xdr:row>6</xdr:row>
      <xdr:rowOff>63500</xdr:rowOff>
    </xdr:from>
    <xdr:to>
      <xdr:col>11</xdr:col>
      <xdr:colOff>442713</xdr:colOff>
      <xdr:row>24</xdr:row>
      <xdr:rowOff>128297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74671" y="1270000"/>
          <a:ext cx="8032625" cy="3684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6"/>
  </sheetPr>
  <dimension ref="A1:AB123"/>
  <sheetViews>
    <sheetView zoomScaleNormal="100" workbookViewId="0">
      <selection activeCell="B68" sqref="B68"/>
    </sheetView>
  </sheetViews>
  <sheetFormatPr defaultColWidth="9" defaultRowHeight="15" x14ac:dyDescent="0.25"/>
  <cols>
    <col min="1" max="2" width="20.375" style="3" customWidth="1"/>
    <col min="3" max="3" width="14" style="3" customWidth="1"/>
    <col min="4" max="4" width="15.875" style="3" customWidth="1"/>
    <col min="5" max="5" width="17.25" style="3" customWidth="1"/>
    <col min="6" max="6" width="15.375" style="3" customWidth="1"/>
    <col min="7" max="9" width="15" style="3" customWidth="1"/>
    <col min="10" max="10" width="15.375" style="27" customWidth="1"/>
    <col min="11" max="11" width="9.5" style="3" customWidth="1"/>
    <col min="12" max="14" width="15.25" style="3" customWidth="1"/>
    <col min="15" max="17" width="9.625" style="4" customWidth="1"/>
    <col min="18" max="18" width="10.875" style="3" customWidth="1"/>
    <col min="19" max="26" width="15.25" style="3" customWidth="1"/>
    <col min="27" max="16384" width="9" style="3"/>
  </cols>
  <sheetData>
    <row r="1" spans="1:20" ht="15.75" thickBot="1" x14ac:dyDescent="0.3">
      <c r="A1" s="17" t="s">
        <v>38</v>
      </c>
      <c r="B1" s="20">
        <v>44649</v>
      </c>
      <c r="C1" s="20" t="s">
        <v>89</v>
      </c>
      <c r="G1" s="30"/>
      <c r="H1" s="30"/>
    </row>
    <row r="2" spans="1:20" x14ac:dyDescent="0.25">
      <c r="A2" s="18" t="s">
        <v>39</v>
      </c>
      <c r="B2" s="3" t="b">
        <f>_xll.qlSettingsSetEvaluationDate(B1,B1)</f>
        <v>1</v>
      </c>
      <c r="D2" s="36" t="s">
        <v>54</v>
      </c>
      <c r="E2" s="37" t="s">
        <v>55</v>
      </c>
      <c r="F2" s="37" t="s">
        <v>56</v>
      </c>
      <c r="G2" s="37" t="s">
        <v>57</v>
      </c>
      <c r="H2" s="38" t="s">
        <v>168</v>
      </c>
      <c r="I2" s="21" t="s">
        <v>58</v>
      </c>
      <c r="J2" s="21" t="s">
        <v>59</v>
      </c>
      <c r="K2" s="21" t="s">
        <v>90</v>
      </c>
      <c r="L2" s="21" t="s">
        <v>60</v>
      </c>
      <c r="M2" s="21" t="s">
        <v>61</v>
      </c>
      <c r="N2" s="21" t="s">
        <v>44</v>
      </c>
      <c r="O2" s="21" t="s">
        <v>62</v>
      </c>
      <c r="P2" s="21" t="s">
        <v>52</v>
      </c>
      <c r="Q2" s="21" t="s">
        <v>41</v>
      </c>
      <c r="R2" s="21" t="s">
        <v>53</v>
      </c>
      <c r="S2" s="21" t="s">
        <v>61</v>
      </c>
      <c r="T2" s="21"/>
    </row>
    <row r="3" spans="1:20" x14ac:dyDescent="0.25">
      <c r="A3" s="17" t="s">
        <v>40</v>
      </c>
      <c r="B3" s="20">
        <f>_xll.qlSettingsEvaluationDate(B1)</f>
        <v>44649</v>
      </c>
      <c r="C3" s="20"/>
      <c r="D3" s="45">
        <f>E3-$B$1</f>
        <v>0</v>
      </c>
      <c r="E3" s="39">
        <f t="array" ref="E3:E15">_xll.qlPiecewiseYieldCurveDates(B26)</f>
        <v>44649</v>
      </c>
      <c r="F3" s="40">
        <f t="array" ref="F3:F15">_xll.qlYieldTSZeroRate(B43,E3:E15,B45,B46,B47,B48,B49)</f>
        <v>3.744266263705498E-3</v>
      </c>
      <c r="G3" s="94">
        <f t="array" ref="G3:G15">_xll.qlYieldTSDiscount(B26,E3:E15,TRUE,B4)</f>
        <v>1</v>
      </c>
      <c r="H3" s="95">
        <f>_xll.qlYieldTSForwardRate($B$26,E3,E3,$B$45,$B$46,$B$47,$B$48,$B$49)</f>
        <v>3.744266263705498E-3</v>
      </c>
      <c r="I3" s="3" t="str">
        <f>J20</f>
        <v>obj_00004#0004</v>
      </c>
      <c r="J3" s="44" t="str">
        <f>_xll.qlSimpleQuote(,M3,O3,P3,Q3,R3)</f>
        <v>obj_00003#0002</v>
      </c>
      <c r="M3" s="3">
        <f>S3/100</f>
        <v>3.7444000000000002E-3</v>
      </c>
      <c r="N3" s="4" t="s">
        <v>30</v>
      </c>
      <c r="O3" s="4">
        <v>0.01</v>
      </c>
      <c r="P3" s="33" t="b">
        <v>0</v>
      </c>
      <c r="Q3" s="34">
        <f>$B$4</f>
        <v>1</v>
      </c>
      <c r="R3" s="33" t="b">
        <v>1</v>
      </c>
      <c r="S3" s="25">
        <v>0.37444</v>
      </c>
      <c r="T3" s="25">
        <v>0.37444</v>
      </c>
    </row>
    <row r="4" spans="1:20" x14ac:dyDescent="0.25">
      <c r="A4" s="19" t="s">
        <v>166</v>
      </c>
      <c r="B4" s="4">
        <v>1</v>
      </c>
      <c r="C4" s="4" t="s">
        <v>30</v>
      </c>
      <c r="D4" s="45">
        <f t="shared" ref="D4:D15" si="0">E4-$B$1</f>
        <v>9</v>
      </c>
      <c r="E4" s="39">
        <v>44658</v>
      </c>
      <c r="F4" s="40">
        <v>3.7444384117553942E-3</v>
      </c>
      <c r="G4" s="94">
        <v>0.99990767990541463</v>
      </c>
      <c r="H4" s="95">
        <f>_xll.qlYieldTSForwardRate($B$26,E4,E4,$B$45,$B$46,$B$47,$B$48,$B$49)</f>
        <v>4.4104722807247754E-3</v>
      </c>
      <c r="I4" s="3" t="str">
        <f t="shared" ref="I4:I7" si="1">J21</f>
        <v>obj_00016#0003</v>
      </c>
      <c r="J4" s="44" t="str">
        <f>_xll.qlSimpleQuote(,M4,O4,P4,Q4,R4)</f>
        <v>obj_0000e#0001</v>
      </c>
      <c r="M4" s="3">
        <f t="shared" ref="M4:M14" si="2">S4/100</f>
        <v>4.9267E-3</v>
      </c>
      <c r="N4" s="4" t="s">
        <v>37</v>
      </c>
      <c r="O4" s="4">
        <v>0.01</v>
      </c>
      <c r="P4" s="33" t="b">
        <v>0</v>
      </c>
      <c r="Q4" s="34">
        <f t="shared" ref="Q4:Q14" si="3">$B$4</f>
        <v>1</v>
      </c>
      <c r="R4" s="33" t="b">
        <v>1</v>
      </c>
      <c r="S4" s="25">
        <v>0.49267</v>
      </c>
      <c r="T4" s="25">
        <v>0.49267</v>
      </c>
    </row>
    <row r="5" spans="1:20" x14ac:dyDescent="0.25">
      <c r="C5" s="4" t="s">
        <v>37</v>
      </c>
      <c r="D5" s="45">
        <f t="shared" si="0"/>
        <v>16</v>
      </c>
      <c r="E5" s="39">
        <v>44665</v>
      </c>
      <c r="F5" s="40">
        <v>4.7789889414314602E-3</v>
      </c>
      <c r="G5" s="94">
        <v>0.99979055395063776</v>
      </c>
      <c r="H5" s="95">
        <f>_xll.qlYieldTSForwardRate($B$26,E5,E5,$B$45,$B$46,$B$47,$B$48,$B$49)</f>
        <v>6.5889558542586713E-3</v>
      </c>
      <c r="I5" s="3" t="str">
        <f t="shared" si="1"/>
        <v>obj_00017#0003</v>
      </c>
      <c r="J5" s="44" t="str">
        <f>_xll.qlSimpleQuote(,M5,O5,P5,Q5,R5)</f>
        <v>obj_0000c#0001</v>
      </c>
      <c r="M5" s="3">
        <f t="shared" si="2"/>
        <v>6.3488999999999993E-3</v>
      </c>
      <c r="N5" s="4" t="s">
        <v>22</v>
      </c>
      <c r="O5" s="4">
        <v>0.01</v>
      </c>
      <c r="P5" s="33" t="b">
        <v>0</v>
      </c>
      <c r="Q5" s="34">
        <f t="shared" si="3"/>
        <v>1</v>
      </c>
      <c r="R5" s="33" t="b">
        <v>1</v>
      </c>
      <c r="S5" s="25">
        <v>0.63488999999999995</v>
      </c>
      <c r="T5" s="25">
        <v>0.63488999999999995</v>
      </c>
    </row>
    <row r="6" spans="1:20" x14ac:dyDescent="0.25">
      <c r="C6" s="4" t="s">
        <v>22</v>
      </c>
      <c r="D6" s="45">
        <f t="shared" si="0"/>
        <v>34</v>
      </c>
      <c r="E6" s="39">
        <v>44683</v>
      </c>
      <c r="F6" s="40">
        <v>6.1958110654116777E-3</v>
      </c>
      <c r="G6" s="94">
        <v>0.99942318885866566</v>
      </c>
      <c r="H6" s="95">
        <f>_xll.qlYieldTSForwardRate($B$26,E6,E6,$B$45,$B$46,$B$47,$B$48,$B$49)</f>
        <v>7.8826336058490654E-3</v>
      </c>
      <c r="I6" s="3" t="str">
        <f t="shared" si="1"/>
        <v>obj_00014#0003</v>
      </c>
      <c r="J6" s="44" t="str">
        <f>_xll.qlSimpleQuote(,M6,O6,P6,Q6,R6)</f>
        <v>obj_00011#0001</v>
      </c>
      <c r="M6" s="3">
        <f t="shared" si="2"/>
        <v>6.8989000000000003E-3</v>
      </c>
      <c r="N6" s="4" t="s">
        <v>23</v>
      </c>
      <c r="O6" s="4">
        <v>0.01</v>
      </c>
      <c r="P6" s="33" t="b">
        <v>0</v>
      </c>
      <c r="Q6" s="34">
        <f t="shared" si="3"/>
        <v>1</v>
      </c>
      <c r="R6" s="33" t="b">
        <v>1</v>
      </c>
      <c r="S6" s="25">
        <v>0.68989</v>
      </c>
      <c r="T6" s="25">
        <v>0.68989</v>
      </c>
    </row>
    <row r="7" spans="1:20" x14ac:dyDescent="0.25">
      <c r="C7" s="4" t="s">
        <v>23</v>
      </c>
      <c r="D7" s="45">
        <f t="shared" si="0"/>
        <v>63</v>
      </c>
      <c r="E7" s="39">
        <v>44712</v>
      </c>
      <c r="F7" s="40">
        <v>6.7988911438497659E-3</v>
      </c>
      <c r="G7" s="94">
        <v>0.99882786826654613</v>
      </c>
      <c r="H7" s="95">
        <f>_xll.qlYieldTSForwardRate($B$26,E7,E7,$B$45,$B$46,$B$47,$B$48,$B$49)</f>
        <v>7.8850260432083985E-3</v>
      </c>
      <c r="I7" s="3" t="str">
        <f t="shared" si="1"/>
        <v>obj_00015#0004</v>
      </c>
      <c r="J7" s="44" t="str">
        <f>_xll.qlSimpleQuote(,M7,O7,P7,Q7,R7)</f>
        <v>obj_00006#0001</v>
      </c>
      <c r="M7" s="3">
        <f t="shared" si="2"/>
        <v>7.2943999999999995E-3</v>
      </c>
      <c r="N7" s="4" t="s">
        <v>24</v>
      </c>
      <c r="O7" s="4">
        <v>0.01</v>
      </c>
      <c r="P7" s="33" t="b">
        <v>0</v>
      </c>
      <c r="Q7" s="34">
        <f t="shared" si="3"/>
        <v>1</v>
      </c>
      <c r="R7" s="33" t="b">
        <v>1</v>
      </c>
      <c r="S7" s="25">
        <v>0.72943999999999998</v>
      </c>
      <c r="T7" s="25">
        <v>0.72943999999999998</v>
      </c>
    </row>
    <row r="8" spans="1:20" x14ac:dyDescent="0.25">
      <c r="C8" s="4" t="s">
        <v>24</v>
      </c>
      <c r="D8" s="45">
        <f t="shared" si="0"/>
        <v>93</v>
      </c>
      <c r="E8" s="39">
        <v>44742</v>
      </c>
      <c r="F8" s="40">
        <v>7.2182002877086955E-3</v>
      </c>
      <c r="G8" s="94">
        <v>0.99816421841065306</v>
      </c>
      <c r="H8" s="95">
        <f>_xll.qlYieldTSForwardRate($B$26,E8,E8,$B$45,$B$46,$B$47,$B$48,$B$49)</f>
        <v>8.4587387094714472E-3</v>
      </c>
      <c r="I8" s="3" t="str">
        <f>J28</f>
        <v>obj_00013#0013</v>
      </c>
      <c r="J8" s="44" t="str">
        <f>_xll.qlSimpleQuote(,M8,O8,P8,Q8,R8)</f>
        <v>obj_00005#0003</v>
      </c>
      <c r="M8" s="3">
        <f t="shared" si="2"/>
        <v>1.0800000000000001E-2</v>
      </c>
      <c r="N8" s="4" t="s">
        <v>25</v>
      </c>
      <c r="O8" s="4">
        <v>0.01</v>
      </c>
      <c r="P8" s="33" t="b">
        <v>0</v>
      </c>
      <c r="Q8" s="34">
        <f t="shared" si="3"/>
        <v>1</v>
      </c>
      <c r="R8" s="33" t="b">
        <v>1</v>
      </c>
      <c r="S8" s="25">
        <v>1.08</v>
      </c>
      <c r="T8" s="25"/>
    </row>
    <row r="9" spans="1:20" x14ac:dyDescent="0.25">
      <c r="A9" s="3" t="s">
        <v>95</v>
      </c>
      <c r="B9" s="26" t="str">
        <f>_xll.qlIborIndex(B10,B11,B12,B13,B14,B15,B16,B17,B18,B19,B20,B21,B22)</f>
        <v>obj_00002#0002</v>
      </c>
      <c r="C9" s="4" t="s">
        <v>25</v>
      </c>
      <c r="D9" s="45">
        <f t="shared" si="0"/>
        <v>367</v>
      </c>
      <c r="E9" s="39">
        <v>45016</v>
      </c>
      <c r="F9" s="40">
        <v>1.0813319702715398E-2</v>
      </c>
      <c r="G9" s="94">
        <v>0.98924437057254189</v>
      </c>
      <c r="H9" s="95">
        <f>_xll.qlYieldTSForwardRate($B$26,E9,E9,$B$45,$B$46,$B$47,$B$48,$B$49)</f>
        <v>1.5084255142738812E-2</v>
      </c>
      <c r="I9" s="3" t="str">
        <f t="shared" ref="I9:I14" si="4">J29</f>
        <v>obj_0001c#0012</v>
      </c>
      <c r="J9" s="44" t="str">
        <f>_xll.qlSimpleQuote(,M9,O9,P9,Q9,R9)</f>
        <v>obj_00008#0006</v>
      </c>
      <c r="M9" s="3">
        <f t="shared" si="2"/>
        <v>1.46E-2</v>
      </c>
      <c r="N9" s="4" t="s">
        <v>26</v>
      </c>
      <c r="O9" s="4">
        <v>0.01</v>
      </c>
      <c r="P9" s="33" t="b">
        <v>0</v>
      </c>
      <c r="Q9" s="34">
        <f t="shared" si="3"/>
        <v>1</v>
      </c>
      <c r="R9" s="33" t="b">
        <v>1</v>
      </c>
      <c r="S9" s="25">
        <v>1.46</v>
      </c>
      <c r="T9" s="25">
        <v>1.175</v>
      </c>
    </row>
    <row r="10" spans="1:20" x14ac:dyDescent="0.25">
      <c r="A10" s="19" t="s">
        <v>42</v>
      </c>
      <c r="C10" s="4" t="s">
        <v>26</v>
      </c>
      <c r="D10" s="45">
        <f t="shared" si="0"/>
        <v>734</v>
      </c>
      <c r="E10" s="39">
        <v>45383</v>
      </c>
      <c r="F10" s="40">
        <v>1.4891002136403746E-2</v>
      </c>
      <c r="G10" s="94">
        <v>0.97093501210403277</v>
      </c>
      <c r="H10" s="95">
        <f>_xll.qlYieldTSForwardRate($B$26,E10,E10,$B$45,$B$46,$B$47,$B$48,$B$49)</f>
        <v>1.9567818601018416E-2</v>
      </c>
      <c r="I10" s="3" t="str">
        <f t="shared" si="4"/>
        <v>obj_0001b#0012</v>
      </c>
      <c r="J10" s="44" t="str">
        <f>_xll.qlSimpleQuote(,M10,O10,P10,Q10,R10)</f>
        <v>obj_0000b#0006</v>
      </c>
      <c r="M10" s="3">
        <f t="shared" si="2"/>
        <v>1.567E-2</v>
      </c>
      <c r="N10" s="4" t="s">
        <v>27</v>
      </c>
      <c r="O10" s="4">
        <v>0.01</v>
      </c>
      <c r="P10" s="33" t="b">
        <v>0</v>
      </c>
      <c r="Q10" s="34">
        <f t="shared" si="3"/>
        <v>1</v>
      </c>
      <c r="R10" s="33" t="b">
        <v>1</v>
      </c>
      <c r="S10" s="25">
        <v>1.5669999999999999</v>
      </c>
      <c r="T10" s="25">
        <v>1.5</v>
      </c>
    </row>
    <row r="11" spans="1:20" x14ac:dyDescent="0.25">
      <c r="A11" s="19" t="s">
        <v>43</v>
      </c>
      <c r="C11" s="4" t="s">
        <v>27</v>
      </c>
      <c r="D11" s="45">
        <f t="shared" si="0"/>
        <v>1098</v>
      </c>
      <c r="E11" s="39">
        <v>45747</v>
      </c>
      <c r="F11" s="40">
        <v>1.6035966766034294E-2</v>
      </c>
      <c r="G11" s="94">
        <v>0.95402026028677778</v>
      </c>
      <c r="H11" s="95">
        <f>_xll.qlYieldTSForwardRate($B$26,E11,E11,$B$45,$B$46,$B$47,$B$48,$B$49)</f>
        <v>1.6477611879395226E-2</v>
      </c>
      <c r="I11" s="3" t="str">
        <f t="shared" si="4"/>
        <v>obj_0001e#0012</v>
      </c>
      <c r="J11" s="44" t="str">
        <f>_xll.qlSimpleQuote(,M11,O11,P11,Q11,R11)</f>
        <v>obj_0000f#0006</v>
      </c>
      <c r="M11" s="3">
        <f t="shared" si="2"/>
        <v>1.525E-2</v>
      </c>
      <c r="N11" s="4" t="s">
        <v>28</v>
      </c>
      <c r="O11" s="4">
        <v>0.01</v>
      </c>
      <c r="P11" s="33" t="b">
        <v>0</v>
      </c>
      <c r="Q11" s="34">
        <f t="shared" si="3"/>
        <v>1</v>
      </c>
      <c r="R11" s="33" t="b">
        <v>1</v>
      </c>
      <c r="S11" s="25">
        <v>1.5249999999999999</v>
      </c>
      <c r="T11" s="25">
        <v>1.575</v>
      </c>
    </row>
    <row r="12" spans="1:20" x14ac:dyDescent="0.25">
      <c r="A12" s="19" t="s">
        <v>44</v>
      </c>
      <c r="B12" s="4" t="s">
        <v>24</v>
      </c>
      <c r="C12" s="4" t="s">
        <v>28</v>
      </c>
      <c r="D12" s="45">
        <f t="shared" si="0"/>
        <v>1463</v>
      </c>
      <c r="E12" s="39">
        <v>46112</v>
      </c>
      <c r="F12" s="40">
        <v>1.5701254278485947E-2</v>
      </c>
      <c r="G12" s="94">
        <v>0.94083019957494796</v>
      </c>
      <c r="H12" s="95">
        <f>_xll.qlYieldTSForwardRate($B$26,E12,E12,$B$45,$B$46,$B$47,$B$48,$B$49)</f>
        <v>1.260900529098663E-2</v>
      </c>
      <c r="I12" s="3" t="str">
        <f t="shared" si="4"/>
        <v>obj_00019#0012</v>
      </c>
      <c r="J12" s="44" t="str">
        <f>_xll.qlSimpleQuote(,M12,O12,P12,Q12,R12)</f>
        <v>obj_00010#0006</v>
      </c>
      <c r="M12" s="3">
        <f t="shared" si="2"/>
        <v>1.44E-2</v>
      </c>
      <c r="N12" s="4" t="s">
        <v>29</v>
      </c>
      <c r="O12" s="4">
        <v>0.01</v>
      </c>
      <c r="P12" s="33" t="b">
        <v>0</v>
      </c>
      <c r="Q12" s="34">
        <f t="shared" si="3"/>
        <v>1</v>
      </c>
      <c r="R12" s="33" t="b">
        <v>1</v>
      </c>
      <c r="S12" s="25">
        <v>1.44</v>
      </c>
      <c r="T12" s="25">
        <v>1.5549999999999999</v>
      </c>
    </row>
    <row r="13" spans="1:20" x14ac:dyDescent="0.25">
      <c r="A13" s="19" t="s">
        <v>45</v>
      </c>
      <c r="B13" s="4">
        <v>2</v>
      </c>
      <c r="C13" s="4" t="s">
        <v>29</v>
      </c>
      <c r="D13" s="45">
        <f t="shared" si="0"/>
        <v>1828</v>
      </c>
      <c r="E13" s="39">
        <v>46477</v>
      </c>
      <c r="F13" s="40">
        <v>1.4882063933773875E-2</v>
      </c>
      <c r="G13" s="94">
        <v>0.93067247167190514</v>
      </c>
      <c r="H13" s="95">
        <f>_xll.qlYieldTSForwardRate($B$26,E13,E13,$B$45,$B$46,$B$47,$B$48,$B$49)</f>
        <v>1.2023419451168138E-2</v>
      </c>
      <c r="I13" s="3" t="str">
        <f t="shared" si="4"/>
        <v>obj_00018#0011</v>
      </c>
      <c r="J13" s="44" t="str">
        <f>_xll.qlSimpleQuote(,M13,O13,P13,Q13,R13)</f>
        <v>obj_0000a#0006</v>
      </c>
      <c r="M13" s="3">
        <f t="shared" si="2"/>
        <v>1.4272E-2</v>
      </c>
      <c r="N13" s="4" t="s">
        <v>31</v>
      </c>
      <c r="O13" s="4">
        <v>0.01</v>
      </c>
      <c r="P13" s="33" t="b">
        <v>0</v>
      </c>
      <c r="Q13" s="34">
        <f t="shared" si="3"/>
        <v>1</v>
      </c>
      <c r="R13" s="33" t="b">
        <v>1</v>
      </c>
      <c r="S13" s="25">
        <v>1.4272</v>
      </c>
      <c r="T13" s="25">
        <v>1.5249999999999999</v>
      </c>
    </row>
    <row r="14" spans="1:20" x14ac:dyDescent="0.25">
      <c r="A14" s="19" t="s">
        <v>46</v>
      </c>
      <c r="B14" s="4" t="s">
        <v>0</v>
      </c>
      <c r="C14" s="4" t="s">
        <v>31</v>
      </c>
      <c r="D14" s="45">
        <f t="shared" si="0"/>
        <v>2561</v>
      </c>
      <c r="E14" s="39">
        <v>47210</v>
      </c>
      <c r="F14" s="40">
        <v>1.4978851477458411E-2</v>
      </c>
      <c r="G14" s="94">
        <v>0.90496418017297553</v>
      </c>
      <c r="H14" s="95">
        <f>_xll.qlYieldTSForwardRate($B$26,E14,E14,$B$45,$B$46,$B$47,$B$48,$B$49)</f>
        <v>1.3506862488465998E-2</v>
      </c>
      <c r="I14" s="3" t="str">
        <f t="shared" si="4"/>
        <v>obj_0001a#0010</v>
      </c>
      <c r="J14" s="44" t="str">
        <f>_xll.qlSimpleQuote(,M14,O14,P14,Q14,R14)</f>
        <v>obj_00007#0005</v>
      </c>
      <c r="M14" s="3">
        <f t="shared" si="2"/>
        <v>1.3849999999999999E-2</v>
      </c>
      <c r="N14" s="4" t="s">
        <v>32</v>
      </c>
      <c r="O14" s="4">
        <v>0.01</v>
      </c>
      <c r="P14" s="33" t="b">
        <v>0</v>
      </c>
      <c r="Q14" s="34">
        <f t="shared" si="3"/>
        <v>1</v>
      </c>
      <c r="R14" s="33" t="b">
        <v>1</v>
      </c>
      <c r="S14" s="25">
        <v>1.385</v>
      </c>
      <c r="T14" s="25">
        <v>1.4550000000000001</v>
      </c>
    </row>
    <row r="15" spans="1:20" ht="15.75" thickBot="1" x14ac:dyDescent="0.3">
      <c r="A15" s="19" t="s">
        <v>47</v>
      </c>
      <c r="B15" s="4" t="s">
        <v>91</v>
      </c>
      <c r="C15" s="4" t="s">
        <v>32</v>
      </c>
      <c r="D15" s="46">
        <f t="shared" si="0"/>
        <v>3655</v>
      </c>
      <c r="E15" s="41">
        <v>48304</v>
      </c>
      <c r="F15" s="42">
        <v>1.4787663998537606E-2</v>
      </c>
      <c r="G15" s="96">
        <v>0.87108907795034896</v>
      </c>
      <c r="H15" s="97">
        <f>_xll.qlYieldTSForwardRate($B$26,E15,E15,$B$45,$B$46,$B$47,$B$48,$B$49)</f>
        <v>1.2278619589967121E-2</v>
      </c>
      <c r="J15" s="44"/>
      <c r="N15" s="4"/>
      <c r="P15" s="33"/>
      <c r="Q15" s="34"/>
      <c r="R15" s="33"/>
      <c r="S15" s="25"/>
      <c r="T15" s="25"/>
    </row>
    <row r="16" spans="1:20" x14ac:dyDescent="0.25">
      <c r="A16" s="19" t="s">
        <v>48</v>
      </c>
      <c r="B16" s="4" t="s">
        <v>97</v>
      </c>
      <c r="C16" s="4"/>
      <c r="J16" s="44"/>
      <c r="N16" s="4"/>
      <c r="P16" s="33"/>
      <c r="Q16" s="34"/>
      <c r="R16" s="33"/>
      <c r="S16" s="25"/>
      <c r="T16" s="25"/>
    </row>
    <row r="17" spans="1:28" x14ac:dyDescent="0.25">
      <c r="A17" s="19" t="s">
        <v>49</v>
      </c>
      <c r="B17" s="4" t="b">
        <v>0</v>
      </c>
      <c r="C17" s="4"/>
    </row>
    <row r="18" spans="1:28" x14ac:dyDescent="0.25">
      <c r="A18" s="19" t="s">
        <v>50</v>
      </c>
      <c r="B18" s="4" t="s">
        <v>93</v>
      </c>
      <c r="C18" s="28"/>
    </row>
    <row r="19" spans="1:28" x14ac:dyDescent="0.25">
      <c r="A19" s="19" t="s">
        <v>51</v>
      </c>
      <c r="B19" s="4"/>
      <c r="C19" s="28"/>
      <c r="J19" s="21" t="s">
        <v>64</v>
      </c>
      <c r="K19" s="21" t="s">
        <v>90</v>
      </c>
      <c r="L19" s="21" t="s">
        <v>42</v>
      </c>
      <c r="M19" s="21" t="s">
        <v>65</v>
      </c>
      <c r="N19" s="21" t="s">
        <v>44</v>
      </c>
      <c r="O19" s="21" t="s">
        <v>45</v>
      </c>
      <c r="P19" s="21" t="s">
        <v>47</v>
      </c>
      <c r="Q19" s="21" t="s">
        <v>66</v>
      </c>
      <c r="R19" s="21" t="s">
        <v>63</v>
      </c>
      <c r="S19" s="21" t="s">
        <v>50</v>
      </c>
      <c r="T19" s="21" t="s">
        <v>52</v>
      </c>
      <c r="U19" s="21" t="s">
        <v>41</v>
      </c>
      <c r="V19" s="21" t="s">
        <v>53</v>
      </c>
    </row>
    <row r="20" spans="1:28" x14ac:dyDescent="0.25">
      <c r="A20" s="19" t="s">
        <v>52</v>
      </c>
      <c r="B20" s="4" t="b">
        <v>0</v>
      </c>
      <c r="J20" s="31" t="str">
        <f>_xll.qlDepositRateHelper2(L20,M20,N20,O20,P20,Q20,R20,S20,T20,U20,V20)</f>
        <v>obj_00004#0004</v>
      </c>
      <c r="M20" s="31" t="str">
        <f>J3</f>
        <v>obj_00003#0002</v>
      </c>
      <c r="N20" s="3" t="s">
        <v>30</v>
      </c>
      <c r="O20" s="4">
        <v>2</v>
      </c>
      <c r="P20" s="4" t="s">
        <v>91</v>
      </c>
      <c r="Q20" s="4" t="s">
        <v>92</v>
      </c>
      <c r="R20" s="3" t="b">
        <v>0</v>
      </c>
      <c r="S20" s="3" t="s">
        <v>177</v>
      </c>
      <c r="T20" s="22" t="b">
        <v>0</v>
      </c>
      <c r="U20" s="34">
        <f t="shared" ref="U20:U24" si="5">$B$4</f>
        <v>1</v>
      </c>
      <c r="V20" s="24" t="b">
        <v>1</v>
      </c>
    </row>
    <row r="21" spans="1:28" x14ac:dyDescent="0.25">
      <c r="A21" s="19" t="s">
        <v>41</v>
      </c>
      <c r="B21" s="23">
        <f>B4</f>
        <v>1</v>
      </c>
      <c r="F21" s="93"/>
      <c r="G21" s="93"/>
      <c r="H21" s="93"/>
      <c r="J21" s="31" t="str">
        <f>_xll.qlDepositRateHelper2(L21,M21,N21,O21,P21,Q21,R21,S21,T21,U21,V21)</f>
        <v>obj_00016#0003</v>
      </c>
      <c r="M21" s="31" t="str">
        <f t="shared" ref="M21:M23" si="6">J4</f>
        <v>obj_0000e#0001</v>
      </c>
      <c r="N21" s="3" t="s">
        <v>37</v>
      </c>
      <c r="O21" s="4">
        <v>2</v>
      </c>
      <c r="P21" s="4" t="s">
        <v>91</v>
      </c>
      <c r="Q21" s="4" t="s">
        <v>92</v>
      </c>
      <c r="R21" s="3" t="b">
        <v>0</v>
      </c>
      <c r="S21" s="3" t="s">
        <v>177</v>
      </c>
      <c r="T21" s="22" t="b">
        <v>0</v>
      </c>
      <c r="U21" s="34">
        <f t="shared" si="5"/>
        <v>1</v>
      </c>
      <c r="V21" s="24" t="b">
        <v>1</v>
      </c>
    </row>
    <row r="22" spans="1:28" x14ac:dyDescent="0.25">
      <c r="A22" s="19" t="s">
        <v>53</v>
      </c>
      <c r="B22" s="4" t="b">
        <v>1</v>
      </c>
      <c r="F22" s="93"/>
      <c r="G22" s="93"/>
      <c r="H22" s="93"/>
      <c r="J22" s="31" t="str">
        <f>_xll.qlDepositRateHelper2(L22,M22,N22,O22,P22,Q22,R22,S22,T22,U22,V22)</f>
        <v>obj_00017#0003</v>
      </c>
      <c r="M22" s="31" t="str">
        <f t="shared" si="6"/>
        <v>obj_0000c#0001</v>
      </c>
      <c r="N22" s="3" t="s">
        <v>22</v>
      </c>
      <c r="O22" s="4">
        <v>2</v>
      </c>
      <c r="P22" s="4" t="s">
        <v>91</v>
      </c>
      <c r="Q22" s="4" t="s">
        <v>92</v>
      </c>
      <c r="R22" s="3" t="b">
        <v>0</v>
      </c>
      <c r="S22" s="3" t="s">
        <v>125</v>
      </c>
      <c r="T22" s="22" t="b">
        <v>0</v>
      </c>
      <c r="U22" s="34">
        <f t="shared" si="5"/>
        <v>1</v>
      </c>
      <c r="V22" s="24" t="b">
        <v>1</v>
      </c>
    </row>
    <row r="23" spans="1:28" x14ac:dyDescent="0.25">
      <c r="C23" s="35"/>
      <c r="F23" s="93"/>
      <c r="G23" s="93"/>
      <c r="H23" s="93"/>
      <c r="J23" s="31" t="str">
        <f>_xll.qlDepositRateHelper2(L23,M23,N23,O23,P23,Q23,R23,S23,T23,U23,V23)</f>
        <v>obj_00014#0003</v>
      </c>
      <c r="M23" s="31" t="str">
        <f t="shared" si="6"/>
        <v>obj_00011#0001</v>
      </c>
      <c r="N23" s="3" t="s">
        <v>23</v>
      </c>
      <c r="O23" s="4">
        <v>2</v>
      </c>
      <c r="P23" s="4" t="s">
        <v>91</v>
      </c>
      <c r="Q23" s="4" t="s">
        <v>92</v>
      </c>
      <c r="R23" s="3" t="b">
        <v>0</v>
      </c>
      <c r="S23" s="3" t="s">
        <v>125</v>
      </c>
      <c r="T23" s="22" t="b">
        <v>0</v>
      </c>
      <c r="U23" s="34">
        <f t="shared" si="5"/>
        <v>1</v>
      </c>
      <c r="V23" s="24" t="b">
        <v>1</v>
      </c>
    </row>
    <row r="24" spans="1:28" x14ac:dyDescent="0.25">
      <c r="C24" s="19"/>
      <c r="F24" s="93"/>
      <c r="G24" s="93"/>
      <c r="H24" s="93"/>
      <c r="J24" s="31" t="str">
        <f>_xll.qlDepositRateHelper2(L24,M24,N24,O24,P24,Q24,R24,S24,T24,U24,V24)</f>
        <v>obj_00015#0004</v>
      </c>
      <c r="M24" s="31" t="str">
        <f>J7</f>
        <v>obj_00006#0001</v>
      </c>
      <c r="N24" s="3" t="s">
        <v>24</v>
      </c>
      <c r="O24" s="4">
        <v>2</v>
      </c>
      <c r="P24" s="4" t="s">
        <v>91</v>
      </c>
      <c r="Q24" s="4" t="s">
        <v>92</v>
      </c>
      <c r="R24" s="3" t="b">
        <v>0</v>
      </c>
      <c r="S24" s="3" t="s">
        <v>125</v>
      </c>
      <c r="T24" s="22" t="b">
        <v>0</v>
      </c>
      <c r="U24" s="34">
        <f t="shared" si="5"/>
        <v>1</v>
      </c>
      <c r="V24" s="24" t="b">
        <v>1</v>
      </c>
    </row>
    <row r="25" spans="1:28" x14ac:dyDescent="0.25">
      <c r="C25" s="19"/>
      <c r="F25" s="93"/>
      <c r="G25" s="93"/>
      <c r="H25" s="93"/>
      <c r="J25" s="31"/>
      <c r="M25" s="31"/>
      <c r="T25" s="22"/>
      <c r="U25" s="34"/>
      <c r="V25" s="24"/>
    </row>
    <row r="26" spans="1:28" x14ac:dyDescent="0.25">
      <c r="A26" s="19" t="s">
        <v>98</v>
      </c>
      <c r="B26" s="29" t="str">
        <f>_xll.qlPiecewiseYieldCurve(B27,B28,B29,$I$3:$I$14,B31,B32,B33,B34,B35,B36,B37,B38,B39)</f>
        <v>TWDZC#0037</v>
      </c>
      <c r="C26" s="19"/>
      <c r="F26" s="93"/>
      <c r="G26" s="93"/>
      <c r="H26" s="93"/>
    </row>
    <row r="27" spans="1:28" x14ac:dyDescent="0.25">
      <c r="A27" s="3" t="s">
        <v>99</v>
      </c>
      <c r="B27" s="3" t="s">
        <v>110</v>
      </c>
      <c r="C27" s="19"/>
      <c r="F27" s="93"/>
      <c r="G27" s="93"/>
      <c r="H27" s="93"/>
      <c r="L27" s="21" t="s">
        <v>42</v>
      </c>
      <c r="M27" s="21" t="s">
        <v>65</v>
      </c>
      <c r="N27" s="21" t="s">
        <v>67</v>
      </c>
      <c r="O27" s="21" t="s">
        <v>44</v>
      </c>
      <c r="P27" s="21" t="s">
        <v>47</v>
      </c>
      <c r="Q27" s="21" t="s">
        <v>68</v>
      </c>
      <c r="R27" s="21" t="s">
        <v>69</v>
      </c>
      <c r="S27" s="21" t="s">
        <v>70</v>
      </c>
      <c r="T27" s="21" t="s">
        <v>71</v>
      </c>
      <c r="U27" s="21" t="s">
        <v>72</v>
      </c>
      <c r="V27" s="21" t="s">
        <v>73</v>
      </c>
      <c r="W27" s="32" t="s">
        <v>74</v>
      </c>
      <c r="X27" s="21" t="s">
        <v>75</v>
      </c>
      <c r="Y27" s="21" t="s">
        <v>76</v>
      </c>
      <c r="Z27" s="21" t="s">
        <v>52</v>
      </c>
      <c r="AA27" s="21" t="s">
        <v>41</v>
      </c>
      <c r="AB27" s="21" t="s">
        <v>53</v>
      </c>
    </row>
    <row r="28" spans="1:28" x14ac:dyDescent="0.25">
      <c r="A28" s="3" t="s">
        <v>100</v>
      </c>
      <c r="B28" s="3">
        <v>0</v>
      </c>
      <c r="C28" s="19"/>
      <c r="F28" s="93"/>
      <c r="G28" s="93"/>
      <c r="H28" s="93"/>
      <c r="J28" s="31" t="str">
        <f>_xll.qlSwapRateHelper2(L28,M28,N28,O28,P28,Q28,R28,S28,T28,U28,V28,W28,X28,Y28,Z28,AA28,AB28)</f>
        <v>obj_00013#0013</v>
      </c>
      <c r="K28" s="3" t="str">
        <f>_xll.ohRangeRetrieveError(J28)</f>
        <v/>
      </c>
      <c r="M28" s="31" t="str">
        <f>J8</f>
        <v>obj_00005#0003</v>
      </c>
      <c r="N28" s="3">
        <v>2</v>
      </c>
      <c r="O28" s="4" t="s">
        <v>25</v>
      </c>
      <c r="P28" s="4" t="s">
        <v>91</v>
      </c>
      <c r="Q28" s="4" t="s">
        <v>94</v>
      </c>
      <c r="R28" s="3" t="s">
        <v>92</v>
      </c>
      <c r="S28" s="3" t="s">
        <v>177</v>
      </c>
      <c r="T28" s="31" t="str">
        <f t="shared" ref="T28:T34" si="7">$B$9</f>
        <v>obj_00002#0002</v>
      </c>
      <c r="U28" s="3">
        <v>0</v>
      </c>
      <c r="V28" s="3" t="s">
        <v>77</v>
      </c>
      <c r="Z28" s="22" t="b">
        <v>0</v>
      </c>
      <c r="AA28" s="34">
        <f t="shared" ref="AA28:AA34" si="8">$B$4</f>
        <v>1</v>
      </c>
      <c r="AB28" s="24" t="b">
        <v>1</v>
      </c>
    </row>
    <row r="29" spans="1:28" x14ac:dyDescent="0.25">
      <c r="A29" s="3" t="s">
        <v>101</v>
      </c>
      <c r="B29" s="3" t="s">
        <v>91</v>
      </c>
      <c r="C29" s="19"/>
      <c r="F29" s="93"/>
      <c r="G29" s="93"/>
      <c r="H29" s="93"/>
      <c r="J29" s="31" t="str">
        <f>_xll.qlSwapRateHelper2(L29,M29,N29,O29,P29,Q29,R29,S29,T29,U29,V29,W29,X29,Y29,Z29,AA29,AB29)</f>
        <v>obj_0001c#0012</v>
      </c>
      <c r="M29" s="31" t="str">
        <f t="shared" ref="M29:M34" si="9">J9</f>
        <v>obj_00008#0006</v>
      </c>
      <c r="N29" s="3">
        <v>2</v>
      </c>
      <c r="O29" s="4" t="s">
        <v>26</v>
      </c>
      <c r="P29" s="4" t="s">
        <v>91</v>
      </c>
      <c r="Q29" s="4" t="s">
        <v>94</v>
      </c>
      <c r="R29" s="3" t="s">
        <v>92</v>
      </c>
      <c r="S29" s="3" t="s">
        <v>177</v>
      </c>
      <c r="T29" s="31" t="str">
        <f t="shared" si="7"/>
        <v>obj_00002#0002</v>
      </c>
      <c r="U29" s="3">
        <v>0</v>
      </c>
      <c r="V29" s="3" t="s">
        <v>77</v>
      </c>
      <c r="Z29" s="22" t="b">
        <v>0</v>
      </c>
      <c r="AA29" s="34">
        <f t="shared" si="8"/>
        <v>1</v>
      </c>
      <c r="AB29" s="24" t="b">
        <v>1</v>
      </c>
    </row>
    <row r="30" spans="1:28" x14ac:dyDescent="0.25">
      <c r="A30" s="3" t="s">
        <v>102</v>
      </c>
      <c r="C30" s="19"/>
      <c r="F30" s="93"/>
      <c r="G30" s="93"/>
      <c r="H30" s="93"/>
      <c r="J30" s="31" t="str">
        <f>_xll.qlSwapRateHelper2(L30,M30,N30,O30,P30,Q30,R30,S30,T30,U30,V30,W30,X30,Y30,Z30,AA30,AB30)</f>
        <v>obj_0001b#0012</v>
      </c>
      <c r="M30" s="31" t="str">
        <f t="shared" si="9"/>
        <v>obj_0000b#0006</v>
      </c>
      <c r="N30" s="3">
        <v>2</v>
      </c>
      <c r="O30" s="4" t="s">
        <v>27</v>
      </c>
      <c r="P30" s="4" t="s">
        <v>91</v>
      </c>
      <c r="Q30" s="4" t="s">
        <v>94</v>
      </c>
      <c r="R30" s="3" t="s">
        <v>92</v>
      </c>
      <c r="S30" s="3" t="s">
        <v>125</v>
      </c>
      <c r="T30" s="31" t="str">
        <f t="shared" si="7"/>
        <v>obj_00002#0002</v>
      </c>
      <c r="U30" s="3">
        <v>0</v>
      </c>
      <c r="V30" s="3" t="s">
        <v>77</v>
      </c>
      <c r="Z30" s="22" t="b">
        <v>0</v>
      </c>
      <c r="AA30" s="34">
        <f t="shared" si="8"/>
        <v>1</v>
      </c>
      <c r="AB30" s="24" t="b">
        <v>1</v>
      </c>
    </row>
    <row r="31" spans="1:28" x14ac:dyDescent="0.25">
      <c r="A31" s="3" t="s">
        <v>103</v>
      </c>
      <c r="B31" s="3" t="s">
        <v>93</v>
      </c>
      <c r="F31" s="93"/>
      <c r="G31" s="93"/>
      <c r="H31" s="93"/>
      <c r="J31" s="31" t="str">
        <f>_xll.qlSwapRateHelper2(L31,M31,N31,O31,P31,Q31,R31,S31,T31,U31,V31,W31,X31,Y31,Z31,AA31,AB31)</f>
        <v>obj_0001e#0012</v>
      </c>
      <c r="M31" s="31" t="str">
        <f t="shared" si="9"/>
        <v>obj_0000f#0006</v>
      </c>
      <c r="N31" s="3">
        <v>2</v>
      </c>
      <c r="O31" s="4" t="s">
        <v>28</v>
      </c>
      <c r="P31" s="4" t="s">
        <v>91</v>
      </c>
      <c r="Q31" s="4" t="s">
        <v>94</v>
      </c>
      <c r="R31" s="3" t="s">
        <v>92</v>
      </c>
      <c r="S31" s="3" t="s">
        <v>125</v>
      </c>
      <c r="T31" s="31" t="str">
        <f t="shared" si="7"/>
        <v>obj_00002#0002</v>
      </c>
      <c r="U31" s="3">
        <v>0</v>
      </c>
      <c r="V31" s="3" t="s">
        <v>77</v>
      </c>
      <c r="Z31" s="22" t="b">
        <v>0</v>
      </c>
      <c r="AA31" s="34">
        <f t="shared" si="8"/>
        <v>1</v>
      </c>
      <c r="AB31" s="24" t="b">
        <v>1</v>
      </c>
    </row>
    <row r="32" spans="1:28" x14ac:dyDescent="0.25">
      <c r="A32" s="3" t="s">
        <v>104</v>
      </c>
      <c r="F32" s="93"/>
      <c r="G32" s="93"/>
      <c r="H32" s="93"/>
      <c r="J32" s="31" t="str">
        <f>_xll.qlSwapRateHelper2(L32,M32,N32,O32,P32,Q32,R32,S32,T32,U32,V32,W32,X32,Y32,Z32,AA32,AB32)</f>
        <v>obj_00019#0012</v>
      </c>
      <c r="M32" s="31" t="str">
        <f t="shared" si="9"/>
        <v>obj_00010#0006</v>
      </c>
      <c r="N32" s="3">
        <v>2</v>
      </c>
      <c r="O32" s="4" t="s">
        <v>29</v>
      </c>
      <c r="P32" s="4" t="s">
        <v>91</v>
      </c>
      <c r="Q32" s="4" t="s">
        <v>94</v>
      </c>
      <c r="R32" s="3" t="s">
        <v>92</v>
      </c>
      <c r="S32" s="3" t="s">
        <v>125</v>
      </c>
      <c r="T32" s="31" t="str">
        <f t="shared" si="7"/>
        <v>obj_00002#0002</v>
      </c>
      <c r="U32" s="3">
        <v>0</v>
      </c>
      <c r="V32" s="3" t="s">
        <v>77</v>
      </c>
      <c r="Z32" s="22" t="b">
        <v>0</v>
      </c>
      <c r="AA32" s="34">
        <f t="shared" si="8"/>
        <v>1</v>
      </c>
      <c r="AB32" s="24" t="b">
        <v>1</v>
      </c>
    </row>
    <row r="33" spans="1:28" x14ac:dyDescent="0.25">
      <c r="A33" s="3" t="s">
        <v>105</v>
      </c>
      <c r="C33" s="30"/>
      <c r="F33" s="93"/>
      <c r="G33" s="93"/>
      <c r="H33" s="93"/>
      <c r="J33" s="31" t="str">
        <f>_xll.qlSwapRateHelper2(L33,M33,N33,O33,P33,Q33,R33,S33,T33,U33,V33,W33,X33,Y33,Z33,AA33,AB33)</f>
        <v>obj_00018#0011</v>
      </c>
      <c r="M33" s="31" t="str">
        <f t="shared" si="9"/>
        <v>obj_0000a#0006</v>
      </c>
      <c r="N33" s="3">
        <v>2</v>
      </c>
      <c r="O33" s="4" t="s">
        <v>31</v>
      </c>
      <c r="P33" s="4" t="s">
        <v>91</v>
      </c>
      <c r="Q33" s="4" t="s">
        <v>94</v>
      </c>
      <c r="R33" s="3" t="s">
        <v>92</v>
      </c>
      <c r="S33" s="3" t="s">
        <v>125</v>
      </c>
      <c r="T33" s="31" t="str">
        <f t="shared" si="7"/>
        <v>obj_00002#0002</v>
      </c>
      <c r="U33" s="3">
        <v>0</v>
      </c>
      <c r="V33" s="3" t="s">
        <v>77</v>
      </c>
      <c r="Z33" s="22" t="b">
        <v>0</v>
      </c>
      <c r="AA33" s="34">
        <f t="shared" si="8"/>
        <v>1</v>
      </c>
      <c r="AB33" s="24" t="b">
        <v>1</v>
      </c>
    </row>
    <row r="34" spans="1:28" x14ac:dyDescent="0.25">
      <c r="A34" s="3" t="s">
        <v>106</v>
      </c>
      <c r="F34" s="93"/>
      <c r="G34" s="93"/>
      <c r="H34" s="93"/>
      <c r="J34" s="31" t="str">
        <f>_xll.qlSwapRateHelper2(L34,M34,N34,O34,P34,Q34,R34,S34,T34,U34,V34,W34,X34,Y34,Z34,AA34,AB34)</f>
        <v>obj_0001a#0010</v>
      </c>
      <c r="M34" s="31" t="str">
        <f t="shared" si="9"/>
        <v>obj_00007#0005</v>
      </c>
      <c r="N34" s="3">
        <v>2</v>
      </c>
      <c r="O34" s="4" t="s">
        <v>32</v>
      </c>
      <c r="P34" s="4" t="s">
        <v>91</v>
      </c>
      <c r="Q34" s="4" t="s">
        <v>94</v>
      </c>
      <c r="R34" s="3" t="s">
        <v>92</v>
      </c>
      <c r="S34" s="3" t="s">
        <v>125</v>
      </c>
      <c r="T34" s="31" t="str">
        <f t="shared" si="7"/>
        <v>obj_00002#0002</v>
      </c>
      <c r="U34" s="3">
        <v>0</v>
      </c>
      <c r="V34" s="3" t="s">
        <v>77</v>
      </c>
      <c r="Z34" s="22" t="b">
        <v>0</v>
      </c>
      <c r="AA34" s="34">
        <f t="shared" si="8"/>
        <v>1</v>
      </c>
      <c r="AB34" s="24" t="b">
        <v>1</v>
      </c>
    </row>
    <row r="35" spans="1:28" x14ac:dyDescent="0.25">
      <c r="A35" s="3" t="s">
        <v>107</v>
      </c>
      <c r="B35" s="3" t="s">
        <v>78</v>
      </c>
      <c r="J35" s="31"/>
      <c r="M35" s="31"/>
      <c r="T35" s="31"/>
      <c r="Z35" s="22"/>
      <c r="AA35" s="34"/>
      <c r="AB35" s="24"/>
    </row>
    <row r="36" spans="1:28" x14ac:dyDescent="0.25">
      <c r="A36" s="3" t="s">
        <v>108</v>
      </c>
      <c r="B36" s="3" t="s">
        <v>79</v>
      </c>
    </row>
    <row r="37" spans="1:28" x14ac:dyDescent="0.25">
      <c r="A37" s="3" t="s">
        <v>87</v>
      </c>
      <c r="B37" s="3" t="b">
        <v>0</v>
      </c>
    </row>
    <row r="38" spans="1:28" x14ac:dyDescent="0.25">
      <c r="A38" s="3" t="s">
        <v>88</v>
      </c>
      <c r="B38" s="4">
        <f>_xll.ohTrigger($M$3)</f>
        <v>1</v>
      </c>
    </row>
    <row r="39" spans="1:28" x14ac:dyDescent="0.25">
      <c r="A39" s="3" t="s">
        <v>109</v>
      </c>
      <c r="B39" s="3" t="b">
        <v>1</v>
      </c>
    </row>
    <row r="41" spans="1:28" x14ac:dyDescent="0.25">
      <c r="C41" s="4"/>
      <c r="K41" s="3" t="s">
        <v>172</v>
      </c>
    </row>
    <row r="42" spans="1:28" x14ac:dyDescent="0.25">
      <c r="A42" s="35" t="s">
        <v>80</v>
      </c>
      <c r="C42" s="4"/>
    </row>
    <row r="43" spans="1:28" x14ac:dyDescent="0.25">
      <c r="A43" s="19" t="s">
        <v>42</v>
      </c>
      <c r="B43" s="47" t="str">
        <f>B26</f>
        <v>TWDZC#0037</v>
      </c>
    </row>
    <row r="44" spans="1:28" x14ac:dyDescent="0.25">
      <c r="A44" s="19" t="s">
        <v>81</v>
      </c>
    </row>
    <row r="45" spans="1:28" x14ac:dyDescent="0.25">
      <c r="A45" s="19" t="s">
        <v>82</v>
      </c>
      <c r="B45" s="4" t="s">
        <v>177</v>
      </c>
    </row>
    <row r="46" spans="1:28" x14ac:dyDescent="0.25">
      <c r="A46" s="19" t="s">
        <v>83</v>
      </c>
      <c r="B46" s="4" t="s">
        <v>173</v>
      </c>
    </row>
    <row r="47" spans="1:28" x14ac:dyDescent="0.25">
      <c r="A47" s="19" t="s">
        <v>84</v>
      </c>
      <c r="B47" s="4" t="s">
        <v>94</v>
      </c>
    </row>
    <row r="48" spans="1:28" x14ac:dyDescent="0.25">
      <c r="A48" s="19" t="s">
        <v>85</v>
      </c>
      <c r="B48" s="4" t="b">
        <v>1</v>
      </c>
    </row>
    <row r="49" spans="1:9" x14ac:dyDescent="0.25">
      <c r="A49" s="19" t="s">
        <v>41</v>
      </c>
      <c r="B49" s="23">
        <f>$B$4</f>
        <v>1</v>
      </c>
    </row>
    <row r="54" spans="1:9" ht="15.75" thickBot="1" x14ac:dyDescent="0.3"/>
    <row r="55" spans="1:9" x14ac:dyDescent="0.25">
      <c r="D55" s="72" t="e">
        <f>_xll.qlLibor(D56,D57,D58,D59,D60,D61,D62)</f>
        <v>#NUM!</v>
      </c>
      <c r="E55" s="68" t="e">
        <f>_xll.qlIborIndex(E56,E57,E58,E59,E60,E61,E62,E63,E64,E65,E66,E67,E68)</f>
        <v>#NUM!</v>
      </c>
      <c r="F55" s="51" t="s">
        <v>115</v>
      </c>
      <c r="G55" s="64" t="str">
        <f>_xll.qlDiscountingSwapEngine(G56,G57,G58,G59,G60,G61,G62,G63)</f>
        <v>TWDDFEng#0034</v>
      </c>
      <c r="H55" s="64"/>
      <c r="I55" s="65" t="e">
        <f>_xll.qlDiscountingSwapEngine(I56,I57,I58,I59,I60,I61,I62,I63)</f>
        <v>#VALUE!</v>
      </c>
    </row>
    <row r="56" spans="1:9" ht="15.75" x14ac:dyDescent="0.25">
      <c r="D56" s="69" t="s">
        <v>114</v>
      </c>
      <c r="E56" s="69" t="s">
        <v>163</v>
      </c>
      <c r="F56" s="52" t="s">
        <v>99</v>
      </c>
      <c r="G56" s="58" t="s">
        <v>127</v>
      </c>
      <c r="H56" s="58"/>
      <c r="I56" s="59" t="s">
        <v>128</v>
      </c>
    </row>
    <row r="57" spans="1:9" x14ac:dyDescent="0.25">
      <c r="D57" s="69" t="s">
        <v>1</v>
      </c>
      <c r="E57" s="69" t="s">
        <v>160</v>
      </c>
      <c r="F57" s="52" t="s">
        <v>116</v>
      </c>
      <c r="G57" s="60" t="str">
        <f>G64</f>
        <v>TWDIRSDF#0034</v>
      </c>
      <c r="H57" s="60"/>
      <c r="I57" s="61" t="e">
        <f>I64</f>
        <v>#NUM!</v>
      </c>
    </row>
    <row r="58" spans="1:9" ht="15.75" x14ac:dyDescent="0.25">
      <c r="D58" s="69" t="s">
        <v>24</v>
      </c>
      <c r="E58" s="69" t="s">
        <v>24</v>
      </c>
      <c r="F58" s="52" t="s">
        <v>117</v>
      </c>
      <c r="G58" s="58" t="b">
        <v>1</v>
      </c>
      <c r="H58" s="58"/>
      <c r="I58" s="59" t="b">
        <v>1</v>
      </c>
    </row>
    <row r="59" spans="1:9" ht="15.75" thickBot="1" x14ac:dyDescent="0.3">
      <c r="B59" s="3" t="str">
        <f>_xll.ohRangeRetrieveError(B60)</f>
        <v/>
      </c>
      <c r="D59" s="70" t="e">
        <f>#REF!</f>
        <v>#REF!</v>
      </c>
      <c r="E59" s="69">
        <v>2</v>
      </c>
      <c r="F59" s="52" t="s">
        <v>118</v>
      </c>
      <c r="G59" s="62"/>
      <c r="H59" s="62"/>
      <c r="I59" s="63"/>
    </row>
    <row r="60" spans="1:9" x14ac:dyDescent="0.25">
      <c r="A60" s="48" t="s">
        <v>95</v>
      </c>
      <c r="B60" s="68" t="str">
        <f>_xll.qlIborIndex(B61,B62,B63,B64,B65,B66,B67,B68,B69,B70,B71,B72,B73)</f>
        <v>TAIBOR3M#0039</v>
      </c>
      <c r="D60" s="69" t="b">
        <v>0</v>
      </c>
      <c r="E60" s="69" t="s">
        <v>161</v>
      </c>
      <c r="F60" s="52" t="s">
        <v>119</v>
      </c>
      <c r="G60" s="62"/>
      <c r="H60" s="62"/>
      <c r="I60" s="63"/>
    </row>
    <row r="61" spans="1:9" x14ac:dyDescent="0.25">
      <c r="A61" s="49" t="s">
        <v>42</v>
      </c>
      <c r="B61" s="69" t="s">
        <v>113</v>
      </c>
      <c r="D61" s="23">
        <f>$B$4</f>
        <v>1</v>
      </c>
      <c r="E61" s="69" t="s">
        <v>152</v>
      </c>
      <c r="F61" s="52" t="s">
        <v>87</v>
      </c>
      <c r="G61" s="54" t="b">
        <v>0</v>
      </c>
      <c r="H61" s="54"/>
      <c r="I61" s="55" t="b">
        <v>0</v>
      </c>
    </row>
    <row r="62" spans="1:9" ht="15.75" thickBot="1" x14ac:dyDescent="0.3">
      <c r="A62" s="49" t="s">
        <v>43</v>
      </c>
      <c r="B62" s="69" t="s">
        <v>96</v>
      </c>
      <c r="D62" s="71" t="b">
        <v>1</v>
      </c>
      <c r="E62" s="69" t="s">
        <v>97</v>
      </c>
      <c r="F62" s="52" t="s">
        <v>88</v>
      </c>
      <c r="G62" s="23">
        <f>$B$4</f>
        <v>1</v>
      </c>
      <c r="H62" s="23"/>
      <c r="I62" s="23">
        <f>$B$4</f>
        <v>1</v>
      </c>
    </row>
    <row r="63" spans="1:9" ht="15.75" thickBot="1" x14ac:dyDescent="0.3">
      <c r="A63" s="49" t="s">
        <v>44</v>
      </c>
      <c r="B63" s="69" t="s">
        <v>24</v>
      </c>
      <c r="C63" s="20" t="s">
        <v>89</v>
      </c>
      <c r="E63" s="69" t="b">
        <v>0</v>
      </c>
      <c r="F63" s="53" t="s">
        <v>109</v>
      </c>
      <c r="G63" s="56" t="b">
        <v>1</v>
      </c>
      <c r="H63" s="56"/>
      <c r="I63" s="57" t="b">
        <v>1</v>
      </c>
    </row>
    <row r="64" spans="1:9" x14ac:dyDescent="0.25">
      <c r="A64" s="49" t="s">
        <v>45</v>
      </c>
      <c r="B64" s="69">
        <v>2</v>
      </c>
      <c r="E64" s="69" t="s">
        <v>162</v>
      </c>
      <c r="F64" s="51" t="s">
        <v>120</v>
      </c>
      <c r="G64" s="64" t="str">
        <f>_xll.qlDiscountCurve(G65,E3:E15,G3:G15,G68,G69,G70,G71)</f>
        <v>TWDIRSDF#0034</v>
      </c>
      <c r="H64" s="64"/>
      <c r="I64" s="65" t="e">
        <f>_xll.qlDiscountCurve(I65,#REF!,#REF!,I68,I69,I70,I71)</f>
        <v>#NUM!</v>
      </c>
    </row>
    <row r="65" spans="1:9" x14ac:dyDescent="0.25">
      <c r="A65" s="49" t="s">
        <v>46</v>
      </c>
      <c r="B65" s="69" t="s">
        <v>0</v>
      </c>
      <c r="E65" s="70" t="e">
        <f>#REF!</f>
        <v>#REF!</v>
      </c>
      <c r="F65" s="52" t="s">
        <v>42</v>
      </c>
      <c r="G65" s="62" t="s">
        <v>123</v>
      </c>
      <c r="H65" s="62"/>
      <c r="I65" s="63" t="s">
        <v>124</v>
      </c>
    </row>
    <row r="66" spans="1:9" x14ac:dyDescent="0.25">
      <c r="A66" s="49" t="s">
        <v>47</v>
      </c>
      <c r="B66" s="69" t="s">
        <v>91</v>
      </c>
      <c r="E66" s="69" t="b">
        <v>0</v>
      </c>
      <c r="F66" s="52" t="s">
        <v>121</v>
      </c>
      <c r="G66" s="66"/>
      <c r="H66" s="66"/>
      <c r="I66" s="67"/>
    </row>
    <row r="67" spans="1:9" x14ac:dyDescent="0.25">
      <c r="A67" s="49" t="s">
        <v>48</v>
      </c>
      <c r="B67" s="69" t="s">
        <v>178</v>
      </c>
      <c r="E67" s="23">
        <f>$B$4</f>
        <v>1</v>
      </c>
      <c r="F67" s="52" t="s">
        <v>122</v>
      </c>
      <c r="G67" s="66"/>
      <c r="H67" s="66"/>
      <c r="I67" s="67"/>
    </row>
    <row r="68" spans="1:9" ht="15.75" thickBot="1" x14ac:dyDescent="0.3">
      <c r="A68" s="49" t="s">
        <v>49</v>
      </c>
      <c r="B68" s="69" t="b">
        <v>0</v>
      </c>
      <c r="E68" s="71" t="b">
        <v>1</v>
      </c>
      <c r="F68" s="52" t="s">
        <v>50</v>
      </c>
      <c r="G68" s="62" t="s">
        <v>125</v>
      </c>
      <c r="H68" s="62"/>
      <c r="I68" s="63" t="s">
        <v>126</v>
      </c>
    </row>
    <row r="69" spans="1:9" x14ac:dyDescent="0.25">
      <c r="A69" s="49" t="s">
        <v>50</v>
      </c>
      <c r="B69" s="69" t="s">
        <v>177</v>
      </c>
      <c r="F69" s="52" t="s">
        <v>52</v>
      </c>
      <c r="G69" s="54" t="b">
        <v>0</v>
      </c>
      <c r="H69" s="54"/>
      <c r="I69" s="55" t="b">
        <v>0</v>
      </c>
    </row>
    <row r="70" spans="1:9" x14ac:dyDescent="0.25">
      <c r="A70" s="49" t="s">
        <v>51</v>
      </c>
      <c r="B70" s="70" t="str">
        <f>B26</f>
        <v>TWDZC#0037</v>
      </c>
      <c r="F70" s="52" t="s">
        <v>41</v>
      </c>
      <c r="G70" s="23">
        <f>$B$4</f>
        <v>1</v>
      </c>
      <c r="H70" s="23"/>
      <c r="I70" s="23">
        <f>$B$4</f>
        <v>1</v>
      </c>
    </row>
    <row r="71" spans="1:9" ht="15.75" thickBot="1" x14ac:dyDescent="0.3">
      <c r="A71" s="49" t="s">
        <v>52</v>
      </c>
      <c r="B71" s="69" t="b">
        <v>0</v>
      </c>
      <c r="F71" s="53" t="s">
        <v>53</v>
      </c>
      <c r="G71" s="56" t="b">
        <v>1</v>
      </c>
      <c r="H71" s="56"/>
      <c r="I71" s="57" t="b">
        <v>1</v>
      </c>
    </row>
    <row r="72" spans="1:9" x14ac:dyDescent="0.25">
      <c r="A72" s="49" t="s">
        <v>41</v>
      </c>
      <c r="B72" s="23">
        <f>$B$4</f>
        <v>1</v>
      </c>
    </row>
    <row r="73" spans="1:9" ht="15.75" thickBot="1" x14ac:dyDescent="0.3">
      <c r="A73" s="50" t="s">
        <v>53</v>
      </c>
      <c r="B73" s="71" t="b">
        <v>1</v>
      </c>
    </row>
    <row r="115" spans="3:3" ht="15.75" thickBot="1" x14ac:dyDescent="0.3"/>
    <row r="116" spans="3:3" x14ac:dyDescent="0.25">
      <c r="C116" s="48" t="s">
        <v>111</v>
      </c>
    </row>
    <row r="117" spans="3:3" x14ac:dyDescent="0.25">
      <c r="C117" s="49" t="s">
        <v>42</v>
      </c>
    </row>
    <row r="118" spans="3:3" x14ac:dyDescent="0.25">
      <c r="C118" s="49" t="s">
        <v>46</v>
      </c>
    </row>
    <row r="119" spans="3:3" x14ac:dyDescent="0.25">
      <c r="C119" s="49" t="s">
        <v>44</v>
      </c>
    </row>
    <row r="120" spans="3:3" x14ac:dyDescent="0.25">
      <c r="C120" s="49" t="s">
        <v>112</v>
      </c>
    </row>
    <row r="121" spans="3:3" x14ac:dyDescent="0.25">
      <c r="C121" s="49" t="s">
        <v>52</v>
      </c>
    </row>
    <row r="122" spans="3:3" x14ac:dyDescent="0.25">
      <c r="C122" s="49" t="s">
        <v>41</v>
      </c>
    </row>
    <row r="123" spans="3:3" ht="15.75" thickBot="1" x14ac:dyDescent="0.3">
      <c r="C123" s="50" t="s">
        <v>53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C000"/>
  </sheetPr>
  <dimension ref="A1:X70"/>
  <sheetViews>
    <sheetView tabSelected="1" zoomScale="90" zoomScaleNormal="90" workbookViewId="0">
      <pane ySplit="1" topLeftCell="A2" activePane="bottomLeft" state="frozen"/>
      <selection activeCell="Y1" sqref="Y1"/>
      <selection pane="bottomLeft" activeCell="M16" sqref="M16"/>
    </sheetView>
  </sheetViews>
  <sheetFormatPr defaultRowHeight="15.75" x14ac:dyDescent="0.25"/>
  <cols>
    <col min="1" max="1" width="19.125" style="13" customWidth="1"/>
    <col min="2" max="2" width="17.875" style="13" customWidth="1"/>
    <col min="3" max="3" width="15.75" style="13" customWidth="1"/>
    <col min="4" max="4" width="14.875" style="13" customWidth="1"/>
    <col min="5" max="5" width="16.375" style="13" customWidth="1"/>
    <col min="6" max="6" width="17.125" style="13" customWidth="1"/>
    <col min="7" max="7" width="12.625" style="13" customWidth="1"/>
    <col min="8" max="8" width="16.75" style="13" customWidth="1"/>
    <col min="9" max="9" width="12.625" style="13" customWidth="1"/>
    <col min="10" max="10" width="12.625" style="14" customWidth="1"/>
    <col min="11" max="11" width="14.25" style="15" customWidth="1"/>
    <col min="12" max="13" width="12.625" style="16" customWidth="1"/>
    <col min="14" max="14" width="12.625" style="14" customWidth="1"/>
    <col min="15" max="15" width="10.625" style="14" customWidth="1"/>
    <col min="16" max="16" width="19.125" style="14" customWidth="1"/>
    <col min="17" max="18" width="12.625" style="14" customWidth="1"/>
    <col min="19" max="20" width="15.25" style="5" customWidth="1"/>
    <col min="21" max="21" width="13.5" hidden="1" customWidth="1"/>
    <col min="22" max="22" width="0" hidden="1" customWidth="1"/>
    <col min="23" max="24" width="13.625" customWidth="1"/>
  </cols>
  <sheetData>
    <row r="1" spans="1:24" x14ac:dyDescent="0.25">
      <c r="A1" s="7" t="s">
        <v>6</v>
      </c>
      <c r="B1" s="8" t="s">
        <v>4</v>
      </c>
      <c r="C1" s="8" t="s">
        <v>17</v>
      </c>
      <c r="D1" s="8" t="s">
        <v>2</v>
      </c>
      <c r="E1" s="8" t="s">
        <v>11</v>
      </c>
      <c r="F1" s="8" t="s">
        <v>18</v>
      </c>
      <c r="G1" s="8" t="s">
        <v>12</v>
      </c>
      <c r="H1" s="8" t="s">
        <v>19</v>
      </c>
      <c r="I1" s="8" t="s">
        <v>20</v>
      </c>
      <c r="J1" s="9" t="s">
        <v>7</v>
      </c>
      <c r="K1" s="10" t="s">
        <v>8</v>
      </c>
      <c r="L1" s="8" t="s">
        <v>5</v>
      </c>
      <c r="M1" s="8" t="s">
        <v>10</v>
      </c>
      <c r="N1" s="8" t="s">
        <v>9</v>
      </c>
      <c r="O1" s="8" t="s">
        <v>13</v>
      </c>
      <c r="P1" s="8" t="s">
        <v>14</v>
      </c>
      <c r="Q1" s="8" t="s">
        <v>15</v>
      </c>
      <c r="R1" s="8" t="s">
        <v>16</v>
      </c>
      <c r="S1" s="2" t="s">
        <v>165</v>
      </c>
      <c r="T1" s="2" t="s">
        <v>164</v>
      </c>
      <c r="U1" s="1"/>
      <c r="W1" s="2" t="s">
        <v>167</v>
      </c>
      <c r="X1" s="1"/>
    </row>
    <row r="2" spans="1:24" x14ac:dyDescent="0.25">
      <c r="A2" s="11" t="s">
        <v>169</v>
      </c>
      <c r="B2" s="12">
        <v>44649</v>
      </c>
      <c r="C2" s="12">
        <v>44651</v>
      </c>
      <c r="D2" s="12">
        <f>EDATE(C2,60)</f>
        <v>46477</v>
      </c>
      <c r="E2" s="6" t="s">
        <v>0</v>
      </c>
      <c r="F2" s="98">
        <v>5000000000</v>
      </c>
      <c r="G2" s="6" t="s">
        <v>0</v>
      </c>
      <c r="H2" s="101">
        <f>F2</f>
        <v>5000000000</v>
      </c>
      <c r="I2" s="6" t="s">
        <v>36</v>
      </c>
      <c r="J2" s="6">
        <v>1.35E-2</v>
      </c>
      <c r="K2" s="6" t="s">
        <v>34</v>
      </c>
      <c r="L2" s="6" t="s">
        <v>33</v>
      </c>
      <c r="M2" s="6" t="s">
        <v>3</v>
      </c>
      <c r="N2" s="6" t="s">
        <v>3</v>
      </c>
      <c r="O2" s="6">
        <v>-1</v>
      </c>
      <c r="P2" s="6">
        <v>1</v>
      </c>
      <c r="Q2" s="6" t="s">
        <v>35</v>
      </c>
      <c r="R2" s="6" t="s">
        <v>35</v>
      </c>
      <c r="W2" s="5"/>
      <c r="X2" s="5"/>
    </row>
    <row r="3" spans="1:24" x14ac:dyDescent="0.25">
      <c r="A3" s="11"/>
      <c r="B3" s="12"/>
      <c r="C3" s="12"/>
      <c r="D3" s="12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W3" s="5"/>
      <c r="X3" s="5"/>
    </row>
    <row r="4" spans="1:24" x14ac:dyDescent="0.25">
      <c r="A4" s="7" t="s">
        <v>142</v>
      </c>
      <c r="B4" s="7" t="s">
        <v>99</v>
      </c>
      <c r="C4" s="7" t="s">
        <v>143</v>
      </c>
      <c r="D4" s="7" t="s">
        <v>144</v>
      </c>
      <c r="E4" s="7" t="s">
        <v>21</v>
      </c>
      <c r="F4" s="7" t="s">
        <v>101</v>
      </c>
      <c r="G4" s="7" t="s">
        <v>145</v>
      </c>
      <c r="H4" s="7" t="s">
        <v>146</v>
      </c>
      <c r="I4" s="7" t="s">
        <v>147</v>
      </c>
      <c r="J4" s="7" t="s">
        <v>148</v>
      </c>
      <c r="K4" s="7" t="s">
        <v>149</v>
      </c>
      <c r="L4" s="7" t="s">
        <v>150</v>
      </c>
      <c r="M4" s="7" t="s">
        <v>87</v>
      </c>
      <c r="N4" s="7" t="s">
        <v>88</v>
      </c>
      <c r="O4" s="7" t="s">
        <v>109</v>
      </c>
      <c r="P4" s="6"/>
      <c r="Q4" s="6"/>
      <c r="R4" s="6"/>
    </row>
    <row r="5" spans="1:24" x14ac:dyDescent="0.25">
      <c r="A5" s="78" t="str">
        <f>_xll.qlSchedule(B5,C5,D5,E5,F5,G5,H5,I5,J5,K5,L5,M5,N5,O5)</f>
        <v>VirtualPortfolioSch#0003</v>
      </c>
      <c r="B5" s="11" t="str">
        <f>A2&amp;"Sch"</f>
        <v>VirtualPortfolioSch</v>
      </c>
      <c r="C5" s="74">
        <f>C2</f>
        <v>44651</v>
      </c>
      <c r="D5" s="74">
        <f>D2</f>
        <v>46477</v>
      </c>
      <c r="E5" s="75" t="s">
        <v>24</v>
      </c>
      <c r="F5" s="77" t="s">
        <v>91</v>
      </c>
      <c r="G5" s="75" t="s">
        <v>97</v>
      </c>
      <c r="H5" s="75" t="s">
        <v>92</v>
      </c>
      <c r="I5" s="75" t="s">
        <v>151</v>
      </c>
      <c r="J5" s="76" t="b">
        <v>0</v>
      </c>
      <c r="K5" s="76"/>
      <c r="L5" s="76"/>
      <c r="M5" s="76" t="b">
        <v>0</v>
      </c>
      <c r="N5" s="75">
        <f>I8</f>
        <v>1</v>
      </c>
      <c r="O5" s="76" t="b">
        <v>1</v>
      </c>
      <c r="P5" s="6"/>
      <c r="Q5" s="6"/>
      <c r="R5" s="6"/>
    </row>
    <row r="6" spans="1:24" x14ac:dyDescent="0.25">
      <c r="A6" s="78"/>
      <c r="B6" s="11"/>
      <c r="C6" s="74"/>
      <c r="D6" s="74"/>
      <c r="E6" s="75"/>
      <c r="F6" s="77"/>
      <c r="G6" s="75"/>
      <c r="H6" s="75"/>
      <c r="I6" s="75"/>
      <c r="J6" s="76"/>
      <c r="K6" s="6"/>
      <c r="L6" s="6"/>
      <c r="M6" s="76"/>
      <c r="N6" s="75"/>
      <c r="O6" s="76"/>
      <c r="P6" s="6"/>
      <c r="Q6" s="6"/>
      <c r="R6" s="6"/>
    </row>
    <row r="7" spans="1:24" x14ac:dyDescent="0.25">
      <c r="A7" s="7" t="s">
        <v>129</v>
      </c>
      <c r="B7" s="7" t="s">
        <v>86</v>
      </c>
      <c r="C7" s="7" t="s">
        <v>130</v>
      </c>
      <c r="D7" s="7" t="s">
        <v>131</v>
      </c>
      <c r="E7" s="7" t="s">
        <v>132</v>
      </c>
      <c r="F7" s="7" t="s">
        <v>133</v>
      </c>
      <c r="G7" s="7" t="s">
        <v>103</v>
      </c>
      <c r="H7" s="7" t="s">
        <v>87</v>
      </c>
      <c r="I7" s="7" t="s">
        <v>88</v>
      </c>
      <c r="J7" s="7" t="s">
        <v>109</v>
      </c>
      <c r="K7" s="6"/>
      <c r="L7" s="6"/>
      <c r="M7" s="6"/>
      <c r="N7" s="6"/>
      <c r="O7" s="6"/>
      <c r="P7" s="6"/>
      <c r="Q7" s="6"/>
      <c r="R7" s="6"/>
    </row>
    <row r="8" spans="1:24" x14ac:dyDescent="0.25">
      <c r="A8" s="78" t="str">
        <f>_xll.qlFixedRateLeg(B8,C8,D8,E8,F8,G8,H8,I8,J8)</f>
        <v>VirtualPortfolioFILeg#0005</v>
      </c>
      <c r="B8" s="11" t="str">
        <f>A2&amp;"FILeg"</f>
        <v>VirtualPortfolioFILeg</v>
      </c>
      <c r="C8" s="11" t="s">
        <v>97</v>
      </c>
      <c r="D8" s="11">
        <f>F2</f>
        <v>5000000000</v>
      </c>
      <c r="E8" s="79" t="str">
        <f>A5</f>
        <v>VirtualPortfolioSch#0003</v>
      </c>
      <c r="F8" s="6">
        <f>J2</f>
        <v>1.35E-2</v>
      </c>
      <c r="G8" s="11" t="str">
        <f>IF(E2="TWD","A/365","30/360")</f>
        <v>A/365</v>
      </c>
      <c r="H8" s="11" t="b">
        <v>0</v>
      </c>
      <c r="I8" s="11">
        <f>ZeroCurve!B4</f>
        <v>1</v>
      </c>
      <c r="J8" s="6" t="b">
        <v>1</v>
      </c>
      <c r="K8" s="6"/>
      <c r="L8" s="6"/>
      <c r="M8" s="6"/>
      <c r="N8" s="6"/>
      <c r="O8" s="6"/>
      <c r="P8" s="6"/>
      <c r="Q8" s="6"/>
      <c r="R8" s="6"/>
    </row>
    <row r="9" spans="1:24" x14ac:dyDescent="0.25">
      <c r="A9" s="78"/>
      <c r="B9" s="11"/>
      <c r="C9" s="11"/>
      <c r="D9" s="11"/>
      <c r="E9" s="79"/>
      <c r="F9" s="73"/>
      <c r="G9" s="11"/>
      <c r="H9" s="11"/>
      <c r="I9" s="11"/>
      <c r="J9" s="6"/>
      <c r="K9" s="6"/>
      <c r="L9" s="6"/>
      <c r="M9" s="6"/>
      <c r="N9" s="6"/>
      <c r="O9" s="6"/>
      <c r="P9" s="6"/>
      <c r="Q9" s="6"/>
      <c r="R9" s="6"/>
    </row>
    <row r="10" spans="1:24" x14ac:dyDescent="0.25">
      <c r="A10" s="7" t="s">
        <v>134</v>
      </c>
      <c r="B10" s="7" t="s">
        <v>86</v>
      </c>
      <c r="C10" s="7" t="s">
        <v>130</v>
      </c>
      <c r="D10" s="7" t="s">
        <v>131</v>
      </c>
      <c r="E10" s="7" t="s">
        <v>132</v>
      </c>
      <c r="F10" s="7" t="s">
        <v>135</v>
      </c>
      <c r="G10" s="7" t="s">
        <v>136</v>
      </c>
      <c r="H10" s="7" t="s">
        <v>103</v>
      </c>
      <c r="I10" s="7" t="s">
        <v>137</v>
      </c>
      <c r="J10" s="7" t="s">
        <v>138</v>
      </c>
      <c r="K10" s="7" t="s">
        <v>139</v>
      </c>
      <c r="L10" s="7" t="s">
        <v>140</v>
      </c>
      <c r="M10" s="7" t="s">
        <v>141</v>
      </c>
      <c r="N10" s="7" t="s">
        <v>87</v>
      </c>
      <c r="O10" s="7" t="s">
        <v>88</v>
      </c>
      <c r="P10" s="7" t="s">
        <v>109</v>
      </c>
      <c r="Q10" s="6"/>
      <c r="R10" s="6"/>
    </row>
    <row r="11" spans="1:24" x14ac:dyDescent="0.25">
      <c r="A11" s="78" t="str">
        <f>_xll.qlIborLeg(B11,C11,D11,E11,F11,G11,H11,I11,J11,K11,L11,M11,N11,O11,P11)</f>
        <v>VirtualPortfolioFLLeg#0040</v>
      </c>
      <c r="B11" s="11" t="str">
        <f>A2&amp;"FLLeg"</f>
        <v>VirtualPortfolioFLLeg</v>
      </c>
      <c r="C11" s="11" t="str">
        <f>C8</f>
        <v>MF</v>
      </c>
      <c r="D11" s="11">
        <f>D8</f>
        <v>5000000000</v>
      </c>
      <c r="E11" s="79" t="str">
        <f>E8</f>
        <v>VirtualPortfolioSch#0003</v>
      </c>
      <c r="F11" s="11">
        <v>2</v>
      </c>
      <c r="G11" s="11" t="b">
        <v>0</v>
      </c>
      <c r="H11" s="11" t="str">
        <f>G8</f>
        <v>A/365</v>
      </c>
      <c r="I11" s="11"/>
      <c r="J11" s="6"/>
      <c r="K11" s="80" t="str">
        <f>IF(E2="TWD",ZeroCurve!$B$60,ZeroCurve!$D$55)</f>
        <v>TAIBOR3M#0039</v>
      </c>
      <c r="L11" s="6">
        <v>0</v>
      </c>
      <c r="M11" s="6"/>
      <c r="N11" s="6" t="b">
        <v>0</v>
      </c>
      <c r="O11" s="11">
        <f>I8</f>
        <v>1</v>
      </c>
      <c r="P11" s="6" t="b">
        <v>1</v>
      </c>
      <c r="Q11" s="6"/>
      <c r="R11" s="6"/>
    </row>
    <row r="12" spans="1:24" x14ac:dyDescent="0.25">
      <c r="A12" s="78"/>
      <c r="B12" s="11"/>
      <c r="C12" s="11"/>
      <c r="D12" s="11"/>
      <c r="E12" s="79"/>
      <c r="F12" s="11"/>
      <c r="G12" s="11"/>
      <c r="H12" s="11"/>
      <c r="I12" s="11"/>
      <c r="J12" s="6"/>
      <c r="K12" s="6"/>
      <c r="L12" s="6"/>
      <c r="M12" s="6"/>
      <c r="N12" s="6"/>
      <c r="O12" s="11"/>
      <c r="P12" s="6"/>
      <c r="Q12" s="6"/>
      <c r="R12" s="6"/>
    </row>
    <row r="13" spans="1:24" x14ac:dyDescent="0.25">
      <c r="A13" s="43" t="s">
        <v>153</v>
      </c>
      <c r="B13" s="7" t="s">
        <v>86</v>
      </c>
      <c r="C13" s="7" t="s">
        <v>129</v>
      </c>
      <c r="D13" s="7" t="s">
        <v>134</v>
      </c>
      <c r="E13" s="7" t="s">
        <v>158</v>
      </c>
      <c r="F13" s="7" t="s">
        <v>158</v>
      </c>
      <c r="G13" s="7" t="s">
        <v>87</v>
      </c>
      <c r="H13" s="7" t="s">
        <v>88</v>
      </c>
      <c r="I13" s="7" t="s">
        <v>109</v>
      </c>
      <c r="J13" s="6"/>
      <c r="K13" s="6"/>
      <c r="L13" s="6"/>
      <c r="M13" s="6"/>
      <c r="N13" s="6"/>
      <c r="O13" s="6"/>
      <c r="P13" s="6"/>
      <c r="Q13" s="6"/>
      <c r="R13" s="6"/>
    </row>
    <row r="14" spans="1:24" x14ac:dyDescent="0.25">
      <c r="A14" s="78" t="str">
        <f>_xll.qlSwap(B14,C14:D14,E14:F14,G14,H14,I14)</f>
        <v>VirtualPortfolioIRS#0042</v>
      </c>
      <c r="B14" s="11" t="str">
        <f>A2&amp;"IRS"</f>
        <v>VirtualPortfolioIRS</v>
      </c>
      <c r="C14" s="81" t="str">
        <f>A8</f>
        <v>VirtualPortfolioFILeg#0005</v>
      </c>
      <c r="D14" s="81" t="str">
        <f>A11</f>
        <v>VirtualPortfolioFLLeg#0040</v>
      </c>
      <c r="E14" s="11" t="b">
        <v>0</v>
      </c>
      <c r="F14" s="11" t="b">
        <v>1</v>
      </c>
      <c r="G14" s="11" t="b">
        <v>0</v>
      </c>
      <c r="H14" s="11">
        <f>ZeroCurve!$B$4</f>
        <v>1</v>
      </c>
      <c r="I14" s="6" t="b">
        <v>1</v>
      </c>
      <c r="J14" s="6"/>
      <c r="K14" s="6"/>
      <c r="L14" s="6"/>
      <c r="M14" s="6"/>
      <c r="N14" s="6"/>
      <c r="O14" s="6"/>
      <c r="P14" s="6"/>
      <c r="Q14" s="6"/>
      <c r="R14" s="6"/>
    </row>
    <row r="15" spans="1:24" x14ac:dyDescent="0.25">
      <c r="A15" s="78"/>
      <c r="B15" s="11"/>
      <c r="C15" s="81"/>
      <c r="D15" s="81"/>
      <c r="E15" s="11"/>
      <c r="F15" s="11"/>
      <c r="G15" s="11"/>
      <c r="H15" s="11"/>
      <c r="I15" s="6"/>
      <c r="J15" s="6"/>
      <c r="K15" s="11"/>
      <c r="L15" s="11"/>
      <c r="M15" s="11"/>
      <c r="N15" s="6"/>
      <c r="O15" s="6"/>
      <c r="P15" s="6"/>
      <c r="Q15" s="6"/>
      <c r="R15" s="6"/>
    </row>
    <row r="16" spans="1:24" x14ac:dyDescent="0.25">
      <c r="A16" s="43"/>
      <c r="B16" s="11"/>
      <c r="C16" s="81"/>
      <c r="D16" s="76"/>
      <c r="E16" s="87" t="s">
        <v>159</v>
      </c>
      <c r="F16" s="88" t="str">
        <f>ZeroCurve!B60</f>
        <v>TAIBOR3M#0039</v>
      </c>
      <c r="G16" s="88"/>
      <c r="H16" s="11"/>
      <c r="I16" s="74"/>
      <c r="J16" s="82"/>
      <c r="K16" s="6"/>
      <c r="L16" s="6"/>
      <c r="M16" s="74"/>
      <c r="N16" s="6"/>
      <c r="O16" s="6"/>
      <c r="P16" s="6"/>
      <c r="Q16" s="6"/>
      <c r="R16" s="6"/>
    </row>
    <row r="17" spans="1:21" x14ac:dyDescent="0.25">
      <c r="A17" s="83" t="s">
        <v>157</v>
      </c>
      <c r="B17" s="85" t="s">
        <v>155</v>
      </c>
      <c r="C17" s="85" t="s">
        <v>156</v>
      </c>
      <c r="D17" s="85" t="s">
        <v>156</v>
      </c>
      <c r="E17" s="89" t="s">
        <v>154</v>
      </c>
      <c r="F17" s="90"/>
      <c r="G17" s="89"/>
      <c r="H17" s="11"/>
      <c r="I17" s="74"/>
      <c r="J17" s="82"/>
      <c r="K17" s="6"/>
      <c r="L17" s="6"/>
      <c r="M17" s="74"/>
      <c r="N17" s="6"/>
      <c r="O17" s="6"/>
      <c r="P17" s="6"/>
      <c r="Q17" s="6"/>
      <c r="R17" s="6"/>
      <c r="S17" s="6"/>
      <c r="U17" s="5"/>
    </row>
    <row r="18" spans="1:21" x14ac:dyDescent="0.25">
      <c r="A18" s="84" t="str">
        <f>A2</f>
        <v>VirtualPortfolio</v>
      </c>
      <c r="B18" s="106">
        <f>_xll.qlInstrumentNPV(A14,_xll.ohTrigger($B$16))</f>
        <v>-21645004.480553567</v>
      </c>
      <c r="C18" s="86" t="b">
        <f>_xll.qlInstrumentSetPricingEngine(A14,D18,ZeroCurve!$B$4)</f>
        <v>1</v>
      </c>
      <c r="D18" s="11" t="str">
        <f>IF(E2="TWD",ZeroCurve!$G$55,ZeroCurve!$I$55)</f>
        <v>TWDDFEng#0034</v>
      </c>
      <c r="E18" s="89" t="b">
        <f>_xll.qlIndexAddFixings(F16,F18:F18,G18:G18,TRUE)</f>
        <v>1</v>
      </c>
      <c r="F18" s="91">
        <v>44649</v>
      </c>
      <c r="G18" s="92">
        <v>7.2944000000000004E-3</v>
      </c>
      <c r="H18" s="11" t="str">
        <f>_xll.ohRangeRetrieveError(E18)</f>
        <v/>
      </c>
      <c r="I18" s="74"/>
      <c r="J18" s="82"/>
      <c r="K18" s="6"/>
      <c r="L18" s="6"/>
      <c r="M18" s="74"/>
      <c r="N18" s="6"/>
      <c r="O18" s="6"/>
      <c r="P18" s="6"/>
      <c r="Q18" s="6"/>
      <c r="R18" s="6"/>
      <c r="S18" s="6"/>
      <c r="U18" s="5"/>
    </row>
    <row r="19" spans="1:21" x14ac:dyDescent="0.25">
      <c r="A19" s="11"/>
      <c r="B19" s="11"/>
      <c r="C19" s="11"/>
      <c r="D19" s="11"/>
      <c r="E19" s="11"/>
      <c r="F19" s="11"/>
      <c r="G19" s="82"/>
      <c r="H19" s="11" t="str">
        <f>_xll.ohRangeRetrieveError(B19)</f>
        <v/>
      </c>
      <c r="I19" s="11"/>
      <c r="J19" s="6"/>
      <c r="K19" s="6"/>
      <c r="L19" s="6"/>
      <c r="M19" s="6"/>
      <c r="N19" s="6"/>
      <c r="O19" s="6"/>
      <c r="P19" s="6"/>
      <c r="Q19" s="6"/>
      <c r="R19" s="6"/>
    </row>
    <row r="20" spans="1:21" x14ac:dyDescent="0.25">
      <c r="A20" s="109" t="s">
        <v>174</v>
      </c>
      <c r="B20" s="110">
        <f>_xll.qlSwapLegBPS(A14,0)</f>
        <v>2406065.1154113123</v>
      </c>
      <c r="C20" s="11"/>
      <c r="D20" s="11"/>
      <c r="E20" s="11"/>
      <c r="F20" s="11"/>
      <c r="G20" s="82"/>
      <c r="H20" s="11"/>
      <c r="I20" s="11"/>
      <c r="J20" s="6"/>
      <c r="K20" s="6"/>
      <c r="L20" s="6"/>
      <c r="M20" s="6"/>
      <c r="N20" s="6"/>
      <c r="O20" s="6"/>
      <c r="P20" s="6"/>
      <c r="Q20" s="6"/>
      <c r="R20" s="6"/>
    </row>
    <row r="21" spans="1:21" x14ac:dyDescent="0.25">
      <c r="A21" s="11" t="s">
        <v>171</v>
      </c>
      <c r="B21" s="98">
        <f>_xll.qlSwapLegBPS(A14,1)</f>
        <v>-2406065.1154113123</v>
      </c>
      <c r="C21" s="11"/>
      <c r="D21" s="11"/>
      <c r="E21" s="11"/>
      <c r="F21" s="11"/>
      <c r="G21" s="102"/>
      <c r="H21" s="11"/>
      <c r="I21" s="11"/>
      <c r="J21" s="6"/>
      <c r="K21" s="6"/>
      <c r="L21" s="6"/>
      <c r="M21" s="6"/>
      <c r="N21" s="6"/>
      <c r="O21" s="6"/>
      <c r="P21" s="6"/>
      <c r="Q21" s="6"/>
      <c r="R21" s="6"/>
    </row>
    <row r="22" spans="1:21" x14ac:dyDescent="0.25">
      <c r="A22" s="11" t="s">
        <v>170</v>
      </c>
      <c r="B22" s="98">
        <f>_xll.qlSwapLegNPV(A14,0)</f>
        <v>324818790.58053088</v>
      </c>
      <c r="C22" s="11"/>
      <c r="D22" s="11"/>
      <c r="E22" s="11"/>
      <c r="F22" s="11"/>
      <c r="G22" s="11"/>
      <c r="H22" s="102"/>
      <c r="I22" s="11"/>
      <c r="J22" s="6"/>
      <c r="K22" s="6"/>
      <c r="L22" s="6"/>
      <c r="M22" s="6"/>
      <c r="N22" s="6"/>
      <c r="O22" s="6"/>
      <c r="P22" s="6"/>
      <c r="Q22" s="6"/>
      <c r="R22" s="6"/>
    </row>
    <row r="23" spans="1:21" x14ac:dyDescent="0.25">
      <c r="A23" s="11" t="s">
        <v>171</v>
      </c>
      <c r="B23" s="98">
        <f>_xll.qlSwapLegNPV(A14,1)</f>
        <v>-346463795.06108445</v>
      </c>
      <c r="C23" s="11"/>
      <c r="D23" s="11"/>
      <c r="E23" s="11"/>
      <c r="F23" s="74"/>
      <c r="G23" s="82"/>
      <c r="H23" s="103"/>
      <c r="I23" s="73"/>
      <c r="J23" s="6"/>
      <c r="K23" s="6"/>
      <c r="L23" s="6"/>
      <c r="M23" s="6"/>
      <c r="N23" s="6"/>
      <c r="O23" s="6"/>
      <c r="P23" s="6"/>
      <c r="Q23" s="6"/>
      <c r="R23" s="6"/>
    </row>
    <row r="24" spans="1:21" x14ac:dyDescent="0.25">
      <c r="A24" s="11"/>
      <c r="B24" s="98">
        <f>B22+B23</f>
        <v>-21645004.480553567</v>
      </c>
      <c r="C24" s="11"/>
      <c r="D24" s="11"/>
      <c r="E24" s="11"/>
      <c r="F24" s="74"/>
      <c r="G24" s="82"/>
      <c r="H24" s="11"/>
      <c r="I24" s="11"/>
      <c r="J24" s="6"/>
      <c r="K24" s="6"/>
      <c r="L24" s="6"/>
      <c r="M24" s="6"/>
      <c r="N24" s="6"/>
      <c r="O24" s="6"/>
      <c r="P24" s="6"/>
      <c r="Q24" s="6"/>
      <c r="R24" s="6"/>
    </row>
    <row r="25" spans="1:21" x14ac:dyDescent="0.25">
      <c r="A25" s="108" t="s">
        <v>176</v>
      </c>
    </row>
    <row r="26" spans="1:21" x14ac:dyDescent="0.25">
      <c r="A26" s="13" t="str">
        <f t="array" ref="A26:Q47">_xll.qlSwapLegAnalysis(A14,1,,I8)</f>
        <v>Payment Date</v>
      </c>
      <c r="B26" s="13" t="str">
        <v>Amount</v>
      </c>
      <c r="C26" s="13" t="str">
        <v>Nominal</v>
      </c>
      <c r="D26" s="13" t="str">
        <v>Accrual Start Date</v>
      </c>
      <c r="E26" s="13" t="str">
        <v>Accrual End Date</v>
      </c>
      <c r="F26" s="13" t="str">
        <v>Accrual Days</v>
      </c>
      <c r="G26" s="13" t="str">
        <v>Index</v>
      </c>
      <c r="H26" s="13" t="str">
        <v>Fixing Days</v>
      </c>
      <c r="I26" s="13" t="str">
        <v>Fixing Dates</v>
      </c>
      <c r="J26" s="14" t="str">
        <v>Day Counter</v>
      </c>
      <c r="K26" s="15" t="str">
        <v>Accrual Period</v>
      </c>
      <c r="L26" s="16" t="str">
        <v>Effective Rate</v>
      </c>
      <c r="M26" s="16" t="str">
        <v>Floor</v>
      </c>
      <c r="N26" s="14" t="str">
        <v>Gearing</v>
      </c>
      <c r="O26" s="14" t="str">
        <v>Index Fixing</v>
      </c>
      <c r="P26" s="14" t="str">
        <v>Conv. Adj.</v>
      </c>
      <c r="Q26" s="14" t="str">
        <v>Spread</v>
      </c>
    </row>
    <row r="27" spans="1:21" x14ac:dyDescent="0.25">
      <c r="A27" s="99">
        <v>44742</v>
      </c>
      <c r="B27" s="104">
        <v>9093019.1780821905</v>
      </c>
      <c r="C27" s="104">
        <v>5000000000</v>
      </c>
      <c r="D27" s="99">
        <v>44651</v>
      </c>
      <c r="E27" s="99">
        <v>44742</v>
      </c>
      <c r="F27" s="13">
        <v>91</v>
      </c>
      <c r="G27" s="13" t="str">
        <v>CPIndex3M Actual/Actual (ISDA)</v>
      </c>
      <c r="H27" s="13">
        <v>2</v>
      </c>
      <c r="I27" s="99">
        <v>44649</v>
      </c>
      <c r="J27" s="14" t="str">
        <v>Actual/Actual (ISDA)</v>
      </c>
      <c r="K27" s="15">
        <v>0.24931506849315066</v>
      </c>
      <c r="L27" s="13">
        <v>7.2944000000000004E-3</v>
      </c>
      <c r="M27" s="100" t="str">
        <v>#N/A</v>
      </c>
      <c r="N27" s="14">
        <v>1</v>
      </c>
      <c r="O27" s="105">
        <v>7.2944000000000004E-3</v>
      </c>
      <c r="P27" s="14">
        <v>0</v>
      </c>
      <c r="Q27" s="14">
        <v>0</v>
      </c>
    </row>
    <row r="28" spans="1:21" x14ac:dyDescent="0.25">
      <c r="A28" s="99">
        <v>44834</v>
      </c>
      <c r="B28" s="104">
        <v>12118337.713339366</v>
      </c>
      <c r="C28" s="104">
        <v>5000000000</v>
      </c>
      <c r="D28" s="99">
        <v>44742</v>
      </c>
      <c r="E28" s="99">
        <v>44834</v>
      </c>
      <c r="F28" s="13">
        <v>92</v>
      </c>
      <c r="G28" s="13" t="str">
        <v>CPIndex3M Actual/Actual (ISDA)</v>
      </c>
      <c r="H28" s="13">
        <v>2</v>
      </c>
      <c r="I28" s="99">
        <v>44740</v>
      </c>
      <c r="J28" s="14" t="str">
        <v>Actual/Actual (ISDA)</v>
      </c>
      <c r="K28" s="15">
        <v>0.25205479452054802</v>
      </c>
      <c r="L28" s="13">
        <v>9.6156375334105811E-3</v>
      </c>
      <c r="M28" s="100" t="str">
        <v>#N/A</v>
      </c>
      <c r="N28" s="14">
        <v>1</v>
      </c>
      <c r="O28" s="105">
        <v>9.6156375334105811E-3</v>
      </c>
      <c r="P28" s="14">
        <v>0</v>
      </c>
      <c r="Q28" s="14">
        <v>0</v>
      </c>
    </row>
    <row r="29" spans="1:21" x14ac:dyDescent="0.25">
      <c r="A29" s="99">
        <v>44925</v>
      </c>
      <c r="B29" s="104">
        <v>14944510.191772232</v>
      </c>
      <c r="C29" s="104">
        <v>5000000000</v>
      </c>
      <c r="D29" s="99">
        <v>44834</v>
      </c>
      <c r="E29" s="99">
        <v>44925</v>
      </c>
      <c r="F29" s="13">
        <v>91</v>
      </c>
      <c r="G29" s="13" t="str">
        <v>CPIndex3M Actual/Actual (ISDA)</v>
      </c>
      <c r="H29" s="13">
        <v>2</v>
      </c>
      <c r="I29" s="99">
        <v>44832</v>
      </c>
      <c r="J29" s="14" t="str">
        <v>Actual/Actual (ISDA)</v>
      </c>
      <c r="K29" s="15">
        <v>0.24931506849315066</v>
      </c>
      <c r="L29" s="13">
        <v>1.1988453230762341E-2</v>
      </c>
      <c r="M29" s="100" t="str">
        <v>#N/A</v>
      </c>
      <c r="N29" s="14">
        <v>1</v>
      </c>
      <c r="O29" s="105">
        <v>1.1988453230762341E-2</v>
      </c>
      <c r="P29" s="14">
        <v>0</v>
      </c>
      <c r="Q29" s="14">
        <v>0</v>
      </c>
    </row>
    <row r="30" spans="1:21" x14ac:dyDescent="0.25">
      <c r="A30" s="99">
        <v>45016</v>
      </c>
      <c r="B30" s="104">
        <v>17888128.820126027</v>
      </c>
      <c r="C30" s="104">
        <v>5000000000</v>
      </c>
      <c r="D30" s="99">
        <v>44925</v>
      </c>
      <c r="E30" s="99">
        <v>45016</v>
      </c>
      <c r="F30" s="13">
        <v>91</v>
      </c>
      <c r="G30" s="13" t="str">
        <v>CPIndex3M Actual/Actual (ISDA)</v>
      </c>
      <c r="H30" s="13">
        <v>2</v>
      </c>
      <c r="I30" s="99">
        <v>44923</v>
      </c>
      <c r="J30" s="14" t="str">
        <v>Actual/Actual (ISDA)</v>
      </c>
      <c r="K30" s="15">
        <v>0.24931506849315069</v>
      </c>
      <c r="L30" s="13">
        <v>1.4349817624936262E-2</v>
      </c>
      <c r="M30" s="100" t="str">
        <v>#N/A</v>
      </c>
      <c r="N30" s="14">
        <v>1</v>
      </c>
      <c r="O30" s="105">
        <v>1.4349817624936262E-2</v>
      </c>
      <c r="P30" s="14">
        <v>0</v>
      </c>
      <c r="Q30" s="14">
        <v>0</v>
      </c>
    </row>
    <row r="31" spans="1:21" x14ac:dyDescent="0.25">
      <c r="A31" s="99">
        <v>45107</v>
      </c>
      <c r="B31" s="104">
        <v>19531546.876152549</v>
      </c>
      <c r="C31" s="104">
        <v>5000000000</v>
      </c>
      <c r="D31" s="99">
        <v>45016</v>
      </c>
      <c r="E31" s="99">
        <v>45107</v>
      </c>
      <c r="F31" s="13">
        <v>91</v>
      </c>
      <c r="G31" s="13" t="str">
        <v>CPIndex3M Actual/Actual (ISDA)</v>
      </c>
      <c r="H31" s="13">
        <v>2</v>
      </c>
      <c r="I31" s="99">
        <v>45014</v>
      </c>
      <c r="J31" s="14" t="str">
        <v>Actual/Actual (ISDA)</v>
      </c>
      <c r="K31" s="15">
        <v>0.24931506849315066</v>
      </c>
      <c r="L31" s="13">
        <v>1.5668163977572928E-2</v>
      </c>
      <c r="M31" s="100" t="str">
        <v>#N/A</v>
      </c>
      <c r="N31" s="14">
        <v>1</v>
      </c>
      <c r="O31" s="105">
        <v>1.5668163977572928E-2</v>
      </c>
      <c r="P31" s="14">
        <v>0</v>
      </c>
      <c r="Q31" s="14">
        <v>0</v>
      </c>
    </row>
    <row r="32" spans="1:21" x14ac:dyDescent="0.25">
      <c r="A32" s="99">
        <v>45198</v>
      </c>
      <c r="B32" s="104">
        <v>21960287.883500129</v>
      </c>
      <c r="C32" s="104">
        <v>5000000000</v>
      </c>
      <c r="D32" s="99">
        <v>45107</v>
      </c>
      <c r="E32" s="99">
        <v>45198</v>
      </c>
      <c r="F32" s="13">
        <v>91</v>
      </c>
      <c r="G32" s="13" t="str">
        <v>CPIndex3M Actual/Actual (ISDA)</v>
      </c>
      <c r="H32" s="13">
        <v>2</v>
      </c>
      <c r="I32" s="99">
        <v>45105</v>
      </c>
      <c r="J32" s="14" t="str">
        <v>Actual/Actual (ISDA)</v>
      </c>
      <c r="K32" s="15">
        <v>0.24931506849315066</v>
      </c>
      <c r="L32" s="13">
        <v>1.7616494675774832E-2</v>
      </c>
      <c r="M32" s="100" t="str">
        <v>#N/A</v>
      </c>
      <c r="N32" s="14">
        <v>1</v>
      </c>
      <c r="O32" s="105">
        <v>1.7616494675774832E-2</v>
      </c>
      <c r="P32" s="14">
        <v>0</v>
      </c>
      <c r="Q32" s="14">
        <v>0</v>
      </c>
    </row>
    <row r="33" spans="1:17" x14ac:dyDescent="0.25">
      <c r="A33" s="99">
        <v>45289</v>
      </c>
      <c r="B33" s="104">
        <v>24390204.056862209</v>
      </c>
      <c r="C33" s="104">
        <v>5000000000</v>
      </c>
      <c r="D33" s="99">
        <v>45198</v>
      </c>
      <c r="E33" s="99">
        <v>45289</v>
      </c>
      <c r="F33" s="13">
        <v>91</v>
      </c>
      <c r="G33" s="13" t="str">
        <v>CPIndex3M Actual/Actual (ISDA)</v>
      </c>
      <c r="H33" s="13">
        <v>2</v>
      </c>
      <c r="I33" s="99">
        <v>45196</v>
      </c>
      <c r="J33" s="14" t="str">
        <v>Actual/Actual (ISDA)</v>
      </c>
      <c r="K33" s="15">
        <v>0.24931506849315077</v>
      </c>
      <c r="L33" s="13">
        <v>1.9565768089570775E-2</v>
      </c>
      <c r="M33" s="100" t="str">
        <v>#N/A</v>
      </c>
      <c r="N33" s="14">
        <v>1</v>
      </c>
      <c r="O33" s="105">
        <v>1.9565768089570775E-2</v>
      </c>
      <c r="P33" s="14">
        <v>0</v>
      </c>
      <c r="Q33" s="14">
        <v>0</v>
      </c>
    </row>
    <row r="34" spans="1:17" x14ac:dyDescent="0.25">
      <c r="A34" s="99">
        <v>45380</v>
      </c>
      <c r="B34" s="104">
        <v>26821295.964852832</v>
      </c>
      <c r="C34" s="104">
        <v>5000000000</v>
      </c>
      <c r="D34" s="99">
        <v>45289</v>
      </c>
      <c r="E34" s="99">
        <v>45380</v>
      </c>
      <c r="F34" s="13">
        <v>91</v>
      </c>
      <c r="G34" s="13" t="str">
        <v>CPIndex3M Actual/Actual (ISDA)</v>
      </c>
      <c r="H34" s="13">
        <v>2</v>
      </c>
      <c r="I34" s="99">
        <v>45287</v>
      </c>
      <c r="J34" s="14" t="str">
        <v>Actual/Actual (ISDA)</v>
      </c>
      <c r="K34" s="15">
        <v>0.24865633655213712</v>
      </c>
      <c r="L34" s="13">
        <v>2.1572984092628634E-2</v>
      </c>
      <c r="M34" s="100" t="str">
        <v>#N/A</v>
      </c>
      <c r="N34" s="14">
        <v>1</v>
      </c>
      <c r="O34" s="105">
        <v>2.1572984092628634E-2</v>
      </c>
      <c r="P34" s="14">
        <v>0</v>
      </c>
      <c r="Q34" s="14">
        <v>0</v>
      </c>
    </row>
    <row r="35" spans="1:17" x14ac:dyDescent="0.25">
      <c r="A35" s="99">
        <v>45471</v>
      </c>
      <c r="B35" s="104">
        <v>21316868.986062109</v>
      </c>
      <c r="C35" s="104">
        <v>5000000000</v>
      </c>
      <c r="D35" s="99">
        <v>45380</v>
      </c>
      <c r="E35" s="99">
        <v>45471</v>
      </c>
      <c r="F35" s="13">
        <v>91</v>
      </c>
      <c r="G35" s="13" t="str">
        <v>CPIndex3M Actual/Actual (ISDA)</v>
      </c>
      <c r="H35" s="13">
        <v>2</v>
      </c>
      <c r="I35" s="99">
        <v>45378</v>
      </c>
      <c r="J35" s="14" t="str">
        <v>Actual/Actual (ISDA)</v>
      </c>
      <c r="K35" s="15">
        <v>0.24863387978142071</v>
      </c>
      <c r="L35" s="13">
        <v>1.7147195711865348E-2</v>
      </c>
      <c r="M35" s="100" t="str">
        <v>#N/A</v>
      </c>
      <c r="N35" s="14">
        <v>1</v>
      </c>
      <c r="O35" s="105">
        <v>1.7147195711865348E-2</v>
      </c>
      <c r="P35" s="14">
        <v>0</v>
      </c>
      <c r="Q35" s="14">
        <v>0</v>
      </c>
    </row>
    <row r="36" spans="1:17" x14ac:dyDescent="0.25">
      <c r="A36" s="99">
        <v>45565</v>
      </c>
      <c r="B36" s="104">
        <v>22416819.047024194</v>
      </c>
      <c r="C36" s="104">
        <v>5000000000</v>
      </c>
      <c r="D36" s="99">
        <v>45471</v>
      </c>
      <c r="E36" s="99">
        <v>45565</v>
      </c>
      <c r="F36" s="13">
        <v>94</v>
      </c>
      <c r="G36" s="13" t="str">
        <v>CPIndex3M Actual/Actual (ISDA)</v>
      </c>
      <c r="H36" s="13">
        <v>2</v>
      </c>
      <c r="I36" s="99">
        <v>45469</v>
      </c>
      <c r="J36" s="14" t="str">
        <v>Actual/Actual (ISDA)</v>
      </c>
      <c r="K36" s="15">
        <v>0.25683060109289624</v>
      </c>
      <c r="L36" s="13">
        <v>1.7456501640874155E-2</v>
      </c>
      <c r="M36" s="100" t="str">
        <v>#N/A</v>
      </c>
      <c r="N36" s="14">
        <v>1</v>
      </c>
      <c r="O36" s="105">
        <v>1.7456501640874155E-2</v>
      </c>
      <c r="P36" s="14">
        <v>0</v>
      </c>
      <c r="Q36" s="14">
        <v>0</v>
      </c>
    </row>
    <row r="37" spans="1:17" x14ac:dyDescent="0.25">
      <c r="A37" s="99">
        <v>45657</v>
      </c>
      <c r="B37" s="104">
        <v>22572576.616810557</v>
      </c>
      <c r="C37" s="104">
        <v>5000000000</v>
      </c>
      <c r="D37" s="99">
        <v>45565</v>
      </c>
      <c r="E37" s="99">
        <v>45657</v>
      </c>
      <c r="F37" s="13">
        <v>92</v>
      </c>
      <c r="G37" s="13" t="str">
        <v>CPIndex3M Actual/Actual (ISDA)</v>
      </c>
      <c r="H37" s="13">
        <v>2</v>
      </c>
      <c r="I37" s="99">
        <v>45561</v>
      </c>
      <c r="J37" s="14" t="str">
        <v>Actual/Actual (ISDA)</v>
      </c>
      <c r="K37" s="15">
        <v>0.25136612021857918</v>
      </c>
      <c r="L37" s="13">
        <v>1.7959919655984057E-2</v>
      </c>
      <c r="M37" s="100" t="str">
        <v>#N/A</v>
      </c>
      <c r="N37" s="14">
        <v>1</v>
      </c>
      <c r="O37" s="105">
        <v>1.7959919655984057E-2</v>
      </c>
      <c r="P37" s="14">
        <v>0</v>
      </c>
      <c r="Q37" s="14">
        <v>0</v>
      </c>
    </row>
    <row r="38" spans="1:17" x14ac:dyDescent="0.25">
      <c r="A38" s="99">
        <v>45747</v>
      </c>
      <c r="B38" s="104">
        <v>22687447.8514838</v>
      </c>
      <c r="C38" s="104">
        <v>5000000000</v>
      </c>
      <c r="D38" s="99">
        <v>45657</v>
      </c>
      <c r="E38" s="99">
        <v>45747</v>
      </c>
      <c r="F38" s="13">
        <v>90</v>
      </c>
      <c r="G38" s="13" t="str">
        <v>CPIndex3M Actual/Actual (ISDA)</v>
      </c>
      <c r="H38" s="13">
        <v>2</v>
      </c>
      <c r="I38" s="99">
        <v>45653</v>
      </c>
      <c r="J38" s="14" t="str">
        <v>Actual/Actual (ISDA)</v>
      </c>
      <c r="K38" s="15">
        <v>0.24656785687551463</v>
      </c>
      <c r="L38" s="13">
        <v>1.8402599705393125E-2</v>
      </c>
      <c r="M38" s="100" t="str">
        <v>#N/A</v>
      </c>
      <c r="N38" s="14">
        <v>1</v>
      </c>
      <c r="O38" s="105">
        <v>1.8402599705393125E-2</v>
      </c>
      <c r="P38" s="14">
        <v>0</v>
      </c>
      <c r="Q38" s="14">
        <v>0</v>
      </c>
    </row>
    <row r="39" spans="1:17" x14ac:dyDescent="0.25">
      <c r="A39" s="99">
        <v>45838</v>
      </c>
      <c r="B39" s="104">
        <v>17789417.608037315</v>
      </c>
      <c r="C39" s="104">
        <v>5000000000</v>
      </c>
      <c r="D39" s="99">
        <v>45747</v>
      </c>
      <c r="E39" s="99">
        <v>45838</v>
      </c>
      <c r="F39" s="13">
        <v>91</v>
      </c>
      <c r="G39" s="13" t="str">
        <v>CPIndex3M Actual/Actual (ISDA)</v>
      </c>
      <c r="H39" s="13">
        <v>2</v>
      </c>
      <c r="I39" s="99">
        <v>45743</v>
      </c>
      <c r="J39" s="14" t="str">
        <v>Actual/Actual (ISDA)</v>
      </c>
      <c r="K39" s="15">
        <v>0.24931506849315066</v>
      </c>
      <c r="L39" s="13">
        <v>1.427063170754642E-2</v>
      </c>
      <c r="M39" s="100" t="str">
        <v>#N/A</v>
      </c>
      <c r="N39" s="14">
        <v>1</v>
      </c>
      <c r="O39" s="105">
        <v>1.427063170754642E-2</v>
      </c>
      <c r="P39" s="14">
        <v>0</v>
      </c>
      <c r="Q39" s="14">
        <v>0</v>
      </c>
    </row>
    <row r="40" spans="1:17" x14ac:dyDescent="0.25">
      <c r="A40" s="99">
        <v>45930</v>
      </c>
      <c r="B40" s="104">
        <v>17712350.282647062</v>
      </c>
      <c r="C40" s="104">
        <v>5000000000</v>
      </c>
      <c r="D40" s="99">
        <v>45838</v>
      </c>
      <c r="E40" s="99">
        <v>45930</v>
      </c>
      <c r="F40" s="13">
        <v>92</v>
      </c>
      <c r="G40" s="13" t="str">
        <v>CPIndex3M Actual/Actual (ISDA)</v>
      </c>
      <c r="H40" s="13">
        <v>2</v>
      </c>
      <c r="I40" s="99">
        <v>45834</v>
      </c>
      <c r="J40" s="14" t="str">
        <v>Actual/Actual (ISDA)</v>
      </c>
      <c r="K40" s="15">
        <v>0.25205479452054802</v>
      </c>
      <c r="L40" s="13">
        <v>1.4054364898187337E-2</v>
      </c>
      <c r="M40" s="100" t="str">
        <v>#N/A</v>
      </c>
      <c r="N40" s="14">
        <v>1</v>
      </c>
      <c r="O40" s="105">
        <v>1.4054364898187337E-2</v>
      </c>
      <c r="P40" s="14">
        <v>0</v>
      </c>
      <c r="Q40" s="14">
        <v>0</v>
      </c>
    </row>
    <row r="41" spans="1:17" x14ac:dyDescent="0.25">
      <c r="A41" s="99">
        <v>46022</v>
      </c>
      <c r="B41" s="104">
        <v>17437967.350993898</v>
      </c>
      <c r="C41" s="104">
        <v>5000000000</v>
      </c>
      <c r="D41" s="99">
        <v>45930</v>
      </c>
      <c r="E41" s="99">
        <v>46022</v>
      </c>
      <c r="F41" s="13">
        <v>92</v>
      </c>
      <c r="G41" s="13" t="str">
        <v>CPIndex3M Actual/Actual (ISDA)</v>
      </c>
      <c r="H41" s="13">
        <v>2</v>
      </c>
      <c r="I41" s="99">
        <v>45926</v>
      </c>
      <c r="J41" s="14" t="str">
        <v>Actual/Actual (ISDA)</v>
      </c>
      <c r="K41" s="15">
        <v>0.25205479452054791</v>
      </c>
      <c r="L41" s="13">
        <v>1.38366480067669E-2</v>
      </c>
      <c r="M41" s="100" t="str">
        <v>#N/A</v>
      </c>
      <c r="N41" s="14">
        <v>1</v>
      </c>
      <c r="O41" s="105">
        <v>1.38366480067669E-2</v>
      </c>
      <c r="P41" s="14">
        <v>0</v>
      </c>
      <c r="Q41" s="14">
        <v>0</v>
      </c>
    </row>
    <row r="42" spans="1:17" x14ac:dyDescent="0.25">
      <c r="A42" s="99">
        <v>46112</v>
      </c>
      <c r="B42" s="104">
        <v>16792769.070856918</v>
      </c>
      <c r="C42" s="104">
        <v>5000000000</v>
      </c>
      <c r="D42" s="99">
        <v>46022</v>
      </c>
      <c r="E42" s="99">
        <v>46112</v>
      </c>
      <c r="F42" s="13">
        <v>90</v>
      </c>
      <c r="G42" s="13" t="str">
        <v>CPIndex3M Actual/Actual (ISDA)</v>
      </c>
      <c r="H42" s="13">
        <v>2</v>
      </c>
      <c r="I42" s="99">
        <v>46020</v>
      </c>
      <c r="J42" s="14" t="str">
        <v>Actual/Actual (ISDA)</v>
      </c>
      <c r="K42" s="15">
        <v>0.24657534246575341</v>
      </c>
      <c r="L42" s="13">
        <v>1.3620801579695056E-2</v>
      </c>
      <c r="M42" s="100" t="str">
        <v>#N/A</v>
      </c>
      <c r="N42" s="14">
        <v>1</v>
      </c>
      <c r="O42" s="105">
        <v>1.3620801579695056E-2</v>
      </c>
      <c r="P42" s="14">
        <v>0</v>
      </c>
      <c r="Q42" s="14">
        <v>0</v>
      </c>
    </row>
    <row r="43" spans="1:17" x14ac:dyDescent="0.25">
      <c r="A43" s="99">
        <v>46203</v>
      </c>
      <c r="B43" s="104">
        <v>14367475.405151486</v>
      </c>
      <c r="C43" s="104">
        <v>5000000000</v>
      </c>
      <c r="D43" s="99">
        <v>46112</v>
      </c>
      <c r="E43" s="99">
        <v>46203</v>
      </c>
      <c r="F43" s="13">
        <v>91</v>
      </c>
      <c r="G43" s="13" t="str">
        <v>CPIndex3M Actual/Actual (ISDA)</v>
      </c>
      <c r="H43" s="13">
        <v>2</v>
      </c>
      <c r="I43" s="99">
        <v>46108</v>
      </c>
      <c r="J43" s="14" t="str">
        <v>Actual/Actual (ISDA)</v>
      </c>
      <c r="K43" s="15">
        <v>0.24931506849315066</v>
      </c>
      <c r="L43" s="13">
        <v>1.1525557193143502E-2</v>
      </c>
      <c r="M43" s="100" t="str">
        <v>#N/A</v>
      </c>
      <c r="N43" s="14">
        <v>1</v>
      </c>
      <c r="O43" s="105">
        <v>1.1525557193143502E-2</v>
      </c>
      <c r="P43" s="14">
        <v>0</v>
      </c>
      <c r="Q43" s="14">
        <v>0</v>
      </c>
    </row>
    <row r="44" spans="1:17" x14ac:dyDescent="0.25">
      <c r="A44" s="99">
        <v>46295</v>
      </c>
      <c r="B44" s="104">
        <v>13973735.672421217</v>
      </c>
      <c r="C44" s="104">
        <v>5000000000</v>
      </c>
      <c r="D44" s="99">
        <v>46203</v>
      </c>
      <c r="E44" s="99">
        <v>46295</v>
      </c>
      <c r="F44" s="13">
        <v>92</v>
      </c>
      <c r="G44" s="13" t="str">
        <v>CPIndex3M Actual/Actual (ISDA)</v>
      </c>
      <c r="H44" s="13">
        <v>2</v>
      </c>
      <c r="I44" s="99">
        <v>46199</v>
      </c>
      <c r="J44" s="14" t="str">
        <v>Actual/Actual (ISDA)</v>
      </c>
      <c r="K44" s="15">
        <v>0.25205479452054802</v>
      </c>
      <c r="L44" s="13">
        <v>1.1087855479203788E-2</v>
      </c>
      <c r="M44" s="100" t="str">
        <v>#N/A</v>
      </c>
      <c r="N44" s="14">
        <v>1</v>
      </c>
      <c r="O44" s="105">
        <v>1.1087855479203788E-2</v>
      </c>
      <c r="P44" s="14">
        <v>0</v>
      </c>
      <c r="Q44" s="14">
        <v>0</v>
      </c>
    </row>
    <row r="45" spans="1:17" x14ac:dyDescent="0.25">
      <c r="A45" s="99">
        <v>46387</v>
      </c>
      <c r="B45" s="104">
        <v>13418928.11825729</v>
      </c>
      <c r="C45" s="104">
        <v>5000000000</v>
      </c>
      <c r="D45" s="99">
        <v>46295</v>
      </c>
      <c r="E45" s="99">
        <v>46387</v>
      </c>
      <c r="F45" s="13">
        <v>92</v>
      </c>
      <c r="G45" s="13" t="str">
        <v>CPIndex3M Actual/Actual (ISDA)</v>
      </c>
      <c r="H45" s="13">
        <v>2</v>
      </c>
      <c r="I45" s="99">
        <v>46293</v>
      </c>
      <c r="J45" s="14" t="str">
        <v>Actual/Actual (ISDA)</v>
      </c>
      <c r="K45" s="15">
        <v>0.25205479452054791</v>
      </c>
      <c r="L45" s="13">
        <v>1.0647627746008503E-2</v>
      </c>
      <c r="M45" s="100" t="str">
        <v>#N/A</v>
      </c>
      <c r="N45" s="14">
        <v>1</v>
      </c>
      <c r="O45" s="105">
        <v>1.0647627746008503E-2</v>
      </c>
      <c r="P45" s="14">
        <v>0</v>
      </c>
      <c r="Q45" s="14">
        <v>0</v>
      </c>
    </row>
    <row r="46" spans="1:17" x14ac:dyDescent="0.25">
      <c r="A46" s="99">
        <v>46477</v>
      </c>
      <c r="B46" s="104">
        <v>12590072.312903544</v>
      </c>
      <c r="C46" s="104">
        <v>5000000000</v>
      </c>
      <c r="D46" s="99">
        <v>46387</v>
      </c>
      <c r="E46" s="99">
        <v>46477</v>
      </c>
      <c r="F46" s="13">
        <v>90</v>
      </c>
      <c r="G46" s="13" t="str">
        <v>CPIndex3M Actual/Actual (ISDA)</v>
      </c>
      <c r="H46" s="13">
        <v>2</v>
      </c>
      <c r="I46" s="99">
        <v>46385</v>
      </c>
      <c r="J46" s="14" t="str">
        <v>Actual/Actual (ISDA)</v>
      </c>
      <c r="K46" s="15">
        <v>0.24657534246575341</v>
      </c>
      <c r="L46" s="13">
        <v>1.0211947542688431E-2</v>
      </c>
      <c r="M46" s="100" t="str">
        <v>#N/A</v>
      </c>
      <c r="N46" s="14">
        <v>1</v>
      </c>
      <c r="O46" s="105">
        <v>1.0211947542688431E-2</v>
      </c>
      <c r="P46" s="14">
        <v>0</v>
      </c>
      <c r="Q46" s="14">
        <v>0</v>
      </c>
    </row>
    <row r="47" spans="1:17" x14ac:dyDescent="0.25">
      <c r="A47" s="13" t="e">
        <v>#N/A</v>
      </c>
      <c r="B47" s="13" t="e">
        <v>#N/A</v>
      </c>
      <c r="C47" s="13" t="e">
        <v>#N/A</v>
      </c>
      <c r="D47" s="13" t="e">
        <v>#N/A</v>
      </c>
      <c r="E47" s="13" t="e">
        <v>#N/A</v>
      </c>
      <c r="F47" s="13" t="e">
        <v>#N/A</v>
      </c>
      <c r="G47" s="13" t="e">
        <v>#N/A</v>
      </c>
      <c r="H47" s="13" t="e">
        <v>#N/A</v>
      </c>
      <c r="I47" s="13" t="e">
        <v>#N/A</v>
      </c>
      <c r="J47" s="14" t="e">
        <v>#N/A</v>
      </c>
      <c r="K47" s="15" t="e">
        <v>#N/A</v>
      </c>
      <c r="L47" s="16" t="e">
        <v>#N/A</v>
      </c>
      <c r="M47" s="16" t="e">
        <v>#N/A</v>
      </c>
      <c r="N47" s="14" t="e">
        <v>#N/A</v>
      </c>
      <c r="O47" s="14" t="e">
        <v>#N/A</v>
      </c>
      <c r="P47" s="14" t="e">
        <v>#N/A</v>
      </c>
      <c r="Q47" s="14" t="e">
        <v>#N/A</v>
      </c>
    </row>
    <row r="48" spans="1:17" x14ac:dyDescent="0.25">
      <c r="A48" s="107" t="s">
        <v>175</v>
      </c>
    </row>
    <row r="49" spans="1:17" x14ac:dyDescent="0.25">
      <c r="A49" s="13" t="str">
        <f t="array" ref="A49:Q70">_xll.qlSwapLegAnalysis(A14,0,,O11)</f>
        <v>Payment Date</v>
      </c>
      <c r="B49" s="13" t="str">
        <v>Amount</v>
      </c>
      <c r="C49" s="13" t="str">
        <v>Nominal</v>
      </c>
      <c r="D49" s="13" t="str">
        <v>Accrual Start Date</v>
      </c>
      <c r="E49" s="13" t="str">
        <v>Accrual End Date</v>
      </c>
      <c r="F49" s="13" t="str">
        <v>Accrual Days</v>
      </c>
      <c r="G49" s="13" t="str">
        <v>Index</v>
      </c>
      <c r="H49" s="13" t="str">
        <v>Fixing Days</v>
      </c>
      <c r="I49" s="13" t="str">
        <v>Fixing Dates</v>
      </c>
      <c r="J49" s="14" t="str">
        <v>Day Counter</v>
      </c>
      <c r="K49" s="15" t="str">
        <v>Accrual Period</v>
      </c>
      <c r="L49" s="16" t="str">
        <v>Effective Rate</v>
      </c>
      <c r="M49" s="16" t="str">
        <v>Floor</v>
      </c>
      <c r="N49" s="14" t="str">
        <v>Gearing</v>
      </c>
      <c r="O49" s="14" t="str">
        <v>Index Fixing</v>
      </c>
      <c r="P49" s="14" t="str">
        <v>Conv. Adj.</v>
      </c>
      <c r="Q49" s="14" t="str">
        <v>Spread</v>
      </c>
    </row>
    <row r="50" spans="1:17" x14ac:dyDescent="0.25">
      <c r="A50" s="99">
        <v>44742</v>
      </c>
      <c r="B50" s="104">
        <v>16828767.123288069</v>
      </c>
      <c r="C50" s="104">
        <v>5000000000</v>
      </c>
      <c r="D50" s="99">
        <v>44651</v>
      </c>
      <c r="E50" s="99">
        <v>44742</v>
      </c>
      <c r="F50" s="13">
        <v>91</v>
      </c>
      <c r="G50" s="13" t="str">
        <v>#N/A</v>
      </c>
      <c r="H50" s="13" t="str">
        <v>#N/A</v>
      </c>
      <c r="I50" s="13" t="str">
        <v>#N/A</v>
      </c>
      <c r="J50" s="14" t="str">
        <v>Actual/Actual (ISDA)</v>
      </c>
      <c r="K50" s="15">
        <v>0.24931506849315066</v>
      </c>
      <c r="L50" s="105">
        <v>1.35E-2</v>
      </c>
      <c r="M50" s="16" t="str">
        <v>#N/A</v>
      </c>
      <c r="N50" s="14" t="str">
        <v>#N/A</v>
      </c>
      <c r="O50" s="14" t="str">
        <v>#N/A</v>
      </c>
      <c r="P50" s="14" t="str">
        <v>#N/A</v>
      </c>
      <c r="Q50" s="14" t="str">
        <v>#N/A</v>
      </c>
    </row>
    <row r="51" spans="1:17" x14ac:dyDescent="0.25">
      <c r="A51" s="99">
        <v>44834</v>
      </c>
      <c r="B51" s="104">
        <v>17013698.630137242</v>
      </c>
      <c r="C51" s="104">
        <v>5000000000</v>
      </c>
      <c r="D51" s="99">
        <v>44742</v>
      </c>
      <c r="E51" s="99">
        <v>44834</v>
      </c>
      <c r="F51" s="13">
        <v>92</v>
      </c>
      <c r="G51" s="13" t="str">
        <v>#N/A</v>
      </c>
      <c r="H51" s="13" t="str">
        <v>#N/A</v>
      </c>
      <c r="I51" s="13" t="str">
        <v>#N/A</v>
      </c>
      <c r="J51" s="14" t="str">
        <v>Actual/Actual (ISDA)</v>
      </c>
      <c r="K51" s="15">
        <v>0.25205479452054802</v>
      </c>
      <c r="L51" s="105">
        <v>1.35E-2</v>
      </c>
      <c r="M51" s="16" t="str">
        <v>#N/A</v>
      </c>
      <c r="N51" s="14" t="str">
        <v>#N/A</v>
      </c>
      <c r="O51" s="14" t="str">
        <v>#N/A</v>
      </c>
      <c r="P51" s="14" t="str">
        <v>#N/A</v>
      </c>
      <c r="Q51" s="14" t="str">
        <v>#N/A</v>
      </c>
    </row>
    <row r="52" spans="1:17" x14ac:dyDescent="0.25">
      <c r="A52" s="99">
        <v>44925</v>
      </c>
      <c r="B52" s="104">
        <v>16828767.123288069</v>
      </c>
      <c r="C52" s="104">
        <v>5000000000</v>
      </c>
      <c r="D52" s="99">
        <v>44834</v>
      </c>
      <c r="E52" s="99">
        <v>44925</v>
      </c>
      <c r="F52" s="13">
        <v>91</v>
      </c>
      <c r="G52" s="13" t="str">
        <v>#N/A</v>
      </c>
      <c r="H52" s="13" t="str">
        <v>#N/A</v>
      </c>
      <c r="I52" s="13" t="str">
        <v>#N/A</v>
      </c>
      <c r="J52" s="14" t="str">
        <v>Actual/Actual (ISDA)</v>
      </c>
      <c r="K52" s="15">
        <v>0.24931506849315066</v>
      </c>
      <c r="L52" s="105">
        <v>1.35E-2</v>
      </c>
      <c r="M52" s="16" t="str">
        <v>#N/A</v>
      </c>
      <c r="N52" s="14" t="str">
        <v>#N/A</v>
      </c>
      <c r="O52" s="14" t="str">
        <v>#N/A</v>
      </c>
      <c r="P52" s="14" t="str">
        <v>#N/A</v>
      </c>
      <c r="Q52" s="14" t="str">
        <v>#N/A</v>
      </c>
    </row>
    <row r="53" spans="1:17" x14ac:dyDescent="0.25">
      <c r="A53" s="99">
        <v>45016</v>
      </c>
      <c r="B53" s="104">
        <v>16828767.123288069</v>
      </c>
      <c r="C53" s="104">
        <v>5000000000</v>
      </c>
      <c r="D53" s="99">
        <v>44925</v>
      </c>
      <c r="E53" s="99">
        <v>45016</v>
      </c>
      <c r="F53" s="13">
        <v>91</v>
      </c>
      <c r="G53" s="13" t="str">
        <v>#N/A</v>
      </c>
      <c r="H53" s="13" t="str">
        <v>#N/A</v>
      </c>
      <c r="I53" s="13" t="str">
        <v>#N/A</v>
      </c>
      <c r="J53" s="14" t="str">
        <v>Actual/Actual (ISDA)</v>
      </c>
      <c r="K53" s="15">
        <v>0.24931506849315069</v>
      </c>
      <c r="L53" s="105">
        <v>1.35E-2</v>
      </c>
      <c r="M53" s="16" t="str">
        <v>#N/A</v>
      </c>
      <c r="N53" s="14" t="str">
        <v>#N/A</v>
      </c>
      <c r="O53" s="14" t="str">
        <v>#N/A</v>
      </c>
      <c r="P53" s="14" t="str">
        <v>#N/A</v>
      </c>
      <c r="Q53" s="14" t="str">
        <v>#N/A</v>
      </c>
    </row>
    <row r="54" spans="1:17" x14ac:dyDescent="0.25">
      <c r="A54" s="99">
        <v>45107</v>
      </c>
      <c r="B54" s="104">
        <v>16828767.123288069</v>
      </c>
      <c r="C54" s="104">
        <v>5000000000</v>
      </c>
      <c r="D54" s="99">
        <v>45016</v>
      </c>
      <c r="E54" s="99">
        <v>45107</v>
      </c>
      <c r="F54" s="13">
        <v>91</v>
      </c>
      <c r="G54" s="13" t="str">
        <v>#N/A</v>
      </c>
      <c r="H54" s="13" t="str">
        <v>#N/A</v>
      </c>
      <c r="I54" s="13" t="str">
        <v>#N/A</v>
      </c>
      <c r="J54" s="14" t="str">
        <v>Actual/Actual (ISDA)</v>
      </c>
      <c r="K54" s="15">
        <v>0.24931506849315066</v>
      </c>
      <c r="L54" s="105">
        <v>1.35E-2</v>
      </c>
      <c r="M54" s="16" t="str">
        <v>#N/A</v>
      </c>
      <c r="N54" s="14" t="str">
        <v>#N/A</v>
      </c>
      <c r="O54" s="14" t="str">
        <v>#N/A</v>
      </c>
      <c r="P54" s="14" t="str">
        <v>#N/A</v>
      </c>
      <c r="Q54" s="14" t="str">
        <v>#N/A</v>
      </c>
    </row>
    <row r="55" spans="1:17" x14ac:dyDescent="0.25">
      <c r="A55" s="99">
        <v>45198</v>
      </c>
      <c r="B55" s="104">
        <v>16828767.123288069</v>
      </c>
      <c r="C55" s="104">
        <v>5000000000</v>
      </c>
      <c r="D55" s="99">
        <v>45107</v>
      </c>
      <c r="E55" s="99">
        <v>45198</v>
      </c>
      <c r="F55" s="13">
        <v>91</v>
      </c>
      <c r="G55" s="13" t="str">
        <v>#N/A</v>
      </c>
      <c r="H55" s="13" t="str">
        <v>#N/A</v>
      </c>
      <c r="I55" s="13" t="str">
        <v>#N/A</v>
      </c>
      <c r="J55" s="14" t="str">
        <v>Actual/Actual (ISDA)</v>
      </c>
      <c r="K55" s="15">
        <v>0.24931506849315066</v>
      </c>
      <c r="L55" s="105">
        <v>1.35E-2</v>
      </c>
      <c r="M55" s="16" t="str">
        <v>#N/A</v>
      </c>
      <c r="N55" s="14" t="str">
        <v>#N/A</v>
      </c>
      <c r="O55" s="14" t="str">
        <v>#N/A</v>
      </c>
      <c r="P55" s="14" t="str">
        <v>#N/A</v>
      </c>
      <c r="Q55" s="14" t="str">
        <v>#N/A</v>
      </c>
    </row>
    <row r="56" spans="1:17" x14ac:dyDescent="0.25">
      <c r="A56" s="99">
        <v>45289</v>
      </c>
      <c r="B56" s="104">
        <v>16828767.123288069</v>
      </c>
      <c r="C56" s="104">
        <v>5000000000</v>
      </c>
      <c r="D56" s="99">
        <v>45198</v>
      </c>
      <c r="E56" s="99">
        <v>45289</v>
      </c>
      <c r="F56" s="13">
        <v>91</v>
      </c>
      <c r="G56" s="13" t="str">
        <v>#N/A</v>
      </c>
      <c r="H56" s="13" t="str">
        <v>#N/A</v>
      </c>
      <c r="I56" s="13" t="str">
        <v>#N/A</v>
      </c>
      <c r="J56" s="14" t="str">
        <v>Actual/Actual (ISDA)</v>
      </c>
      <c r="K56" s="15">
        <v>0.24931506849315077</v>
      </c>
      <c r="L56" s="105">
        <v>1.35E-2</v>
      </c>
      <c r="M56" s="16" t="str">
        <v>#N/A</v>
      </c>
      <c r="N56" s="14" t="str">
        <v>#N/A</v>
      </c>
      <c r="O56" s="14" t="str">
        <v>#N/A</v>
      </c>
      <c r="P56" s="14" t="str">
        <v>#N/A</v>
      </c>
      <c r="Q56" s="14" t="str">
        <v>#N/A</v>
      </c>
    </row>
    <row r="57" spans="1:17" x14ac:dyDescent="0.25">
      <c r="A57" s="99">
        <v>45380</v>
      </c>
      <c r="B57" s="104">
        <v>16784302.717268717</v>
      </c>
      <c r="C57" s="104">
        <v>5000000000</v>
      </c>
      <c r="D57" s="99">
        <v>45289</v>
      </c>
      <c r="E57" s="99">
        <v>45380</v>
      </c>
      <c r="F57" s="13">
        <v>91</v>
      </c>
      <c r="G57" s="13" t="str">
        <v>#N/A</v>
      </c>
      <c r="H57" s="13" t="str">
        <v>#N/A</v>
      </c>
      <c r="I57" s="13" t="str">
        <v>#N/A</v>
      </c>
      <c r="J57" s="14" t="str">
        <v>Actual/Actual (ISDA)</v>
      </c>
      <c r="K57" s="15">
        <v>0.24865633655213712</v>
      </c>
      <c r="L57" s="105">
        <v>1.35E-2</v>
      </c>
      <c r="M57" s="16" t="str">
        <v>#N/A</v>
      </c>
      <c r="N57" s="14" t="str">
        <v>#N/A</v>
      </c>
      <c r="O57" s="14" t="str">
        <v>#N/A</v>
      </c>
      <c r="P57" s="14" t="str">
        <v>#N/A</v>
      </c>
      <c r="Q57" s="14" t="str">
        <v>#N/A</v>
      </c>
    </row>
    <row r="58" spans="1:17" x14ac:dyDescent="0.25">
      <c r="A58" s="99">
        <v>45471</v>
      </c>
      <c r="B58" s="104">
        <v>16782786.885245483</v>
      </c>
      <c r="C58" s="104">
        <v>5000000000</v>
      </c>
      <c r="D58" s="99">
        <v>45380</v>
      </c>
      <c r="E58" s="99">
        <v>45471</v>
      </c>
      <c r="F58" s="13">
        <v>91</v>
      </c>
      <c r="G58" s="13" t="str">
        <v>#N/A</v>
      </c>
      <c r="H58" s="13" t="str">
        <v>#N/A</v>
      </c>
      <c r="I58" s="13" t="str">
        <v>#N/A</v>
      </c>
      <c r="J58" s="14" t="str">
        <v>Actual/Actual (ISDA)</v>
      </c>
      <c r="K58" s="15">
        <v>0.24863387978142071</v>
      </c>
      <c r="L58" s="105">
        <v>1.35E-2</v>
      </c>
      <c r="M58" s="16" t="str">
        <v>#N/A</v>
      </c>
      <c r="N58" s="14" t="str">
        <v>#N/A</v>
      </c>
      <c r="O58" s="14" t="str">
        <v>#N/A</v>
      </c>
      <c r="P58" s="14" t="str">
        <v>#N/A</v>
      </c>
      <c r="Q58" s="14" t="str">
        <v>#N/A</v>
      </c>
    </row>
    <row r="59" spans="1:17" x14ac:dyDescent="0.25">
      <c r="A59" s="99">
        <v>45565</v>
      </c>
      <c r="B59" s="104">
        <v>17336065.573770877</v>
      </c>
      <c r="C59" s="104">
        <v>5000000000</v>
      </c>
      <c r="D59" s="99">
        <v>45471</v>
      </c>
      <c r="E59" s="99">
        <v>45565</v>
      </c>
      <c r="F59" s="13">
        <v>94</v>
      </c>
      <c r="G59" s="13" t="str">
        <v>#N/A</v>
      </c>
      <c r="H59" s="13" t="str">
        <v>#N/A</v>
      </c>
      <c r="I59" s="13" t="str">
        <v>#N/A</v>
      </c>
      <c r="J59" s="14" t="str">
        <v>Actual/Actual (ISDA)</v>
      </c>
      <c r="K59" s="15">
        <v>0.25683060109289624</v>
      </c>
      <c r="L59" s="105">
        <v>1.35E-2</v>
      </c>
      <c r="M59" s="16" t="str">
        <v>#N/A</v>
      </c>
      <c r="N59" s="14" t="str">
        <v>#N/A</v>
      </c>
      <c r="O59" s="14" t="str">
        <v>#N/A</v>
      </c>
      <c r="P59" s="14" t="str">
        <v>#N/A</v>
      </c>
      <c r="Q59" s="14" t="str">
        <v>#N/A</v>
      </c>
    </row>
    <row r="60" spans="1:17" x14ac:dyDescent="0.25">
      <c r="A60" s="99">
        <v>45657</v>
      </c>
      <c r="B60" s="104">
        <v>16967213.114753578</v>
      </c>
      <c r="C60" s="104">
        <v>5000000000</v>
      </c>
      <c r="D60" s="99">
        <v>45565</v>
      </c>
      <c r="E60" s="99">
        <v>45657</v>
      </c>
      <c r="F60" s="13">
        <v>92</v>
      </c>
      <c r="G60" s="13" t="str">
        <v>#N/A</v>
      </c>
      <c r="H60" s="13" t="str">
        <v>#N/A</v>
      </c>
      <c r="I60" s="13" t="str">
        <v>#N/A</v>
      </c>
      <c r="J60" s="14" t="str">
        <v>Actual/Actual (ISDA)</v>
      </c>
      <c r="K60" s="15">
        <v>0.25136612021857918</v>
      </c>
      <c r="L60" s="105">
        <v>1.35E-2</v>
      </c>
      <c r="M60" s="16" t="str">
        <v>#N/A</v>
      </c>
      <c r="N60" s="14" t="str">
        <v>#N/A</v>
      </c>
      <c r="O60" s="14" t="str">
        <v>#N/A</v>
      </c>
      <c r="P60" s="14" t="str">
        <v>#N/A</v>
      </c>
      <c r="Q60" s="14" t="str">
        <v>#N/A</v>
      </c>
    </row>
    <row r="61" spans="1:17" x14ac:dyDescent="0.25">
      <c r="A61" s="99">
        <v>45747</v>
      </c>
      <c r="B61" s="104">
        <v>16643330.339096706</v>
      </c>
      <c r="C61" s="104">
        <v>5000000000</v>
      </c>
      <c r="D61" s="99">
        <v>45657</v>
      </c>
      <c r="E61" s="99">
        <v>45747</v>
      </c>
      <c r="F61" s="13">
        <v>90</v>
      </c>
      <c r="G61" s="13" t="str">
        <v>#N/A</v>
      </c>
      <c r="H61" s="13" t="str">
        <v>#N/A</v>
      </c>
      <c r="I61" s="13" t="str">
        <v>#N/A</v>
      </c>
      <c r="J61" s="14" t="str">
        <v>Actual/Actual (ISDA)</v>
      </c>
      <c r="K61" s="15">
        <v>0.24656785687551463</v>
      </c>
      <c r="L61" s="105">
        <v>1.35E-2</v>
      </c>
      <c r="M61" s="16" t="str">
        <v>#N/A</v>
      </c>
      <c r="N61" s="14" t="str">
        <v>#N/A</v>
      </c>
      <c r="O61" s="14" t="str">
        <v>#N/A</v>
      </c>
      <c r="P61" s="14" t="str">
        <v>#N/A</v>
      </c>
      <c r="Q61" s="14" t="str">
        <v>#N/A</v>
      </c>
    </row>
    <row r="62" spans="1:17" x14ac:dyDescent="0.25">
      <c r="A62" s="99">
        <v>45838</v>
      </c>
      <c r="B62" s="104">
        <v>16828767.123288069</v>
      </c>
      <c r="C62" s="104">
        <v>5000000000</v>
      </c>
      <c r="D62" s="99">
        <v>45747</v>
      </c>
      <c r="E62" s="99">
        <v>45838</v>
      </c>
      <c r="F62" s="13">
        <v>91</v>
      </c>
      <c r="G62" s="13" t="str">
        <v>#N/A</v>
      </c>
      <c r="H62" s="13" t="str">
        <v>#N/A</v>
      </c>
      <c r="I62" s="13" t="str">
        <v>#N/A</v>
      </c>
      <c r="J62" s="14" t="str">
        <v>Actual/Actual (ISDA)</v>
      </c>
      <c r="K62" s="15">
        <v>0.24931506849315066</v>
      </c>
      <c r="L62" s="105">
        <v>1.35E-2</v>
      </c>
      <c r="M62" s="16" t="str">
        <v>#N/A</v>
      </c>
      <c r="N62" s="14" t="str">
        <v>#N/A</v>
      </c>
      <c r="O62" s="14" t="str">
        <v>#N/A</v>
      </c>
      <c r="P62" s="14" t="str">
        <v>#N/A</v>
      </c>
      <c r="Q62" s="14" t="str">
        <v>#N/A</v>
      </c>
    </row>
    <row r="63" spans="1:17" x14ac:dyDescent="0.25">
      <c r="A63" s="99">
        <v>45930</v>
      </c>
      <c r="B63" s="104">
        <v>17013698.630137242</v>
      </c>
      <c r="C63" s="104">
        <v>5000000000</v>
      </c>
      <c r="D63" s="99">
        <v>45838</v>
      </c>
      <c r="E63" s="99">
        <v>45930</v>
      </c>
      <c r="F63" s="13">
        <v>92</v>
      </c>
      <c r="G63" s="13" t="str">
        <v>#N/A</v>
      </c>
      <c r="H63" s="13" t="str">
        <v>#N/A</v>
      </c>
      <c r="I63" s="13" t="str">
        <v>#N/A</v>
      </c>
      <c r="J63" s="14" t="str">
        <v>Actual/Actual (ISDA)</v>
      </c>
      <c r="K63" s="15">
        <v>0.25205479452054802</v>
      </c>
      <c r="L63" s="105">
        <v>1.35E-2</v>
      </c>
      <c r="M63" s="16" t="str">
        <v>#N/A</v>
      </c>
      <c r="N63" s="14" t="str">
        <v>#N/A</v>
      </c>
      <c r="O63" s="14" t="str">
        <v>#N/A</v>
      </c>
      <c r="P63" s="14" t="str">
        <v>#N/A</v>
      </c>
      <c r="Q63" s="14" t="str">
        <v>#N/A</v>
      </c>
    </row>
    <row r="64" spans="1:17" x14ac:dyDescent="0.25">
      <c r="A64" s="99">
        <v>46022</v>
      </c>
      <c r="B64" s="104">
        <v>17013698.630137242</v>
      </c>
      <c r="C64" s="104">
        <v>5000000000</v>
      </c>
      <c r="D64" s="99">
        <v>45930</v>
      </c>
      <c r="E64" s="99">
        <v>46022</v>
      </c>
      <c r="F64" s="13">
        <v>92</v>
      </c>
      <c r="G64" s="13" t="str">
        <v>#N/A</v>
      </c>
      <c r="H64" s="13" t="str">
        <v>#N/A</v>
      </c>
      <c r="I64" s="13" t="str">
        <v>#N/A</v>
      </c>
      <c r="J64" s="14" t="str">
        <v>Actual/Actual (ISDA)</v>
      </c>
      <c r="K64" s="15">
        <v>0.25205479452054791</v>
      </c>
      <c r="L64" s="105">
        <v>1.35E-2</v>
      </c>
      <c r="M64" s="16" t="str">
        <v>#N/A</v>
      </c>
      <c r="N64" s="14" t="str">
        <v>#N/A</v>
      </c>
      <c r="O64" s="14" t="str">
        <v>#N/A</v>
      </c>
      <c r="P64" s="14" t="str">
        <v>#N/A</v>
      </c>
      <c r="Q64" s="14" t="str">
        <v>#N/A</v>
      </c>
    </row>
    <row r="65" spans="1:17" x14ac:dyDescent="0.25">
      <c r="A65" s="99">
        <v>46112</v>
      </c>
      <c r="B65" s="104">
        <v>16643835.616438895</v>
      </c>
      <c r="C65" s="104">
        <v>5000000000</v>
      </c>
      <c r="D65" s="99">
        <v>46022</v>
      </c>
      <c r="E65" s="99">
        <v>46112</v>
      </c>
      <c r="F65" s="13">
        <v>90</v>
      </c>
      <c r="G65" s="13" t="str">
        <v>#N/A</v>
      </c>
      <c r="H65" s="13" t="str">
        <v>#N/A</v>
      </c>
      <c r="I65" s="13" t="str">
        <v>#N/A</v>
      </c>
      <c r="J65" s="14" t="str">
        <v>Actual/Actual (ISDA)</v>
      </c>
      <c r="K65" s="15">
        <v>0.24657534246575341</v>
      </c>
      <c r="L65" s="105">
        <v>1.35E-2</v>
      </c>
      <c r="M65" s="16" t="str">
        <v>#N/A</v>
      </c>
      <c r="N65" s="14" t="str">
        <v>#N/A</v>
      </c>
      <c r="O65" s="14" t="str">
        <v>#N/A</v>
      </c>
      <c r="P65" s="14" t="str">
        <v>#N/A</v>
      </c>
      <c r="Q65" s="14" t="str">
        <v>#N/A</v>
      </c>
    </row>
    <row r="66" spans="1:17" x14ac:dyDescent="0.25">
      <c r="A66" s="99">
        <v>46203</v>
      </c>
      <c r="B66" s="104">
        <v>16828767.123288069</v>
      </c>
      <c r="C66" s="104">
        <v>5000000000</v>
      </c>
      <c r="D66" s="99">
        <v>46112</v>
      </c>
      <c r="E66" s="99">
        <v>46203</v>
      </c>
      <c r="F66" s="13">
        <v>91</v>
      </c>
      <c r="G66" s="13" t="str">
        <v>#N/A</v>
      </c>
      <c r="H66" s="13" t="str">
        <v>#N/A</v>
      </c>
      <c r="I66" s="13" t="str">
        <v>#N/A</v>
      </c>
      <c r="J66" s="14" t="str">
        <v>Actual/Actual (ISDA)</v>
      </c>
      <c r="K66" s="15">
        <v>0.24931506849315066</v>
      </c>
      <c r="L66" s="105">
        <v>1.35E-2</v>
      </c>
      <c r="M66" s="16" t="str">
        <v>#N/A</v>
      </c>
      <c r="N66" s="14" t="str">
        <v>#N/A</v>
      </c>
      <c r="O66" s="14" t="str">
        <v>#N/A</v>
      </c>
      <c r="P66" s="14" t="str">
        <v>#N/A</v>
      </c>
      <c r="Q66" s="14" t="str">
        <v>#N/A</v>
      </c>
    </row>
    <row r="67" spans="1:17" x14ac:dyDescent="0.25">
      <c r="A67" s="99">
        <v>46295</v>
      </c>
      <c r="B67" s="104">
        <v>17013698.630137242</v>
      </c>
      <c r="C67" s="104">
        <v>5000000000</v>
      </c>
      <c r="D67" s="99">
        <v>46203</v>
      </c>
      <c r="E67" s="99">
        <v>46295</v>
      </c>
      <c r="F67" s="13">
        <v>92</v>
      </c>
      <c r="G67" s="13" t="str">
        <v>#N/A</v>
      </c>
      <c r="H67" s="13" t="str">
        <v>#N/A</v>
      </c>
      <c r="I67" s="13" t="str">
        <v>#N/A</v>
      </c>
      <c r="J67" s="14" t="str">
        <v>Actual/Actual (ISDA)</v>
      </c>
      <c r="K67" s="15">
        <v>0.25205479452054802</v>
      </c>
      <c r="L67" s="105">
        <v>1.35E-2</v>
      </c>
      <c r="M67" s="16" t="str">
        <v>#N/A</v>
      </c>
      <c r="N67" s="14" t="str">
        <v>#N/A</v>
      </c>
      <c r="O67" s="14" t="str">
        <v>#N/A</v>
      </c>
      <c r="P67" s="14" t="str">
        <v>#N/A</v>
      </c>
      <c r="Q67" s="14" t="str">
        <v>#N/A</v>
      </c>
    </row>
    <row r="68" spans="1:17" x14ac:dyDescent="0.25">
      <c r="A68" s="99">
        <v>46387</v>
      </c>
      <c r="B68" s="104">
        <v>17013698.630137242</v>
      </c>
      <c r="C68" s="104">
        <v>5000000000</v>
      </c>
      <c r="D68" s="99">
        <v>46295</v>
      </c>
      <c r="E68" s="99">
        <v>46387</v>
      </c>
      <c r="F68" s="13">
        <v>92</v>
      </c>
      <c r="G68" s="13" t="str">
        <v>#N/A</v>
      </c>
      <c r="H68" s="13" t="str">
        <v>#N/A</v>
      </c>
      <c r="I68" s="13" t="str">
        <v>#N/A</v>
      </c>
      <c r="J68" s="14" t="str">
        <v>Actual/Actual (ISDA)</v>
      </c>
      <c r="K68" s="15">
        <v>0.25205479452054791</v>
      </c>
      <c r="L68" s="105">
        <v>1.35E-2</v>
      </c>
      <c r="M68" s="16" t="str">
        <v>#N/A</v>
      </c>
      <c r="N68" s="14" t="str">
        <v>#N/A</v>
      </c>
      <c r="O68" s="14" t="str">
        <v>#N/A</v>
      </c>
      <c r="P68" s="14" t="str">
        <v>#N/A</v>
      </c>
      <c r="Q68" s="14" t="str">
        <v>#N/A</v>
      </c>
    </row>
    <row r="69" spans="1:17" x14ac:dyDescent="0.25">
      <c r="A69" s="99">
        <v>46477</v>
      </c>
      <c r="B69" s="104">
        <v>16643835.616438895</v>
      </c>
      <c r="C69" s="104">
        <v>5000000000</v>
      </c>
      <c r="D69" s="99">
        <v>46387</v>
      </c>
      <c r="E69" s="99">
        <v>46477</v>
      </c>
      <c r="F69" s="13">
        <v>90</v>
      </c>
      <c r="G69" s="13" t="str">
        <v>#N/A</v>
      </c>
      <c r="H69" s="13" t="str">
        <v>#N/A</v>
      </c>
      <c r="I69" s="13" t="str">
        <v>#N/A</v>
      </c>
      <c r="J69" s="14" t="str">
        <v>Actual/Actual (ISDA)</v>
      </c>
      <c r="K69" s="15">
        <v>0.24657534246575341</v>
      </c>
      <c r="L69" s="105">
        <v>1.35E-2</v>
      </c>
      <c r="M69" s="16" t="str">
        <v>#N/A</v>
      </c>
      <c r="N69" s="14" t="str">
        <v>#N/A</v>
      </c>
      <c r="O69" s="14" t="str">
        <v>#N/A</v>
      </c>
      <c r="P69" s="14" t="str">
        <v>#N/A</v>
      </c>
      <c r="Q69" s="14" t="str">
        <v>#N/A</v>
      </c>
    </row>
    <row r="70" spans="1:17" x14ac:dyDescent="0.25">
      <c r="A70" s="13" t="e">
        <v>#N/A</v>
      </c>
      <c r="B70" s="13" t="e">
        <v>#N/A</v>
      </c>
      <c r="C70" s="13" t="e">
        <v>#N/A</v>
      </c>
      <c r="D70" s="13" t="e">
        <v>#N/A</v>
      </c>
      <c r="E70" s="13" t="e">
        <v>#N/A</v>
      </c>
      <c r="F70" s="13" t="e">
        <v>#N/A</v>
      </c>
      <c r="G70" s="13" t="e">
        <v>#N/A</v>
      </c>
      <c r="H70" s="13" t="e">
        <v>#N/A</v>
      </c>
      <c r="I70" s="13" t="e">
        <v>#N/A</v>
      </c>
      <c r="J70" s="14" t="e">
        <v>#N/A</v>
      </c>
      <c r="K70" s="15" t="e">
        <v>#N/A</v>
      </c>
      <c r="L70" s="16" t="e">
        <v>#N/A</v>
      </c>
      <c r="M70" s="16" t="e">
        <v>#N/A</v>
      </c>
      <c r="N70" s="14" t="e">
        <v>#N/A</v>
      </c>
      <c r="O70" s="14" t="e">
        <v>#N/A</v>
      </c>
      <c r="P70" s="14" t="e">
        <v>#N/A</v>
      </c>
      <c r="Q70" s="14" t="e">
        <v>#N/A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ZeroCurve</vt:lpstr>
      <vt:lpstr>IRS-MtM</vt:lpstr>
    </vt:vector>
  </TitlesOfParts>
  <Company>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Chien, Josh-CH</dc:creator>
  <cp:lastModifiedBy>簡志豪</cp:lastModifiedBy>
  <cp:lastPrinted>2018-09-13T00:50:50Z</cp:lastPrinted>
  <dcterms:created xsi:type="dcterms:W3CDTF">2016-11-18T01:38:02Z</dcterms:created>
  <dcterms:modified xsi:type="dcterms:W3CDTF">2022-03-29T03:46:23Z</dcterms:modified>
</cp:coreProperties>
</file>